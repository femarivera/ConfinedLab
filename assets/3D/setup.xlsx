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"/>
    </mc:Choice>
  </mc:AlternateContent>
  <xr:revisionPtr revIDLastSave="0" documentId="13_ncr:1_{77167627-F9A8-41EE-B0F4-16E8D9D09DD0}" xr6:coauthVersionLast="47" xr6:coauthVersionMax="47" xr10:uidLastSave="{00000000-0000-0000-0000-000000000000}"/>
  <bookViews>
    <workbookView xWindow="-98" yWindow="-98" windowWidth="28996" windowHeight="15796" firstSheet="1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3" i="11" l="1"/>
  <c r="F22" i="11"/>
  <c r="F21" i="11"/>
  <c r="F20" i="11"/>
  <c r="F19" i="11"/>
  <c r="F16" i="11"/>
  <c r="F15" i="11"/>
  <c r="F14" i="11"/>
  <c r="F13" i="11"/>
  <c r="F12" i="11"/>
</calcChain>
</file>

<file path=xl/sharedStrings.xml><?xml version="1.0" encoding="utf-8"?>
<sst xmlns="http://schemas.openxmlformats.org/spreadsheetml/2006/main" count="2142" uniqueCount="970">
  <si>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</si>
  <si>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</si>
  <si>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</si>
  <si>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</si>
  <si>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</si>
  <si>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</si>
  <si>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</si>
  <si>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</si>
  <si>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</si>
  <si>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</si>
  <si>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</si>
  <si>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</si>
  <si>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</si>
  <si>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</si>
  <si>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</si>
  <si>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</si>
  <si>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</si>
  <si>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</si>
  <si>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</si>
  <si>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</si>
  <si>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</si>
  <si>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</si>
  <si>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</si>
  <si>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</si>
  <si>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</si>
  <si>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</si>
  <si>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</si>
  <si>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</si>
  <si>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</si>
  <si>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</si>
  <si>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</si>
  <si>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</si>
  <si>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</si>
  <si>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</si>
  <si>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</si>
  <si>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</si>
  <si>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</si>
  <si>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</si>
  <si>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</si>
  <si>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</si>
  <si>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</si>
  <si>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</si>
  <si>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</si>
  <si>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</si>
  <si>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</si>
  <si>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</si>
  <si>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</si>
  <si>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</si>
  <si>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</si>
  <si>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</si>
  <si>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</si>
  <si>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</si>
  <si>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</si>
  <si>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</si>
  <si>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</si>
  <si>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</si>
  <si>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</si>
  <si>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</si>
  <si>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</si>
  <si>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</si>
  <si>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</si>
  <si>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</si>
  <si>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</si>
  <si>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</si>
  <si>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</si>
  <si>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</si>
  <si>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</si>
  <si>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</si>
  <si>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</si>
  <si>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</si>
  <si>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</si>
  <si>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</si>
  <si>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</si>
  <si>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</si>
  <si>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</si>
  <si>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</si>
  <si>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</si>
  <si>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</si>
  <si>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</si>
  <si>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</si>
  <si>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</si>
  <si>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</si>
  <si>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</si>
  <si>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</si>
  <si>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</si>
  <si>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</si>
  <si>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</si>
  <si>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</si>
  <si>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</si>
  <si>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</si>
  <si>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</si>
  <si>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</si>
  <si>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</si>
  <si>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</si>
  <si>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</si>
  <si>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</si>
  <si>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</si>
  <si>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</si>
  <si>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</si>
  <si>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</si>
  <si>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</si>
  <si>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</si>
  <si>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</si>
  <si>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</si>
  <si>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</si>
  <si>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</si>
  <si>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</si>
  <si>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</si>
  <si>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</si>
  <si>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</si>
  <si>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</si>
  <si>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</si>
  <si>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</si>
  <si>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</si>
  <si>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</si>
  <si>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</si>
  <si>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</si>
  <si>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</si>
  <si>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</si>
  <si>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</si>
  <si>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</si>
  <si>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</si>
  <si>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</si>
  <si>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</si>
  <si>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</si>
  <si>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</si>
  <si>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</si>
  <si>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</si>
  <si>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</si>
  <si>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</si>
  <si>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</si>
  <si>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</si>
  <si>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</si>
  <si>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</si>
  <si>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</si>
  <si>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</si>
  <si>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</si>
  <si>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</si>
  <si>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</si>
  <si>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</si>
  <si>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</si>
  <si>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</si>
  <si>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</si>
  <si>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</si>
  <si>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</si>
  <si>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</si>
  <si>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</si>
  <si>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</si>
  <si>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</si>
  <si>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</si>
  <si>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</si>
  <si>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</si>
  <si>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</si>
  <si>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</si>
  <si>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</si>
  <si>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</si>
  <si>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</si>
  <si>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</si>
  <si>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</si>
  <si>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</si>
  <si>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</si>
  <si>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</si>
  <si>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</si>
  <si>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</si>
  <si>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</si>
  <si>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</si>
  <si>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</si>
  <si>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</si>
  <si>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</si>
  <si>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</si>
  <si>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</si>
  <si>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</si>
  <si>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</si>
  <si>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</si>
  <si>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</si>
  <si>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</si>
  <si>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</si>
  <si>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</si>
  <si>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</si>
  <si>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</si>
  <si>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</si>
  <si>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</si>
  <si>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</si>
  <si>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</si>
  <si>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</si>
  <si>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</si>
  <si>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</si>
  <si>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</si>
  <si>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</si>
  <si>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</si>
  <si>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</si>
  <si>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</si>
  <si>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</si>
  <si>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</si>
  <si>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</si>
  <si>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</si>
  <si>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</si>
  <si>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</si>
  <si>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</si>
  <si>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</si>
  <si>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</si>
  <si>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</si>
  <si>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</si>
  <si>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</si>
  <si>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</si>
  <si>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</si>
  <si>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</si>
  <si>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</si>
  <si>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</si>
  <si>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</si>
  <si>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</si>
  <si>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</si>
  <si>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</si>
  <si>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</si>
  <si>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</si>
  <si>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</si>
  <si>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</si>
  <si>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</si>
  <si>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</si>
  <si>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</si>
  <si>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</si>
  <si>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</si>
  <si>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</si>
  <si>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</si>
  <si>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</si>
  <si>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</si>
  <si>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</si>
  <si>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</si>
  <si>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</si>
  <si>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</si>
  <si>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</si>
  <si>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</si>
  <si>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</si>
  <si>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</si>
  <si>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</si>
  <si>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</si>
  <si>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</si>
  <si>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</si>
  <si>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</si>
  <si>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</si>
  <si>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</si>
  <si>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</si>
  <si>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</si>
  <si>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</si>
  <si>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</si>
  <si>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</si>
  <si>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</si>
  <si>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</si>
  <si>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</si>
  <si>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</si>
  <si>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</si>
  <si>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</si>
  <si>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</si>
  <si>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</si>
  <si>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</si>
  <si>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</si>
  <si>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</si>
  <si>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</si>
  <si>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</si>
  <si>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</si>
  <si>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</si>
  <si>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</si>
  <si>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</si>
  <si>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</si>
  <si>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</si>
  <si>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</si>
  <si>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</si>
  <si>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</si>
  <si>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</si>
  <si>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</si>
  <si>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</si>
  <si>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</si>
  <si>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</si>
  <si>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</si>
  <si>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</si>
  <si>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</si>
  <si>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</si>
  <si>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</si>
  <si>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</si>
  <si>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</si>
  <si>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</si>
  <si>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</si>
  <si>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</si>
  <si>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</si>
  <si>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</si>
  <si>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</si>
  <si>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</si>
  <si>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</si>
  <si>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</si>
  <si>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</si>
  <si>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</si>
  <si>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</si>
  <si>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</si>
  <si>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</si>
  <si>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</si>
  <si>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</si>
  <si>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</si>
  <si>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</si>
  <si>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</si>
  <si>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</si>
  <si>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</si>
  <si>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</si>
  <si>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</si>
  <si>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</si>
  <si>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</si>
  <si>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</si>
  <si>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</si>
  <si>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</si>
  <si>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</si>
  <si>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</si>
  <si>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</si>
  <si>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</si>
  <si>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</si>
  <si>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</si>
  <si>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</si>
  <si>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</si>
  <si>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</si>
  <si>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</si>
  <si>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</si>
  <si>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</si>
  <si>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</si>
  <si>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</si>
  <si>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</si>
  <si>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</si>
  <si>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</si>
  <si>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</si>
  <si>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</si>
  <si>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</si>
  <si>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</si>
  <si>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</si>
  <si>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</si>
  <si>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</si>
  <si>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</si>
  <si>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</si>
  <si>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</si>
  <si>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</si>
  <si>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</si>
  <si>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</si>
  <si>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</si>
  <si>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</si>
  <si>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</si>
  <si>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</si>
  <si>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</si>
  <si>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</si>
  <si>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</si>
  <si>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</si>
  <si>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</si>
  <si>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</si>
  <si>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</si>
  <si>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</si>
  <si>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</si>
  <si>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</si>
  <si>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</si>
  <si>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</si>
  <si>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</si>
  <si>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</si>
  <si>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</si>
  <si>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</si>
  <si>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</si>
  <si>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</si>
  <si>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</si>
  <si>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</si>
  <si>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</si>
  <si>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</si>
  <si>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</si>
  <si>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</si>
  <si>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</si>
  <si>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</si>
  <si>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</si>
  <si>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</si>
  <si>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</si>
  <si>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</si>
  <si>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</si>
  <si>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</si>
  <si>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</si>
  <si>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</si>
  <si>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</si>
  <si>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</si>
  <si>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</si>
  <si>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</si>
  <si>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</si>
  <si>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</si>
  <si>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</si>
  <si>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</si>
  <si>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</si>
  <si>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</si>
  <si>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</si>
  <si>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</si>
  <si>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</si>
  <si>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</si>
  <si>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</si>
  <si>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</si>
  <si>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</si>
  <si>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</si>
  <si>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</si>
  <si>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</si>
  <si>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</si>
  <si>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</si>
  <si>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</si>
  <si>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</si>
  <si>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</si>
  <si>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</si>
  <si>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</si>
  <si>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</si>
  <si>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</si>
  <si>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</si>
  <si>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</si>
  <si>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</si>
  <si>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</si>
  <si>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</si>
  <si>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</si>
  <si>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</si>
  <si>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</si>
  <si>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</si>
  <si>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</si>
  <si>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</si>
  <si>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</si>
  <si>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</si>
  <si>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</si>
  <si>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</si>
  <si>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</si>
  <si>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</si>
  <si>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</si>
  <si>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</si>
  <si>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</si>
  <si>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</si>
  <si>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</si>
  <si>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</si>
  <si>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</si>
  <si>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</si>
  <si>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</si>
  <si>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</si>
  <si>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</si>
  <si>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</si>
  <si>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</si>
  <si>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</si>
  <si>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</si>
  <si>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</si>
  <si>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</si>
  <si>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</si>
  <si>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</si>
  <si>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</si>
  <si>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</si>
  <si>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</si>
  <si>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</si>
  <si>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</si>
  <si>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</si>
  <si>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</si>
  <si>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</si>
  <si>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</si>
  <si>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</si>
  <si>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</si>
  <si>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</si>
  <si>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</si>
  <si>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</si>
  <si>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</si>
  <si>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</si>
  <si>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</si>
  <si>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</si>
  <si>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</si>
  <si>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</si>
  <si>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</si>
  <si>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</si>
  <si>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</si>
  <si>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</si>
  <si>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</si>
  <si>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</si>
  <si>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</si>
  <si>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</si>
  <si>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</si>
  <si>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</si>
  <si>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</si>
  <si>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</si>
  <si>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</si>
  <si>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</si>
  <si>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</si>
  <si>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</si>
  <si>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</si>
  <si>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</si>
  <si>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</si>
  <si>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</si>
  <si>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</si>
  <si>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</si>
  <si>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</si>
  <si>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</si>
  <si>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</si>
  <si>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</si>
  <si>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</si>
  <si>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</si>
  <si>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</si>
  <si>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</si>
  <si>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</si>
  <si>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</si>
  <si>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</si>
  <si>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</si>
  <si>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</si>
  <si>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</si>
  <si>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</si>
  <si>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</si>
  <si>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</si>
  <si>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</si>
  <si>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</si>
  <si>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</si>
  <si>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</si>
  <si>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</si>
  <si>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</si>
  <si>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</si>
  <si>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</si>
  <si>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</si>
  <si>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</si>
  <si>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</si>
  <si>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</si>
  <si>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</si>
  <si>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</si>
  <si>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</si>
  <si>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</si>
  <si>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</si>
  <si>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</si>
  <si>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</si>
  <si>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</si>
  <si>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</si>
  <si>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</si>
  <si>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</si>
  <si>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</si>
  <si>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</si>
  <si>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</si>
  <si>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</si>
  <si>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</si>
  <si>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</si>
  <si>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</si>
  <si>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</si>
  <si>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</si>
  <si>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</si>
  <si>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</si>
  <si>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</si>
  <si>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</si>
  <si>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</si>
  <si>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</si>
  <si>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</si>
  <si>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</si>
  <si>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</si>
  <si>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</si>
  <si>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</si>
  <si>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</si>
  <si>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</si>
  <si>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</si>
  <si>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</si>
  <si>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</si>
  <si>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</si>
  <si>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</si>
  <si>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</si>
  <si>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</si>
  <si>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</si>
  <si>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</si>
  <si>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</si>
  <si>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</si>
  <si>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</si>
  <si>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</si>
  <si>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</si>
  <si>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</si>
  <si>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</si>
  <si>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</si>
  <si>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</si>
  <si>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</si>
  <si>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</si>
  <si>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</si>
  <si>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</si>
  <si>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</si>
  <si>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</si>
  <si>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</si>
  <si>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</si>
  <si>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</si>
  <si>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</si>
  <si>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</si>
  <si>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</si>
  <si>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</si>
  <si>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</si>
  <si>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</si>
  <si>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</si>
  <si>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</si>
  <si>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</si>
  <si>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</si>
  <si>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</si>
  <si>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</si>
  <si>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</si>
  <si>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</si>
  <si>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</si>
  <si>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</si>
  <si>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</si>
  <si>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</si>
  <si>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</si>
  <si>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</si>
  <si>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</si>
  <si>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</si>
  <si>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</si>
  <si>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</si>
  <si>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</si>
  <si>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</si>
  <si>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</si>
  <si>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</si>
  <si>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</si>
  <si>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</si>
  <si>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</si>
  <si>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</si>
  <si>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</si>
  <si>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</si>
  <si>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</si>
  <si>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</si>
  <si>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</si>
  <si>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</si>
  <si>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</si>
  <si>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</si>
  <si>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</si>
  <si>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</si>
  <si>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</si>
  <si>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</si>
  <si>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</si>
  <si>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</si>
  <si>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</si>
  <si>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</si>
  <si>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</si>
  <si>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</si>
  <si>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</si>
  <si>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</si>
  <si>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</si>
  <si>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</si>
  <si>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</si>
  <si>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</si>
  <si>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</si>
  <si>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</si>
  <si>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</si>
  <si>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</si>
  <si>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</si>
  <si>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</si>
  <si>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</si>
  <si>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</si>
  <si>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</si>
  <si>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</si>
  <si>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</si>
  <si>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</si>
  <si>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</si>
  <si>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</si>
  <si>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</si>
  <si>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</si>
  <si>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</si>
  <si>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</si>
  <si>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</si>
  <si>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</si>
  <si>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</si>
  <si>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</si>
  <si>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</si>
  <si>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</si>
  <si>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</si>
  <si>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</si>
  <si>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</si>
  <si>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</si>
  <si>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</si>
  <si>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</si>
  <si>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</si>
  <si>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</si>
  <si>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</si>
  <si>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</si>
  <si>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</si>
  <si>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</si>
  <si>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</si>
  <si>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</si>
  <si>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</si>
  <si>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</si>
  <si>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</si>
  <si>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</si>
  <si>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</si>
  <si>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</si>
  <si>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</si>
  <si>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</si>
  <si>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</si>
  <si>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</si>
  <si>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</si>
  <si>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</si>
  <si>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</si>
  <si>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</si>
  <si>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</si>
  <si>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</si>
  <si>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</si>
  <si>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</si>
  <si>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</si>
  <si>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</si>
  <si>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</si>
  <si>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</si>
  <si>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</si>
  <si>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</si>
  <si>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</si>
  <si>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</si>
  <si>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</si>
  <si>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</si>
  <si>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</si>
  <si>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</si>
  <si>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</si>
  <si>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</si>
  <si>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</si>
  <si>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</si>
  <si>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</si>
  <si>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</si>
  <si>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</si>
  <si>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</si>
  <si>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</si>
  <si>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</si>
  <si>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</si>
  <si>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</si>
  <si>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</si>
  <si>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</si>
  <si>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</si>
  <si>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</si>
  <si>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</si>
  <si>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</si>
  <si>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</si>
  <si>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</si>
  <si>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</si>
  <si>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</si>
  <si>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</si>
  <si>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</si>
  <si>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</si>
  <si>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</si>
  <si>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</si>
  <si>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</si>
  <si>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</si>
  <si>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</si>
  <si>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</si>
  <si>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</si>
  <si>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</si>
  <si>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</si>
  <si>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</si>
  <si>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</si>
  <si>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</si>
  <si>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</si>
  <si>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</si>
  <si>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</si>
  <si>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</si>
  <si>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</si>
  <si>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</si>
  <si>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</si>
  <si>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</si>
  <si>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</si>
  <si>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</si>
  <si>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</si>
  <si>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</si>
  <si>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</si>
  <si>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</si>
  <si>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</si>
  <si>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</si>
  <si>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</si>
  <si>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</si>
  <si>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</si>
  <si>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</si>
  <si>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</si>
  <si>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</si>
  <si>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</si>
  <si>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</si>
  <si>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</si>
  <si>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</si>
  <si>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</si>
  <si>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</si>
  <si>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</si>
  <si>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</si>
  <si>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</si>
  <si>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</si>
  <si>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</si>
  <si>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</si>
  <si>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</si>
  <si>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</si>
  <si>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</si>
  <si>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</si>
  <si>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</si>
  <si>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</si>
  <si>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</si>
  <si>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</si>
  <si>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</si>
  <si>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</si>
  <si>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</si>
  <si>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</si>
  <si>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</si>
  <si>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</si>
  <si>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</si>
  <si>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</si>
  <si>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</si>
  <si>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</si>
  <si>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</si>
  <si>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</si>
  <si>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</si>
  <si>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</si>
  <si>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</si>
  <si>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</si>
  <si>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</si>
  <si>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</si>
  <si>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</si>
  <si>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</si>
  <si>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</si>
  <si>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</si>
  <si>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</si>
  <si>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</si>
  <si>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</si>
  <si>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</si>
  <si>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</si>
  <si>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</si>
  <si>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</si>
  <si>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</si>
  <si>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</si>
  <si>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</si>
  <si>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</si>
  <si>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</si>
  <si>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</si>
  <si>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</si>
  <si>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</si>
  <si>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</si>
  <si>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</si>
  <si>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</si>
  <si>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</si>
  <si>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</si>
  <si>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</si>
  <si>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</si>
  <si>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</si>
  <si>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</si>
  <si>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</si>
  <si>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</si>
  <si>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</si>
  <si>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</si>
  <si>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</si>
  <si>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</si>
  <si>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</si>
  <si>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</si>
  <si>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</si>
  <si>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</si>
  <si>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</si>
  <si>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</si>
  <si>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</si>
  <si>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</si>
  <si>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</si>
  <si>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</si>
  <si>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</si>
  <si>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</si>
  <si>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</si>
  <si>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</si>
  <si>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</si>
  <si>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</si>
  <si>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</si>
  <si>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</si>
  <si>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</si>
  <si>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</si>
  <si>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</si>
  <si>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</si>
  <si>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</si>
  <si>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</si>
  <si>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</si>
  <si>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</si>
  <si>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</si>
  <si>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</si>
  <si>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</si>
  <si>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</si>
  <si>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</si>
  <si>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</si>
  <si>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</si>
  <si>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</si>
  <si>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</si>
  <si>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</si>
  <si>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</si>
  <si>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</si>
  <si>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</si>
  <si>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</si>
  <si>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</si>
  <si>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</si>
  <si>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</si>
  <si>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</si>
  <si>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</si>
  <si>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</si>
  <si>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</si>
  <si>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</si>
  <si>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</si>
  <si>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</si>
  <si>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</si>
  <si>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</si>
  <si>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</si>
  <si>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</si>
  <si>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</si>
  <si>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</si>
  <si>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</si>
  <si>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</si>
  <si>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</si>
  <si>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</si>
  <si>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</si>
  <si>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</si>
  <si>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</si>
  <si>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</si>
  <si>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</si>
  <si>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</si>
  <si>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</si>
  <si>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</si>
  <si>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</si>
  <si>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</si>
  <si>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</si>
  <si>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</si>
  <si>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</si>
  <si>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</si>
  <si>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</si>
  <si>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</si>
  <si>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</si>
  <si>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</si>
  <si>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</si>
  <si>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</si>
  <si>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</si>
  <si>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</si>
  <si>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</si>
  <si>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</si>
  <si>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</si>
  <si>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</si>
  <si>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</si>
  <si>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</si>
  <si>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</si>
  <si>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</si>
  <si>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</si>
  <si>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</si>
  <si>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</si>
  <si>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</si>
  <si>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</si>
  <si>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</si>
  <si>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</si>
  <si>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</si>
  <si>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</si>
  <si>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</si>
  <si>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</si>
  <si>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</si>
  <si>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</si>
  <si>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</si>
  <si>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</si>
  <si>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</si>
  <si>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</si>
  <si>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</si>
  <si>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</si>
  <si>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</si>
  <si>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</si>
  <si>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</si>
  <si>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</si>
  <si>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</si>
  <si>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</si>
  <si>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</si>
  <si>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</si>
  <si>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</si>
  <si>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</si>
  <si>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</si>
  <si>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</si>
  <si>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</si>
  <si>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</si>
  <si>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</si>
  <si>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</si>
  <si>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</si>
  <si>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</si>
  <si>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</si>
  <si>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</si>
  <si>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</si>
  <si>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</si>
  <si>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</si>
  <si>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</si>
  <si>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</si>
  <si>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</si>
  <si>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</si>
  <si>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</si>
  <si>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</si>
  <si>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SUSTAINABLE YIELD ESTIMATIONS RUN 01</t>
  </si>
  <si>
    <t>Run 01.1</t>
  </si>
  <si>
    <t>Run 01.2</t>
  </si>
  <si>
    <t>Run01.3</t>
  </si>
  <si>
    <t>Run01.4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</si>
</sst>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G17" sqref="G17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6" sqref="F6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 s="1">
        <v>5.5555555555555556E-4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 s="1">
        <v>5.5555555555555556E-4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 s="1">
        <v>5.5555555555555556E-4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 s="1">
        <v>5.5555555555555556E-4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 s="1">
        <v>5.5555555555555556E-4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5.5555555555555556E-4</v>
      </c>
      <c r="C2" s="1">
        <v>5.5555555555555556E-4</v>
      </c>
      <c r="D2" s="1">
        <v>5.5555555555555556E-4</v>
      </c>
      <c r="E2" s="1">
        <v>5.5555555555555556E-4</v>
      </c>
      <c r="F2" s="1">
        <v>5.5555555555555556E-4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5.5555555555555556E-4</v>
      </c>
      <c r="C3" s="1">
        <v>5.5555555555555556E-4</v>
      </c>
      <c r="D3" s="1">
        <v>5.5555555555555556E-4</v>
      </c>
      <c r="E3" s="1">
        <v>5.5555555555555556E-4</v>
      </c>
      <c r="F3" s="1">
        <v>5.5555555555555556E-4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5.5555555555555556E-4</v>
      </c>
      <c r="C4" s="1">
        <v>5.5555555555555556E-4</v>
      </c>
      <c r="D4" s="1">
        <v>5.5555555555555556E-4</v>
      </c>
      <c r="E4" s="1">
        <v>5.5555555555555556E-4</v>
      </c>
      <c r="F4" s="1">
        <v>5.5555555555555556E-4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115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116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117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118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119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120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121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122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123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124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125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126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127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128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129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130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131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132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133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134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135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136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137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138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139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140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141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142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143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144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145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146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147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148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149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150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151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152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153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154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155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156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157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158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159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160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161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162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163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164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165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166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167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168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169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170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171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172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173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174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175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176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177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178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179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180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181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182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183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184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185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186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187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188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189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190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191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192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193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194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195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196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197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198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199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902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903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904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200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201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202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203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204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205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206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207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208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209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210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211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212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213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214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215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216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217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218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219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220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221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222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223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224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225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226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227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228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229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230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231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232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233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234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235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236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237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238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239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240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241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242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243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244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245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246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247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248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249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250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251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252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253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254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255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256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257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258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259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260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261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262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263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264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265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266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267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268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269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270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271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272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273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274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275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276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277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278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279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280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281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282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283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284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285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286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287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288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289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290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291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292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293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294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295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296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297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298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299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300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301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302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303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304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305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306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307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308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309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310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311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312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313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314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315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316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317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318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319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320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321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322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323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324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325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326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327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328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329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330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331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332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333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334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335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336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337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338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339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340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341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342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343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344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345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346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347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348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349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350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351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352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353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354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355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356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357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358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359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360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361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362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363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364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365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366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367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368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369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370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371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372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373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374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375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376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377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378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379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380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381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382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383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384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385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386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387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388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389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390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391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392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393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394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395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396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397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398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399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400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401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402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403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404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405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406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407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408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409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410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411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412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413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414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415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416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417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418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419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420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421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422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423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424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425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426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427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428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429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430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431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432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433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434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435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436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437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438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439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440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441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442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443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444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445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446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447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448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449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450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451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452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453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454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455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456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457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458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459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460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461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905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906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907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462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463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464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465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466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467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468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469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470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471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472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473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474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475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476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477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478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479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480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481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482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483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484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485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486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487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488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489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490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491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492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493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494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495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496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497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498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499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500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501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502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503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504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505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506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507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508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509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510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511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512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513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514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515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516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517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518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519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520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521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522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523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524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525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526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527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528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529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530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531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532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533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534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535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536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537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538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539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540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541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542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543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544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545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546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547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548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549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550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551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552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553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554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555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556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557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558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559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560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561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562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563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564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565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566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567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568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569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570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571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572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573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574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575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576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577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578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579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580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581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582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583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584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585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586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587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588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589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590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591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592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593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594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595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596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597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598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599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600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601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602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603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604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605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606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607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608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609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610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611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612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613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614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615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616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617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618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619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620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621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622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623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624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625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626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627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628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629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630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631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632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633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634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635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636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637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638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639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640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641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642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643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644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645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646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647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648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649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650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651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652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653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654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655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656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657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658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659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660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661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662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663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664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665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666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667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668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669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670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671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672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673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674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675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676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677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678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679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680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681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682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683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684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685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686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687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688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689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690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691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692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693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694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695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696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697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698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699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700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701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702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703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704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705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706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707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708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709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710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711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712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713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714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715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716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717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718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719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720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721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722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723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908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909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910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724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725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726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727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728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729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730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731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732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733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734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735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736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737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738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739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740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741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742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743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744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745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746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747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748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749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750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751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752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753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754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755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756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757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758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759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760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761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762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763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764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765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766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767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768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769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770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771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772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773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774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775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776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777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778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779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780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781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782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783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784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785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786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787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788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789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790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791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792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793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794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795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796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797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798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799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800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801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802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803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804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805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806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807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808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809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810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811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812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813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814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815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816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817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818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819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820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821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822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823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824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825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826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827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828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829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830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831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832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833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834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835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836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837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838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839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840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841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842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843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844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845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846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847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848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849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850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851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852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853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854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855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856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857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858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859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860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861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862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863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864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865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866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867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868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869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870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871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872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873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874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875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876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877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878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879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880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881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882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883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884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885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886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887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888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889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890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891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892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893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894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895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896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897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898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899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900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B2" sqref="B2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913</v>
      </c>
      <c r="B1" s="4" t="s">
        <v>44</v>
      </c>
      <c r="C1" s="4" t="s">
        <v>32</v>
      </c>
    </row>
    <row r="2" spans="1:3" x14ac:dyDescent="0.45">
      <c r="A2" s="4" t="s">
        <v>914</v>
      </c>
      <c r="B2" s="4">
        <v>5.0000000000000001E-4</v>
      </c>
      <c r="C2" s="4" t="s">
        <v>915</v>
      </c>
    </row>
    <row r="3" spans="1:3" x14ac:dyDescent="0.45">
      <c r="A3" s="4" t="s">
        <v>916</v>
      </c>
      <c r="B3" s="4">
        <v>3600000</v>
      </c>
      <c r="C3" s="4" t="s">
        <v>917</v>
      </c>
    </row>
    <row r="4" spans="1:3" x14ac:dyDescent="0.45">
      <c r="A4" s="4" t="s">
        <v>918</v>
      </c>
      <c r="B4" s="4">
        <v>1</v>
      </c>
      <c r="C4" s="4" t="s">
        <v>919</v>
      </c>
    </row>
    <row r="5" spans="1:3" x14ac:dyDescent="0.45">
      <c r="A5" s="4" t="s">
        <v>920</v>
      </c>
      <c r="B5" s="4">
        <v>0.01</v>
      </c>
      <c r="C5" s="4" t="s">
        <v>921</v>
      </c>
    </row>
    <row r="6" spans="1:3" x14ac:dyDescent="0.45">
      <c r="A6" s="4" t="s">
        <v>922</v>
      </c>
      <c r="B6" s="4">
        <v>5</v>
      </c>
      <c r="C6" s="4" t="s">
        <v>923</v>
      </c>
    </row>
    <row r="7" spans="1:3" x14ac:dyDescent="0.45">
      <c r="A7" s="4" t="s">
        <v>924</v>
      </c>
      <c r="B7" s="4"/>
      <c r="C7" s="4" t="s">
        <v>925</v>
      </c>
    </row>
    <row r="8" spans="1:3" x14ac:dyDescent="0.45">
      <c r="A8" s="4" t="s">
        <v>926</v>
      </c>
      <c r="B8" s="4">
        <v>100</v>
      </c>
      <c r="C8" s="4" t="s">
        <v>927</v>
      </c>
    </row>
    <row r="9" spans="1:3" x14ac:dyDescent="0.45">
      <c r="A9" s="4" t="s">
        <v>928</v>
      </c>
      <c r="B9" s="4">
        <v>100</v>
      </c>
      <c r="C9" s="4" t="s">
        <v>929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901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C18" sqref="C18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934</v>
      </c>
      <c r="C1" s="4" t="s">
        <v>954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364"/>
  <sheetViews>
    <sheetView topLeftCell="A19" zoomScale="51" workbookViewId="0">
      <selection activeCell="E71" sqref="E71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27" x14ac:dyDescent="0.45">
      <c r="A1" t="s">
        <v>111</v>
      </c>
      <c r="J1" s="4" t="s">
        <v>911</v>
      </c>
      <c r="K1" s="4"/>
      <c r="L1" s="4"/>
      <c r="M1" s="4"/>
      <c r="N1" s="4"/>
      <c r="O1" s="4"/>
      <c r="P1" s="4"/>
      <c r="Q1" s="4"/>
      <c r="R1" s="4"/>
      <c r="S1" s="4"/>
      <c r="T1" s="4"/>
    </row>
    <row r="2" spans="1:27" x14ac:dyDescent="0.45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Z2" s="1"/>
      <c r="AA2" s="1"/>
    </row>
    <row r="3" spans="1:27" x14ac:dyDescent="0.45">
      <c r="A3" s="4">
        <v>0</v>
      </c>
      <c r="B3" s="4">
        <v>0</v>
      </c>
      <c r="C3" s="4">
        <v>1</v>
      </c>
      <c r="D3" s="4">
        <v>1</v>
      </c>
      <c r="E3" s="4" t="s">
        <v>33</v>
      </c>
      <c r="J3" s="4" t="s">
        <v>18</v>
      </c>
      <c r="K3" s="4" t="s">
        <v>19</v>
      </c>
      <c r="L3" s="4">
        <v>100</v>
      </c>
      <c r="M3" s="4">
        <v>0</v>
      </c>
      <c r="N3" s="4">
        <v>100</v>
      </c>
      <c r="O3" s="4">
        <v>200</v>
      </c>
      <c r="P3" s="4">
        <v>300</v>
      </c>
      <c r="Q3" s="4">
        <v>5</v>
      </c>
      <c r="R3" s="4">
        <v>70</v>
      </c>
      <c r="S3" s="4">
        <v>3</v>
      </c>
      <c r="T3" s="4">
        <v>1</v>
      </c>
      <c r="Z3" s="1"/>
      <c r="AA3" s="1"/>
    </row>
    <row r="4" spans="1:27" x14ac:dyDescent="0.45">
      <c r="A4" s="4">
        <v>1</v>
      </c>
      <c r="B4" s="4">
        <v>3600000</v>
      </c>
      <c r="C4" s="4">
        <v>1</v>
      </c>
      <c r="D4" s="4">
        <v>1</v>
      </c>
      <c r="E4" s="4" t="s">
        <v>34</v>
      </c>
      <c r="J4" s="4" t="s">
        <v>20</v>
      </c>
      <c r="K4" s="4" t="s">
        <v>21</v>
      </c>
      <c r="L4" s="4">
        <v>150</v>
      </c>
      <c r="M4" s="4">
        <v>100</v>
      </c>
      <c r="N4" s="4">
        <v>150</v>
      </c>
      <c r="O4" s="4">
        <v>150</v>
      </c>
      <c r="P4" s="4">
        <v>250</v>
      </c>
      <c r="Q4" s="4">
        <v>5</v>
      </c>
      <c r="R4" s="4">
        <v>70</v>
      </c>
      <c r="S4" s="4">
        <v>3</v>
      </c>
      <c r="T4" s="4">
        <v>2</v>
      </c>
      <c r="Z4" s="1"/>
      <c r="AA4" s="1"/>
    </row>
    <row r="5" spans="1:27" x14ac:dyDescent="0.45">
      <c r="A5" s="4">
        <v>2</v>
      </c>
      <c r="B5" s="4">
        <v>18000</v>
      </c>
      <c r="C5" s="4">
        <v>600</v>
      </c>
      <c r="D5" s="4">
        <v>1</v>
      </c>
      <c r="E5" s="4" t="s">
        <v>35</v>
      </c>
      <c r="J5" s="4" t="s">
        <v>22</v>
      </c>
      <c r="K5" s="4" t="s">
        <v>23</v>
      </c>
      <c r="L5" s="4">
        <v>200</v>
      </c>
      <c r="M5" s="4">
        <v>150</v>
      </c>
      <c r="N5" s="4">
        <v>225</v>
      </c>
      <c r="O5" s="4">
        <v>200</v>
      </c>
      <c r="P5" s="4">
        <v>150</v>
      </c>
      <c r="Q5" s="4">
        <v>5</v>
      </c>
      <c r="R5" s="4">
        <v>70</v>
      </c>
      <c r="S5" s="4">
        <v>3</v>
      </c>
      <c r="T5" s="4">
        <v>3</v>
      </c>
      <c r="Z5" s="1"/>
      <c r="AA5" s="1"/>
    </row>
    <row r="6" spans="1:27" x14ac:dyDescent="0.45">
      <c r="A6" s="4">
        <v>3</v>
      </c>
      <c r="B6" s="4">
        <v>180000</v>
      </c>
      <c r="C6" s="4">
        <v>500</v>
      </c>
      <c r="D6" s="4">
        <v>1</v>
      </c>
      <c r="E6" s="4" t="s">
        <v>36</v>
      </c>
      <c r="J6" s="4" t="s">
        <v>24</v>
      </c>
      <c r="K6" s="4" t="s">
        <v>25</v>
      </c>
      <c r="L6" s="4">
        <v>250</v>
      </c>
      <c r="M6" s="4">
        <v>225</v>
      </c>
      <c r="N6" s="4">
        <v>300</v>
      </c>
      <c r="O6" s="4">
        <v>150</v>
      </c>
      <c r="P6" s="4">
        <v>100</v>
      </c>
      <c r="Q6" s="4">
        <v>5</v>
      </c>
      <c r="R6" s="4">
        <v>70</v>
      </c>
      <c r="S6" s="4">
        <v>3</v>
      </c>
      <c r="T6" s="4">
        <v>4</v>
      </c>
      <c r="Z6" s="1"/>
      <c r="AA6" s="1"/>
    </row>
    <row r="7" spans="1:27" x14ac:dyDescent="0.45">
      <c r="A7" s="4">
        <v>4</v>
      </c>
      <c r="B7" s="4">
        <v>18000000</v>
      </c>
      <c r="C7" s="4">
        <v>100</v>
      </c>
      <c r="D7" s="4">
        <v>1</v>
      </c>
      <c r="E7" s="4" t="s">
        <v>109</v>
      </c>
      <c r="J7" s="4" t="s">
        <v>26</v>
      </c>
      <c r="K7" s="4" t="s">
        <v>27</v>
      </c>
      <c r="L7" s="4">
        <v>350</v>
      </c>
      <c r="M7" s="4">
        <v>300</v>
      </c>
      <c r="N7" s="4">
        <v>350</v>
      </c>
      <c r="O7" s="4">
        <v>200</v>
      </c>
      <c r="P7" s="4">
        <v>0</v>
      </c>
      <c r="Q7" s="4">
        <v>5</v>
      </c>
      <c r="R7" s="4">
        <v>70</v>
      </c>
      <c r="S7" s="4">
        <v>3</v>
      </c>
      <c r="T7" s="4">
        <v>5</v>
      </c>
      <c r="Z7" s="1"/>
      <c r="AA7" s="1"/>
    </row>
    <row r="8" spans="1:27" x14ac:dyDescent="0.45">
      <c r="A8" s="4">
        <v>5</v>
      </c>
      <c r="B8" s="4">
        <v>360000000</v>
      </c>
      <c r="C8" s="4">
        <v>100</v>
      </c>
      <c r="D8" s="4">
        <v>1</v>
      </c>
      <c r="E8" s="4" t="s">
        <v>110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Z8" s="1"/>
      <c r="AA8" s="1"/>
    </row>
    <row r="9" spans="1:27" x14ac:dyDescent="0.45">
      <c r="A9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Z9" s="1"/>
      <c r="AA9" s="1"/>
    </row>
    <row r="10" spans="1:27" x14ac:dyDescent="0.45">
      <c r="A10" s="4" t="s">
        <v>112</v>
      </c>
      <c r="B10" s="4"/>
      <c r="C10" s="4"/>
      <c r="D10" s="4"/>
      <c r="E10" s="4"/>
      <c r="F10" s="4"/>
      <c r="J10" s="4" t="s">
        <v>912</v>
      </c>
      <c r="K10" s="4"/>
      <c r="L10" s="4"/>
      <c r="M10" s="4"/>
      <c r="N10" s="4"/>
      <c r="O10" s="4"/>
      <c r="P10" s="4"/>
      <c r="Q10" s="4"/>
      <c r="R10" s="4"/>
      <c r="S10" s="4"/>
      <c r="T10" s="4"/>
      <c r="Z10" s="1"/>
      <c r="AA10" s="1"/>
    </row>
    <row r="11" spans="1:27" x14ac:dyDescent="0.45">
      <c r="A11" s="4" t="s">
        <v>28</v>
      </c>
      <c r="B11" s="4" t="s">
        <v>29</v>
      </c>
      <c r="C11" s="4" t="s">
        <v>30</v>
      </c>
      <c r="D11" s="4" t="s">
        <v>31</v>
      </c>
      <c r="E11" s="4" t="s">
        <v>113</v>
      </c>
      <c r="F11" s="4" t="s">
        <v>114</v>
      </c>
      <c r="J11" s="4" t="s">
        <v>7</v>
      </c>
      <c r="K11" s="4" t="s">
        <v>8</v>
      </c>
      <c r="L11" s="4" t="s">
        <v>9</v>
      </c>
      <c r="M11" s="4" t="s">
        <v>10</v>
      </c>
      <c r="N11" s="4" t="s">
        <v>11</v>
      </c>
      <c r="O11" s="4" t="s">
        <v>12</v>
      </c>
      <c r="P11" s="4" t="s">
        <v>13</v>
      </c>
      <c r="Q11" s="4" t="s">
        <v>14</v>
      </c>
      <c r="R11" s="4" t="s">
        <v>15</v>
      </c>
      <c r="S11" s="4" t="s">
        <v>16</v>
      </c>
      <c r="T11" s="4" t="s">
        <v>17</v>
      </c>
      <c r="Z11" s="1"/>
      <c r="AA11" s="1"/>
    </row>
    <row r="12" spans="1:27" x14ac:dyDescent="0.45">
      <c r="A12" s="4">
        <v>1</v>
      </c>
      <c r="B12" s="4">
        <v>180000</v>
      </c>
      <c r="C12" s="4">
        <v>200</v>
      </c>
      <c r="D12" s="4">
        <v>1.0255057211429901</v>
      </c>
      <c r="E12" s="4">
        <v>30</v>
      </c>
      <c r="F12" s="4">
        <f>B12/360</f>
        <v>500</v>
      </c>
      <c r="J12" s="4" t="s">
        <v>18</v>
      </c>
      <c r="K12" s="4" t="s">
        <v>19</v>
      </c>
      <c r="L12" s="4">
        <v>100</v>
      </c>
      <c r="M12" s="12">
        <v>0</v>
      </c>
      <c r="N12" s="12">
        <v>94</v>
      </c>
      <c r="O12" s="4">
        <v>200</v>
      </c>
      <c r="P12" s="4">
        <v>300</v>
      </c>
      <c r="Q12" s="4">
        <v>5</v>
      </c>
      <c r="R12" s="4">
        <v>70</v>
      </c>
      <c r="S12" s="4">
        <v>3</v>
      </c>
      <c r="T12" s="4">
        <v>1</v>
      </c>
      <c r="Z12" s="1"/>
      <c r="AA12" s="1"/>
    </row>
    <row r="13" spans="1:27" x14ac:dyDescent="0.45">
      <c r="A13" s="4">
        <v>2</v>
      </c>
      <c r="B13" s="4">
        <v>1800000</v>
      </c>
      <c r="C13" s="4">
        <v>200</v>
      </c>
      <c r="D13" s="4">
        <v>1.0396382277644101</v>
      </c>
      <c r="E13" s="4">
        <v>30</v>
      </c>
      <c r="F13" s="4">
        <f>B13/360</f>
        <v>5000</v>
      </c>
      <c r="J13" s="4" t="s">
        <v>20</v>
      </c>
      <c r="K13" s="4" t="s">
        <v>21</v>
      </c>
      <c r="L13" s="4">
        <v>150</v>
      </c>
      <c r="M13" s="12">
        <v>94</v>
      </c>
      <c r="N13" s="12">
        <v>118</v>
      </c>
      <c r="O13" s="4">
        <v>150</v>
      </c>
      <c r="P13" s="4">
        <v>250</v>
      </c>
      <c r="Q13" s="4">
        <v>5</v>
      </c>
      <c r="R13" s="4">
        <v>70</v>
      </c>
      <c r="S13" s="4">
        <v>3</v>
      </c>
      <c r="T13" s="4">
        <v>2</v>
      </c>
      <c r="Z13" s="1"/>
      <c r="AA13" s="1"/>
    </row>
    <row r="14" spans="1:27" x14ac:dyDescent="0.45">
      <c r="A14" s="4">
        <v>3</v>
      </c>
      <c r="B14" s="4">
        <v>18000000</v>
      </c>
      <c r="C14" s="4">
        <v>200</v>
      </c>
      <c r="D14" s="4">
        <v>1.0532256549825301</v>
      </c>
      <c r="E14" s="4">
        <v>30</v>
      </c>
      <c r="F14" s="4">
        <f>B14/360</f>
        <v>50000</v>
      </c>
      <c r="J14" s="4" t="s">
        <v>22</v>
      </c>
      <c r="K14" s="4" t="s">
        <v>23</v>
      </c>
      <c r="L14" s="4">
        <v>200</v>
      </c>
      <c r="M14" s="12">
        <v>118</v>
      </c>
      <c r="N14" s="12">
        <v>153</v>
      </c>
      <c r="O14" s="4">
        <v>200</v>
      </c>
      <c r="P14" s="4">
        <v>150</v>
      </c>
      <c r="Q14" s="4">
        <v>5</v>
      </c>
      <c r="R14" s="4">
        <v>70</v>
      </c>
      <c r="S14" s="4">
        <v>3</v>
      </c>
      <c r="T14" s="4">
        <v>3</v>
      </c>
      <c r="Z14" s="1"/>
      <c r="AA14" s="1"/>
    </row>
    <row r="15" spans="1:27" x14ac:dyDescent="0.45">
      <c r="A15" s="4">
        <v>4</v>
      </c>
      <c r="B15" s="4">
        <v>180000000</v>
      </c>
      <c r="C15" s="4">
        <v>200</v>
      </c>
      <c r="D15" s="4">
        <v>1.0666174958886401</v>
      </c>
      <c r="E15" s="4">
        <v>30</v>
      </c>
      <c r="F15" s="4">
        <f>B15/360</f>
        <v>500000</v>
      </c>
      <c r="J15" s="4" t="s">
        <v>24</v>
      </c>
      <c r="K15" s="4" t="s">
        <v>25</v>
      </c>
      <c r="L15" s="4">
        <v>250</v>
      </c>
      <c r="M15" s="12">
        <v>153</v>
      </c>
      <c r="N15" s="12">
        <v>167</v>
      </c>
      <c r="O15" s="4">
        <v>150</v>
      </c>
      <c r="P15" s="4">
        <v>100</v>
      </c>
      <c r="Q15" s="4">
        <v>5</v>
      </c>
      <c r="R15" s="4">
        <v>70</v>
      </c>
      <c r="S15" s="4">
        <v>3</v>
      </c>
      <c r="T15" s="4">
        <v>4</v>
      </c>
      <c r="Z15" s="1"/>
      <c r="AA15" s="1"/>
    </row>
    <row r="16" spans="1:27" x14ac:dyDescent="0.45">
      <c r="A16" s="4">
        <v>5</v>
      </c>
      <c r="B16" s="4">
        <v>720000000</v>
      </c>
      <c r="C16" s="4">
        <v>200</v>
      </c>
      <c r="D16" s="4">
        <v>1.0746477694404</v>
      </c>
      <c r="E16" s="4">
        <v>30</v>
      </c>
      <c r="F16" s="4">
        <f>B16/360</f>
        <v>2000000</v>
      </c>
      <c r="J16" s="4" t="s">
        <v>26</v>
      </c>
      <c r="K16" s="4" t="s">
        <v>27</v>
      </c>
      <c r="L16" s="4">
        <v>350</v>
      </c>
      <c r="M16" s="12">
        <v>167</v>
      </c>
      <c r="N16" s="12">
        <v>200</v>
      </c>
      <c r="O16" s="4">
        <v>200</v>
      </c>
      <c r="P16" s="4">
        <v>0</v>
      </c>
      <c r="Q16" s="4">
        <v>5</v>
      </c>
      <c r="R16" s="4">
        <v>70</v>
      </c>
      <c r="S16" s="4">
        <v>3</v>
      </c>
      <c r="T16" s="4">
        <v>5</v>
      </c>
      <c r="Z16" s="1"/>
      <c r="AA16" s="1"/>
    </row>
    <row r="17" spans="1:35" x14ac:dyDescent="0.45">
      <c r="B17" s="4"/>
      <c r="C17" s="4"/>
      <c r="D17" s="4"/>
      <c r="E17" s="4"/>
      <c r="F17" s="4"/>
      <c r="Z17" s="1"/>
      <c r="AA17" s="1"/>
    </row>
    <row r="18" spans="1:35" x14ac:dyDescent="0.45">
      <c r="A18" s="4" t="s">
        <v>28</v>
      </c>
      <c r="B18" s="4" t="s">
        <v>29</v>
      </c>
      <c r="C18" s="4" t="s">
        <v>30</v>
      </c>
      <c r="D18" s="4" t="s">
        <v>31</v>
      </c>
      <c r="E18" s="4" t="s">
        <v>113</v>
      </c>
      <c r="F18" s="4" t="s">
        <v>114</v>
      </c>
      <c r="Z18" s="1"/>
      <c r="AA18" s="1"/>
    </row>
    <row r="19" spans="1:35" x14ac:dyDescent="0.45">
      <c r="A19" s="7">
        <v>1</v>
      </c>
      <c r="B19" s="4">
        <v>180000</v>
      </c>
      <c r="C19" s="7">
        <v>200</v>
      </c>
      <c r="D19" s="7">
        <v>1.0373939999999999</v>
      </c>
      <c r="E19" s="8">
        <v>1</v>
      </c>
      <c r="F19" s="4">
        <f>B19/360</f>
        <v>500</v>
      </c>
      <c r="Z19" s="1"/>
      <c r="AA19" s="1"/>
    </row>
    <row r="20" spans="1:35" x14ac:dyDescent="0.45">
      <c r="A20" s="7">
        <v>2</v>
      </c>
      <c r="B20" s="4">
        <v>1800000</v>
      </c>
      <c r="C20" s="7">
        <v>200</v>
      </c>
      <c r="D20" s="7">
        <v>1.052738</v>
      </c>
      <c r="E20" s="8">
        <v>1</v>
      </c>
      <c r="F20" s="4">
        <f>B20/360</f>
        <v>5000</v>
      </c>
      <c r="Z20" s="1"/>
      <c r="AA20" s="1"/>
    </row>
    <row r="21" spans="1:35" x14ac:dyDescent="0.45">
      <c r="A21" s="7">
        <v>3</v>
      </c>
      <c r="B21" s="4">
        <v>18000000</v>
      </c>
      <c r="C21" s="7">
        <v>200</v>
      </c>
      <c r="D21" s="7">
        <v>1.0680700000000001</v>
      </c>
      <c r="E21" s="8">
        <v>1</v>
      </c>
      <c r="F21" s="4">
        <f>B21/360</f>
        <v>50000</v>
      </c>
      <c r="Z21" s="1"/>
      <c r="AA21" s="1"/>
    </row>
    <row r="22" spans="1:35" x14ac:dyDescent="0.45">
      <c r="A22" s="7">
        <v>4</v>
      </c>
      <c r="B22" s="4">
        <v>180000000</v>
      </c>
      <c r="C22" s="7">
        <v>200</v>
      </c>
      <c r="D22" s="7">
        <v>1.0834010000000001</v>
      </c>
      <c r="E22" s="8">
        <v>1</v>
      </c>
      <c r="F22" s="4">
        <f>B22/360</f>
        <v>500000</v>
      </c>
      <c r="Z22" s="1"/>
      <c r="AA22" s="1"/>
    </row>
    <row r="23" spans="1:35" x14ac:dyDescent="0.45">
      <c r="A23" s="7">
        <v>5</v>
      </c>
      <c r="B23" s="4">
        <v>720000000</v>
      </c>
      <c r="C23" s="7">
        <v>200</v>
      </c>
      <c r="D23" s="7">
        <v>1.0909169999999999</v>
      </c>
      <c r="E23" s="8">
        <v>1</v>
      </c>
      <c r="F23" s="4">
        <f>B23/360</f>
        <v>2000000</v>
      </c>
      <c r="Z23" s="1"/>
      <c r="AA23" s="1"/>
    </row>
    <row r="24" spans="1:35" x14ac:dyDescent="0.45">
      <c r="A24"/>
      <c r="C24" s="1"/>
      <c r="D24" s="1"/>
      <c r="E24" s="1"/>
      <c r="F24" s="1"/>
      <c r="G24" s="1"/>
      <c r="H24" s="2"/>
      <c r="W24" s="1"/>
      <c r="X24" s="1"/>
      <c r="Y24" s="1"/>
      <c r="Z24" s="1"/>
      <c r="AA24" s="1"/>
    </row>
    <row r="25" spans="1:35" x14ac:dyDescent="0.45">
      <c r="A25"/>
      <c r="C25" s="1"/>
      <c r="D25" s="1"/>
      <c r="E25" s="1"/>
      <c r="F25" s="1"/>
      <c r="G25" s="1"/>
      <c r="H25" s="2"/>
      <c r="W25" s="1"/>
      <c r="X25" s="1"/>
      <c r="Y25" s="1"/>
      <c r="Z25" s="1"/>
      <c r="AA25" s="1"/>
    </row>
    <row r="26" spans="1:35" x14ac:dyDescent="0.45">
      <c r="A26"/>
      <c r="C26" s="1"/>
      <c r="D26" s="1"/>
      <c r="E26" s="1"/>
      <c r="F26" s="1"/>
      <c r="G26" s="1"/>
      <c r="H26" s="2"/>
      <c r="W26" s="1"/>
      <c r="X26" s="1"/>
      <c r="Y26" s="1"/>
      <c r="Z26" s="1"/>
      <c r="AA26" s="1"/>
    </row>
    <row r="27" spans="1:35" x14ac:dyDescent="0.45">
      <c r="A27" t="s">
        <v>965</v>
      </c>
      <c r="C27" s="1"/>
      <c r="D27" s="1"/>
      <c r="E27" s="1"/>
      <c r="F27" s="1"/>
      <c r="G27" s="1"/>
      <c r="H27" s="2"/>
      <c r="W27" s="1"/>
      <c r="X27" s="1"/>
      <c r="Y27" s="1"/>
      <c r="Z27" s="1"/>
      <c r="AA27" s="1"/>
    </row>
    <row r="28" spans="1:35" x14ac:dyDescent="0.45">
      <c r="A28"/>
      <c r="C28" s="1"/>
      <c r="D28" s="1"/>
      <c r="E28" s="1"/>
      <c r="F28" s="1"/>
      <c r="G28" s="1"/>
      <c r="H28" s="2"/>
      <c r="W28" s="1"/>
      <c r="X28" s="1"/>
      <c r="Y28" s="1"/>
      <c r="Z28" s="1"/>
      <c r="AA28" s="1"/>
    </row>
    <row r="29" spans="1:35" x14ac:dyDescent="0.45">
      <c r="A29" t="s">
        <v>966</v>
      </c>
      <c r="W29" s="4" t="s">
        <v>966</v>
      </c>
    </row>
    <row r="30" spans="1:35" x14ac:dyDescent="0.45">
      <c r="A30" s="4" t="s">
        <v>43</v>
      </c>
      <c r="B30" s="16" t="s">
        <v>940</v>
      </c>
      <c r="C30" s="16" t="s">
        <v>941</v>
      </c>
      <c r="D30" s="16" t="s">
        <v>942</v>
      </c>
      <c r="E30" s="16" t="s">
        <v>943</v>
      </c>
      <c r="F30" s="16" t="s">
        <v>944</v>
      </c>
      <c r="G30" s="16" t="s">
        <v>945</v>
      </c>
      <c r="H30" s="16" t="s">
        <v>946</v>
      </c>
      <c r="I30" s="16" t="s">
        <v>947</v>
      </c>
      <c r="J30" s="16" t="s">
        <v>948</v>
      </c>
      <c r="K30" s="16" t="s">
        <v>949</v>
      </c>
      <c r="W30" s="4" t="s">
        <v>91</v>
      </c>
      <c r="X30" s="4" t="s">
        <v>37</v>
      </c>
      <c r="Y30" s="4" t="s">
        <v>108</v>
      </c>
      <c r="Z30" s="4" t="s">
        <v>99</v>
      </c>
      <c r="AA30" s="4" t="s">
        <v>100</v>
      </c>
      <c r="AB30" s="4" t="s">
        <v>101</v>
      </c>
      <c r="AC30" s="4" t="s">
        <v>102</v>
      </c>
      <c r="AD30" s="4" t="s">
        <v>103</v>
      </c>
      <c r="AE30" s="4" t="s">
        <v>104</v>
      </c>
      <c r="AF30" s="4" t="s">
        <v>105</v>
      </c>
      <c r="AG30" s="4" t="s">
        <v>106</v>
      </c>
      <c r="AH30" s="4" t="s">
        <v>107</v>
      </c>
      <c r="AI30" s="4" t="s">
        <v>901</v>
      </c>
    </row>
    <row r="31" spans="1:35" x14ac:dyDescent="0.45">
      <c r="A31" s="6" t="s">
        <v>50</v>
      </c>
      <c r="B31" s="17">
        <v>8.6400000000000001E-3</v>
      </c>
      <c r="C31" s="17">
        <v>8.6400000000000005E-2</v>
      </c>
      <c r="D31" s="17">
        <v>0.86399999999999999</v>
      </c>
      <c r="E31" s="17">
        <v>8.64</v>
      </c>
      <c r="F31" s="17">
        <v>86.4</v>
      </c>
      <c r="G31" s="17">
        <v>8.6400000000000001E-3</v>
      </c>
      <c r="H31" s="17">
        <v>8.6400000000000005E-2</v>
      </c>
      <c r="I31" s="17">
        <v>0.86399999999999999</v>
      </c>
      <c r="J31" s="17">
        <v>8.64</v>
      </c>
      <c r="K31" s="17">
        <v>86.4</v>
      </c>
      <c r="W31" s="4" t="s">
        <v>93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</row>
    <row r="32" spans="1:35" x14ac:dyDescent="0.45">
      <c r="A32" s="6" t="s">
        <v>54</v>
      </c>
      <c r="B32" s="18">
        <v>8.6399999999999999E-5</v>
      </c>
      <c r="C32" s="18">
        <v>8.6399999999999999E-5</v>
      </c>
      <c r="D32" s="18">
        <v>8.6399999999999999E-5</v>
      </c>
      <c r="E32" s="18">
        <v>8.6399999999999999E-5</v>
      </c>
      <c r="F32" s="18">
        <v>8.6399999999999999E-5</v>
      </c>
      <c r="G32" s="18">
        <v>8.6400000000000001E-3</v>
      </c>
      <c r="H32" s="18">
        <v>8.6400000000000001E-3</v>
      </c>
      <c r="I32" s="18">
        <v>8.6400000000000001E-3</v>
      </c>
      <c r="J32" s="18">
        <v>8.6400000000000001E-3</v>
      </c>
      <c r="K32" s="18">
        <v>8.6400000000000001E-3</v>
      </c>
      <c r="W32" s="4" t="s">
        <v>93</v>
      </c>
      <c r="X32" s="3">
        <v>3600000</v>
      </c>
      <c r="Y32" s="4">
        <v>0</v>
      </c>
      <c r="Z32" s="4">
        <v>-100</v>
      </c>
      <c r="AA32" s="4">
        <v>-200</v>
      </c>
      <c r="AB32" s="4">
        <v>-1000</v>
      </c>
      <c r="AC32" s="4">
        <v>-2000</v>
      </c>
      <c r="AD32" s="4">
        <v>-20000</v>
      </c>
      <c r="AE32" s="4">
        <v>-100000</v>
      </c>
      <c r="AF32" s="4">
        <v>-200000</v>
      </c>
      <c r="AG32" s="4">
        <v>-600000</v>
      </c>
      <c r="AH32" s="4">
        <v>-1200000</v>
      </c>
      <c r="AI32" s="4">
        <v>-2400000</v>
      </c>
    </row>
    <row r="33" spans="1:35" x14ac:dyDescent="0.45">
      <c r="A33" s="6" t="s">
        <v>56</v>
      </c>
      <c r="B33" s="17">
        <v>8.6400000000000001E-3</v>
      </c>
      <c r="C33" s="17">
        <v>8.6400000000000005E-2</v>
      </c>
      <c r="D33" s="17">
        <v>0.86399999999999999</v>
      </c>
      <c r="E33" s="17">
        <v>8.64</v>
      </c>
      <c r="F33" s="17">
        <v>86.4</v>
      </c>
      <c r="G33" s="17">
        <v>8.6400000000000001E-3</v>
      </c>
      <c r="H33" s="17">
        <v>8.6400000000000005E-2</v>
      </c>
      <c r="I33" s="17">
        <v>0.86399999999999999</v>
      </c>
      <c r="J33" s="17">
        <v>8.64</v>
      </c>
      <c r="K33" s="17">
        <v>86.4</v>
      </c>
      <c r="W33" s="4" t="s">
        <v>93</v>
      </c>
      <c r="X33" s="3">
        <v>800000000</v>
      </c>
      <c r="Y33" s="4">
        <v>0</v>
      </c>
      <c r="Z33" s="4">
        <v>-100</v>
      </c>
      <c r="AA33" s="4">
        <v>-200</v>
      </c>
      <c r="AB33" s="4">
        <v>-1000</v>
      </c>
      <c r="AC33" s="4">
        <v>-2000</v>
      </c>
      <c r="AD33" s="4">
        <v>-20000</v>
      </c>
      <c r="AE33" s="4">
        <v>-100000</v>
      </c>
      <c r="AF33" s="4">
        <v>-200000</v>
      </c>
      <c r="AG33" s="4">
        <v>-600000</v>
      </c>
      <c r="AH33" s="4">
        <v>-1200000</v>
      </c>
      <c r="AI33" s="4">
        <v>-2400000</v>
      </c>
    </row>
    <row r="34" spans="1:35" x14ac:dyDescent="0.45">
      <c r="A34" s="6" t="s">
        <v>58</v>
      </c>
      <c r="B34" s="18">
        <v>8.6399999999999999E-5</v>
      </c>
      <c r="C34" s="18">
        <v>8.6399999999999999E-5</v>
      </c>
      <c r="D34" s="18">
        <v>8.6399999999999999E-5</v>
      </c>
      <c r="E34" s="18">
        <v>8.6399999999999999E-5</v>
      </c>
      <c r="F34" s="18">
        <v>8.6399999999999999E-5</v>
      </c>
      <c r="G34" s="18">
        <v>8.6400000000000001E-3</v>
      </c>
      <c r="H34" s="18">
        <v>8.6400000000000001E-3</v>
      </c>
      <c r="I34" s="18">
        <v>8.6400000000000001E-3</v>
      </c>
      <c r="J34" s="18">
        <v>8.6400000000000001E-3</v>
      </c>
      <c r="K34" s="18">
        <v>8.6400000000000001E-3</v>
      </c>
      <c r="W34" s="4" t="s">
        <v>94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</row>
    <row r="35" spans="1:35" x14ac:dyDescent="0.45">
      <c r="A35" s="6" t="s">
        <v>60</v>
      </c>
      <c r="B35" s="17">
        <v>8.6400000000000001E-3</v>
      </c>
      <c r="C35" s="17">
        <v>8.6400000000000005E-2</v>
      </c>
      <c r="D35" s="17">
        <v>0.86399999999999999</v>
      </c>
      <c r="E35" s="17">
        <v>8.64</v>
      </c>
      <c r="F35" s="17">
        <v>86.4</v>
      </c>
      <c r="G35" s="17">
        <v>8.6400000000000001E-3</v>
      </c>
      <c r="H35" s="17">
        <v>8.6400000000000005E-2</v>
      </c>
      <c r="I35" s="17">
        <v>0.86399999999999999</v>
      </c>
      <c r="J35" s="17">
        <v>8.64</v>
      </c>
      <c r="K35" s="17">
        <v>86.4</v>
      </c>
      <c r="W35" s="4" t="s">
        <v>94</v>
      </c>
      <c r="X35" s="3">
        <v>3600000</v>
      </c>
      <c r="Y35" s="4">
        <v>0</v>
      </c>
      <c r="Z35" s="4">
        <v>-100</v>
      </c>
      <c r="AA35" s="4">
        <v>-200</v>
      </c>
      <c r="AB35" s="4">
        <v>-1000</v>
      </c>
      <c r="AC35" s="4">
        <v>-2000</v>
      </c>
      <c r="AD35" s="4">
        <v>-20000</v>
      </c>
      <c r="AE35" s="4">
        <v>-100000</v>
      </c>
      <c r="AF35" s="4">
        <v>-200000</v>
      </c>
      <c r="AG35" s="4">
        <v>-600000</v>
      </c>
      <c r="AH35" s="4">
        <v>-1200000</v>
      </c>
      <c r="AI35" s="4">
        <v>-2400000</v>
      </c>
    </row>
    <row r="36" spans="1:35" x14ac:dyDescent="0.45">
      <c r="A36" s="6" t="s">
        <v>62</v>
      </c>
      <c r="B36" s="17">
        <v>8.6400000000000001E-3</v>
      </c>
      <c r="C36" s="17">
        <v>8.6400000000000005E-2</v>
      </c>
      <c r="D36" s="17">
        <v>0.86399999999999999</v>
      </c>
      <c r="E36" s="17">
        <v>8.64</v>
      </c>
      <c r="F36" s="17">
        <v>86.4</v>
      </c>
      <c r="G36" s="17">
        <v>8.6400000000000001E-3</v>
      </c>
      <c r="H36" s="17">
        <v>8.6400000000000005E-2</v>
      </c>
      <c r="I36" s="17">
        <v>0.86399999999999999</v>
      </c>
      <c r="J36" s="17">
        <v>8.64</v>
      </c>
      <c r="K36" s="17">
        <v>86.4</v>
      </c>
      <c r="W36" s="4" t="s">
        <v>94</v>
      </c>
      <c r="X36" s="3">
        <v>800000000</v>
      </c>
      <c r="Y36" s="4">
        <v>0</v>
      </c>
      <c r="Z36" s="4">
        <v>-100</v>
      </c>
      <c r="AA36" s="4">
        <v>-200</v>
      </c>
      <c r="AB36" s="4">
        <v>-1000</v>
      </c>
      <c r="AC36" s="4">
        <v>-2000</v>
      </c>
      <c r="AD36" s="4">
        <v>-20000</v>
      </c>
      <c r="AE36" s="4">
        <v>-100000</v>
      </c>
      <c r="AF36" s="4">
        <v>-200000</v>
      </c>
      <c r="AG36" s="4">
        <v>-600000</v>
      </c>
      <c r="AH36" s="4">
        <v>-1200000</v>
      </c>
      <c r="AI36" s="4">
        <v>-2400000</v>
      </c>
    </row>
    <row r="37" spans="1:35" x14ac:dyDescent="0.45">
      <c r="A37" s="6" t="s">
        <v>63</v>
      </c>
      <c r="B37" s="18">
        <v>8.6399999999999999E-5</v>
      </c>
      <c r="C37" s="18">
        <v>8.6399999999999999E-5</v>
      </c>
      <c r="D37" s="18">
        <v>8.6399999999999999E-5</v>
      </c>
      <c r="E37" s="18">
        <v>8.6399999999999999E-5</v>
      </c>
      <c r="F37" s="18">
        <v>8.6399999999999999E-5</v>
      </c>
      <c r="G37" s="18">
        <v>8.6400000000000001E-3</v>
      </c>
      <c r="H37" s="18">
        <v>8.6400000000000001E-3</v>
      </c>
      <c r="I37" s="18">
        <v>8.6400000000000001E-3</v>
      </c>
      <c r="J37" s="18">
        <v>8.6400000000000001E-3</v>
      </c>
      <c r="K37" s="18">
        <v>8.6400000000000001E-3</v>
      </c>
      <c r="W37" s="4" t="s">
        <v>95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</row>
    <row r="38" spans="1:35" x14ac:dyDescent="0.45">
      <c r="A38" s="6" t="s">
        <v>64</v>
      </c>
      <c r="B38" s="17">
        <v>8.6400000000000001E-3</v>
      </c>
      <c r="C38" s="17">
        <v>8.6400000000000005E-2</v>
      </c>
      <c r="D38" s="17">
        <v>0.86399999999999999</v>
      </c>
      <c r="E38" s="17">
        <v>8.64</v>
      </c>
      <c r="F38" s="17">
        <v>86.4</v>
      </c>
      <c r="G38" s="17">
        <v>8.6400000000000001E-3</v>
      </c>
      <c r="H38" s="17">
        <v>8.6400000000000005E-2</v>
      </c>
      <c r="I38" s="17">
        <v>0.86399999999999999</v>
      </c>
      <c r="J38" s="17">
        <v>8.64</v>
      </c>
      <c r="K38" s="17">
        <v>86.4</v>
      </c>
      <c r="W38" s="4" t="s">
        <v>95</v>
      </c>
      <c r="X38" s="3">
        <v>3600000</v>
      </c>
      <c r="Y38" s="4">
        <v>0</v>
      </c>
      <c r="Z38" s="4">
        <v>-100</v>
      </c>
      <c r="AA38" s="4">
        <v>-200</v>
      </c>
      <c r="AB38" s="4">
        <v>-1000</v>
      </c>
      <c r="AC38" s="4">
        <v>-2000</v>
      </c>
      <c r="AD38" s="4">
        <v>-20000</v>
      </c>
      <c r="AE38" s="4">
        <v>-100000</v>
      </c>
      <c r="AF38" s="4">
        <v>-200000</v>
      </c>
      <c r="AG38" s="4">
        <v>-600000</v>
      </c>
      <c r="AH38" s="4">
        <v>-1200000</v>
      </c>
      <c r="AI38" s="4">
        <v>-2400000</v>
      </c>
    </row>
    <row r="39" spans="1:35" x14ac:dyDescent="0.45">
      <c r="A39" s="6" t="s">
        <v>65</v>
      </c>
      <c r="B39" s="18">
        <v>8.6399999999999999E-5</v>
      </c>
      <c r="C39" s="18">
        <v>8.6399999999999999E-5</v>
      </c>
      <c r="D39" s="18">
        <v>8.6399999999999999E-5</v>
      </c>
      <c r="E39" s="18">
        <v>8.6399999999999999E-5</v>
      </c>
      <c r="F39" s="18">
        <v>8.6399999999999999E-5</v>
      </c>
      <c r="G39" s="18">
        <v>8.6400000000000001E-3</v>
      </c>
      <c r="H39" s="18">
        <v>8.6400000000000001E-3</v>
      </c>
      <c r="I39" s="18">
        <v>8.6400000000000001E-3</v>
      </c>
      <c r="J39" s="18">
        <v>8.6400000000000001E-3</v>
      </c>
      <c r="K39" s="18">
        <v>8.6400000000000001E-3</v>
      </c>
      <c r="W39" s="4" t="s">
        <v>95</v>
      </c>
      <c r="X39" s="3">
        <v>800000000</v>
      </c>
      <c r="Y39" s="4">
        <v>0</v>
      </c>
      <c r="Z39" s="4">
        <v>-100</v>
      </c>
      <c r="AA39" s="4">
        <v>-200</v>
      </c>
      <c r="AB39" s="4">
        <v>-1000</v>
      </c>
      <c r="AC39" s="4">
        <v>-2000</v>
      </c>
      <c r="AD39" s="4">
        <v>-20000</v>
      </c>
      <c r="AE39" s="4">
        <v>-100000</v>
      </c>
      <c r="AF39" s="4">
        <v>-200000</v>
      </c>
      <c r="AG39" s="4">
        <v>-600000</v>
      </c>
      <c r="AH39" s="4">
        <v>-1200000</v>
      </c>
      <c r="AI39" s="4">
        <v>-2400000</v>
      </c>
    </row>
    <row r="40" spans="1:35" x14ac:dyDescent="0.45">
      <c r="A40" s="6" t="s">
        <v>66</v>
      </c>
      <c r="B40" s="17">
        <v>8.6400000000000001E-3</v>
      </c>
      <c r="C40" s="17">
        <v>8.6400000000000005E-2</v>
      </c>
      <c r="D40" s="17">
        <v>0.86399999999999999</v>
      </c>
      <c r="E40" s="17">
        <v>8.64</v>
      </c>
      <c r="F40" s="17">
        <v>86.4</v>
      </c>
      <c r="G40" s="17">
        <v>8.6400000000000001E-3</v>
      </c>
      <c r="H40" s="17">
        <v>8.6400000000000005E-2</v>
      </c>
      <c r="I40" s="17">
        <v>0.86399999999999999</v>
      </c>
      <c r="J40" s="17">
        <v>8.64</v>
      </c>
      <c r="K40" s="17">
        <v>86.4</v>
      </c>
      <c r="W40" s="4" t="s">
        <v>96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</row>
    <row r="41" spans="1:35" x14ac:dyDescent="0.45">
      <c r="A41"/>
      <c r="W41" s="4" t="s">
        <v>96</v>
      </c>
      <c r="X41" s="3">
        <v>3600000</v>
      </c>
      <c r="Y41" s="4">
        <v>0</v>
      </c>
      <c r="Z41" s="4">
        <v>-100</v>
      </c>
      <c r="AA41" s="4">
        <v>-200</v>
      </c>
      <c r="AB41" s="4">
        <v>-1000</v>
      </c>
      <c r="AC41" s="4">
        <v>-2000</v>
      </c>
      <c r="AD41" s="4">
        <v>-20000</v>
      </c>
      <c r="AE41" s="4">
        <v>-100000</v>
      </c>
      <c r="AF41" s="4">
        <v>-200000</v>
      </c>
      <c r="AG41" s="4">
        <v>-600000</v>
      </c>
      <c r="AH41" s="4">
        <v>-1200000</v>
      </c>
      <c r="AI41" s="4">
        <v>-2400000</v>
      </c>
    </row>
    <row r="42" spans="1:35" x14ac:dyDescent="0.45">
      <c r="A42" s="4" t="s">
        <v>967</v>
      </c>
      <c r="W42" s="4" t="s">
        <v>96</v>
      </c>
      <c r="X42" s="3">
        <v>800000000</v>
      </c>
      <c r="Y42" s="4">
        <v>0</v>
      </c>
      <c r="Z42" s="4">
        <v>-100</v>
      </c>
      <c r="AA42" s="4">
        <v>-200</v>
      </c>
      <c r="AB42" s="4">
        <v>-1000</v>
      </c>
      <c r="AC42" s="4">
        <v>-2000</v>
      </c>
      <c r="AD42" s="4">
        <v>-20000</v>
      </c>
      <c r="AE42" s="4">
        <v>-100000</v>
      </c>
      <c r="AF42" s="4">
        <v>-200000</v>
      </c>
      <c r="AG42" s="4">
        <v>-600000</v>
      </c>
      <c r="AH42" s="4">
        <v>-1200000</v>
      </c>
      <c r="AI42" s="4">
        <v>-2400000</v>
      </c>
    </row>
    <row r="43" spans="1:35" x14ac:dyDescent="0.45">
      <c r="A43" s="4" t="s">
        <v>43</v>
      </c>
      <c r="B43" s="4" t="s">
        <v>930</v>
      </c>
      <c r="C43" s="4" t="s">
        <v>931</v>
      </c>
      <c r="D43" s="4" t="s">
        <v>932</v>
      </c>
      <c r="E43" s="4" t="s">
        <v>933</v>
      </c>
      <c r="F43" s="4" t="s">
        <v>934</v>
      </c>
      <c r="G43" s="4" t="s">
        <v>950</v>
      </c>
      <c r="H43" s="4" t="s">
        <v>951</v>
      </c>
      <c r="I43" s="4" t="s">
        <v>952</v>
      </c>
      <c r="J43" s="4" t="s">
        <v>953</v>
      </c>
      <c r="K43" s="4" t="s">
        <v>954</v>
      </c>
      <c r="L43" s="4" t="s">
        <v>935</v>
      </c>
      <c r="M43" s="4" t="s">
        <v>936</v>
      </c>
      <c r="N43" s="4" t="s">
        <v>937</v>
      </c>
      <c r="O43" s="4" t="s">
        <v>938</v>
      </c>
      <c r="P43" s="4" t="s">
        <v>939</v>
      </c>
      <c r="W43" s="4" t="s">
        <v>97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</row>
    <row r="44" spans="1:35" x14ac:dyDescent="0.45">
      <c r="A44" s="6" t="s">
        <v>50</v>
      </c>
      <c r="B44" s="1">
        <v>8.6400000000000001E-3</v>
      </c>
      <c r="C44" s="1">
        <v>8.6400000000000005E-2</v>
      </c>
      <c r="D44" s="1">
        <v>0.86399999999999999</v>
      </c>
      <c r="E44" s="1">
        <v>8.64</v>
      </c>
      <c r="F44" s="1">
        <v>86.4</v>
      </c>
      <c r="G44" s="1">
        <v>8.6400000000000001E-3</v>
      </c>
      <c r="H44" s="1">
        <v>8.6400000000000005E-2</v>
      </c>
      <c r="I44" s="1">
        <v>0.86399999999999999</v>
      </c>
      <c r="J44" s="1">
        <v>8.64</v>
      </c>
      <c r="K44" s="1">
        <v>86.4</v>
      </c>
      <c r="L44" s="1">
        <v>8.6400000000000001E-3</v>
      </c>
      <c r="M44" s="1">
        <v>8.6400000000000005E-2</v>
      </c>
      <c r="N44" s="1">
        <v>0.86399999999999999</v>
      </c>
      <c r="O44" s="1">
        <v>8.64</v>
      </c>
      <c r="P44" s="1">
        <v>86.4</v>
      </c>
      <c r="W44" s="4" t="s">
        <v>97</v>
      </c>
      <c r="X44" s="3">
        <v>3600000</v>
      </c>
      <c r="Y44" s="4">
        <v>0</v>
      </c>
      <c r="Z44" s="4">
        <v>-100</v>
      </c>
      <c r="AA44" s="4">
        <v>-200</v>
      </c>
      <c r="AB44" s="4">
        <v>-1000</v>
      </c>
      <c r="AC44" s="4">
        <v>-2000</v>
      </c>
      <c r="AD44" s="4">
        <v>-20000</v>
      </c>
      <c r="AE44" s="4">
        <v>-100000</v>
      </c>
      <c r="AF44" s="4">
        <v>-200000</v>
      </c>
      <c r="AG44" s="4">
        <v>-600000</v>
      </c>
      <c r="AH44" s="4">
        <v>-1200000</v>
      </c>
      <c r="AI44" s="4">
        <v>-2400000</v>
      </c>
    </row>
    <row r="45" spans="1:35" x14ac:dyDescent="0.45">
      <c r="A45" s="6" t="s">
        <v>54</v>
      </c>
      <c r="B45" s="13">
        <v>8.6399999999999999E-9</v>
      </c>
      <c r="C45" s="13">
        <v>8.6399999999999999E-9</v>
      </c>
      <c r="D45" s="13">
        <v>8.6399999999999999E-9</v>
      </c>
      <c r="E45" s="13">
        <v>8.6399999999999999E-9</v>
      </c>
      <c r="F45" s="13">
        <v>8.6399999999999999E-9</v>
      </c>
      <c r="G45" s="15">
        <v>8.6400000000000006E-8</v>
      </c>
      <c r="H45" s="15">
        <v>8.6400000000000006E-8</v>
      </c>
      <c r="I45" s="15">
        <v>8.6400000000000006E-8</v>
      </c>
      <c r="J45" s="15">
        <v>8.6400000000000006E-8</v>
      </c>
      <c r="K45" s="15">
        <v>8.6400000000000006E-8</v>
      </c>
      <c r="L45" s="13">
        <v>8.6400000000000001E-7</v>
      </c>
      <c r="M45" s="13">
        <v>8.6400000000000001E-7</v>
      </c>
      <c r="N45" s="13">
        <v>8.6400000000000001E-7</v>
      </c>
      <c r="O45" s="13">
        <v>8.6400000000000001E-7</v>
      </c>
      <c r="P45" s="13">
        <v>8.6400000000000001E-7</v>
      </c>
      <c r="W45" s="4" t="s">
        <v>97</v>
      </c>
      <c r="X45" s="3">
        <v>800000000</v>
      </c>
      <c r="Y45" s="4">
        <v>0</v>
      </c>
      <c r="Z45" s="4">
        <v>-100</v>
      </c>
      <c r="AA45" s="4">
        <v>-200</v>
      </c>
      <c r="AB45" s="4">
        <v>-1000</v>
      </c>
      <c r="AC45" s="4">
        <v>-2000</v>
      </c>
      <c r="AD45" s="4">
        <v>-20000</v>
      </c>
      <c r="AE45" s="4">
        <v>-100000</v>
      </c>
      <c r="AF45" s="4">
        <v>-200000</v>
      </c>
      <c r="AG45" s="4">
        <v>-600000</v>
      </c>
      <c r="AH45" s="4">
        <v>-1200000</v>
      </c>
      <c r="AI45" s="4">
        <v>-2400000</v>
      </c>
    </row>
    <row r="46" spans="1:35" x14ac:dyDescent="0.45">
      <c r="A46" s="6" t="s">
        <v>56</v>
      </c>
      <c r="B46" s="1">
        <v>8.6400000000000001E-3</v>
      </c>
      <c r="C46" s="1">
        <v>8.6400000000000005E-2</v>
      </c>
      <c r="D46" s="1">
        <v>0.86399999999999999</v>
      </c>
      <c r="E46" s="1">
        <v>8.64</v>
      </c>
      <c r="F46" s="1">
        <v>86.4</v>
      </c>
      <c r="G46" s="1">
        <v>8.6400000000000001E-3</v>
      </c>
      <c r="H46" s="1">
        <v>8.6400000000000005E-2</v>
      </c>
      <c r="I46" s="1">
        <v>0.86399999999999999</v>
      </c>
      <c r="J46" s="1">
        <v>8.64</v>
      </c>
      <c r="K46" s="1">
        <v>86.4</v>
      </c>
      <c r="L46" s="1">
        <v>8.6400000000000001E-3</v>
      </c>
      <c r="M46" s="1">
        <v>8.6400000000000005E-2</v>
      </c>
      <c r="N46" s="1">
        <v>0.86399999999999999</v>
      </c>
      <c r="O46" s="1">
        <v>8.64</v>
      </c>
      <c r="P46" s="1">
        <v>86.4</v>
      </c>
    </row>
    <row r="47" spans="1:35" x14ac:dyDescent="0.45">
      <c r="A47" s="6" t="s">
        <v>58</v>
      </c>
      <c r="B47" s="13">
        <v>8.6399999999999999E-9</v>
      </c>
      <c r="C47" s="13">
        <v>8.6399999999999999E-9</v>
      </c>
      <c r="D47" s="13">
        <v>8.6399999999999999E-9</v>
      </c>
      <c r="E47" s="13">
        <v>8.6399999999999999E-9</v>
      </c>
      <c r="F47" s="13">
        <v>8.6399999999999999E-9</v>
      </c>
      <c r="G47" s="15">
        <v>8.6400000000000006E-8</v>
      </c>
      <c r="H47" s="15">
        <v>8.6400000000000006E-8</v>
      </c>
      <c r="I47" s="15">
        <v>8.6400000000000006E-8</v>
      </c>
      <c r="J47" s="15">
        <v>8.6400000000000006E-8</v>
      </c>
      <c r="K47" s="15">
        <v>8.6400000000000006E-8</v>
      </c>
      <c r="L47" s="13">
        <v>8.6400000000000001E-7</v>
      </c>
      <c r="M47" s="13">
        <v>8.6400000000000001E-7</v>
      </c>
      <c r="N47" s="13">
        <v>8.6400000000000001E-7</v>
      </c>
      <c r="O47" s="13">
        <v>8.6400000000000001E-7</v>
      </c>
      <c r="P47" s="13">
        <v>8.6400000000000001E-7</v>
      </c>
    </row>
    <row r="48" spans="1:35" x14ac:dyDescent="0.45">
      <c r="A48" s="6" t="s">
        <v>60</v>
      </c>
      <c r="B48" s="1">
        <v>8.6400000000000001E-3</v>
      </c>
      <c r="C48" s="1">
        <v>8.6400000000000005E-2</v>
      </c>
      <c r="D48" s="1">
        <v>0.86399999999999999</v>
      </c>
      <c r="E48" s="1">
        <v>8.64</v>
      </c>
      <c r="F48" s="1">
        <v>86.4</v>
      </c>
      <c r="G48" s="1">
        <v>8.6400000000000001E-3</v>
      </c>
      <c r="H48" s="1">
        <v>8.6400000000000005E-2</v>
      </c>
      <c r="I48" s="1">
        <v>0.86399999999999999</v>
      </c>
      <c r="J48" s="1">
        <v>8.64</v>
      </c>
      <c r="K48" s="1">
        <v>86.4</v>
      </c>
      <c r="L48" s="1">
        <v>8.6400000000000001E-3</v>
      </c>
      <c r="M48" s="1">
        <v>8.6400000000000005E-2</v>
      </c>
      <c r="N48" s="1">
        <v>0.86399999999999999</v>
      </c>
      <c r="O48" s="1">
        <v>8.64</v>
      </c>
      <c r="P48" s="1">
        <v>86.4</v>
      </c>
      <c r="W48" s="4" t="s">
        <v>967</v>
      </c>
    </row>
    <row r="49" spans="1:35" x14ac:dyDescent="0.45">
      <c r="A49" s="6" t="s">
        <v>62</v>
      </c>
      <c r="B49" s="1">
        <v>8.6400000000000001E-3</v>
      </c>
      <c r="C49" s="1">
        <v>8.6400000000000005E-2</v>
      </c>
      <c r="D49" s="1">
        <v>0.86399999999999999</v>
      </c>
      <c r="E49" s="1">
        <v>8.64</v>
      </c>
      <c r="F49" s="1">
        <v>86.4</v>
      </c>
      <c r="G49" s="1">
        <v>8.6400000000000001E-3</v>
      </c>
      <c r="H49" s="1">
        <v>8.6400000000000005E-2</v>
      </c>
      <c r="I49" s="1">
        <v>0.86399999999999999</v>
      </c>
      <c r="J49" s="1">
        <v>8.64</v>
      </c>
      <c r="K49" s="1">
        <v>86.4</v>
      </c>
      <c r="L49" s="1">
        <v>8.6400000000000001E-3</v>
      </c>
      <c r="M49" s="1">
        <v>8.6400000000000005E-2</v>
      </c>
      <c r="N49" s="1">
        <v>0.86399999999999999</v>
      </c>
      <c r="O49" s="1">
        <v>8.64</v>
      </c>
      <c r="P49" s="1">
        <v>86.4</v>
      </c>
      <c r="W49" s="4" t="s">
        <v>91</v>
      </c>
      <c r="X49" s="4" t="s">
        <v>37</v>
      </c>
      <c r="Y49" s="4" t="s">
        <v>108</v>
      </c>
      <c r="Z49" s="4" t="s">
        <v>99</v>
      </c>
      <c r="AA49" s="4" t="s">
        <v>100</v>
      </c>
      <c r="AB49" s="4" t="s">
        <v>101</v>
      </c>
      <c r="AC49" s="4" t="s">
        <v>102</v>
      </c>
      <c r="AD49" s="4" t="s">
        <v>103</v>
      </c>
      <c r="AE49" s="4" t="s">
        <v>104</v>
      </c>
      <c r="AF49" s="4" t="s">
        <v>105</v>
      </c>
      <c r="AG49" s="4" t="s">
        <v>106</v>
      </c>
      <c r="AH49" s="4" t="s">
        <v>107</v>
      </c>
      <c r="AI49" s="4" t="s">
        <v>901</v>
      </c>
    </row>
    <row r="50" spans="1:35" x14ac:dyDescent="0.45">
      <c r="A50" s="6" t="s">
        <v>63</v>
      </c>
      <c r="B50" s="13">
        <v>8.6399999999999999E-9</v>
      </c>
      <c r="C50" s="13">
        <v>8.6399999999999999E-9</v>
      </c>
      <c r="D50" s="13">
        <v>8.6399999999999999E-9</v>
      </c>
      <c r="E50" s="13">
        <v>8.6399999999999999E-9</v>
      </c>
      <c r="F50" s="13">
        <v>8.6399999999999999E-9</v>
      </c>
      <c r="G50" s="15">
        <v>8.6400000000000006E-8</v>
      </c>
      <c r="H50" s="15">
        <v>8.6400000000000006E-8</v>
      </c>
      <c r="I50" s="15">
        <v>8.6400000000000006E-8</v>
      </c>
      <c r="J50" s="15">
        <v>8.6400000000000006E-8</v>
      </c>
      <c r="K50" s="15">
        <v>8.6400000000000006E-8</v>
      </c>
      <c r="L50" s="13">
        <v>8.6400000000000001E-7</v>
      </c>
      <c r="M50" s="13">
        <v>8.6400000000000001E-7</v>
      </c>
      <c r="N50" s="13">
        <v>8.6400000000000001E-7</v>
      </c>
      <c r="O50" s="13">
        <v>8.6400000000000001E-7</v>
      </c>
      <c r="P50" s="13">
        <v>8.6400000000000001E-7</v>
      </c>
      <c r="W50" s="4" t="s">
        <v>93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</row>
    <row r="51" spans="1:35" x14ac:dyDescent="0.45">
      <c r="A51" s="6" t="s">
        <v>64</v>
      </c>
      <c r="B51" s="1">
        <v>8.6400000000000001E-3</v>
      </c>
      <c r="C51" s="1">
        <v>8.6400000000000005E-2</v>
      </c>
      <c r="D51" s="1">
        <v>0.86399999999999999</v>
      </c>
      <c r="E51" s="1">
        <v>8.64</v>
      </c>
      <c r="F51" s="1">
        <v>86.4</v>
      </c>
      <c r="G51" s="1">
        <v>8.6400000000000001E-3</v>
      </c>
      <c r="H51" s="1">
        <v>8.6400000000000005E-2</v>
      </c>
      <c r="I51" s="1">
        <v>0.86399999999999999</v>
      </c>
      <c r="J51" s="1">
        <v>8.64</v>
      </c>
      <c r="K51" s="1">
        <v>86.4</v>
      </c>
      <c r="L51" s="1">
        <v>8.6400000000000001E-3</v>
      </c>
      <c r="M51" s="1">
        <v>8.6400000000000005E-2</v>
      </c>
      <c r="N51" s="1">
        <v>0.86399999999999999</v>
      </c>
      <c r="O51" s="1">
        <v>8.64</v>
      </c>
      <c r="P51" s="1">
        <v>86.4</v>
      </c>
      <c r="W51" s="4" t="s">
        <v>93</v>
      </c>
      <c r="X51" s="3">
        <v>3600000</v>
      </c>
      <c r="Y51" s="4">
        <v>0</v>
      </c>
      <c r="Z51" s="4">
        <v>-10</v>
      </c>
      <c r="AA51" s="4">
        <v>-50</v>
      </c>
      <c r="AB51" s="4">
        <v>-100</v>
      </c>
      <c r="AC51" s="4">
        <v>-200</v>
      </c>
      <c r="AD51" s="4">
        <v>-1000</v>
      </c>
      <c r="AE51" s="4">
        <v>-2000</v>
      </c>
      <c r="AF51" s="4">
        <v>-20000</v>
      </c>
      <c r="AG51" s="4">
        <v>-100000</v>
      </c>
      <c r="AH51" s="4">
        <v>-200000</v>
      </c>
      <c r="AI51" s="4">
        <v>-600000</v>
      </c>
    </row>
    <row r="52" spans="1:35" x14ac:dyDescent="0.45">
      <c r="A52" s="6" t="s">
        <v>65</v>
      </c>
      <c r="B52" s="13">
        <v>8.6399999999999999E-9</v>
      </c>
      <c r="C52" s="13">
        <v>8.6399999999999999E-9</v>
      </c>
      <c r="D52" s="13">
        <v>8.6399999999999999E-9</v>
      </c>
      <c r="E52" s="13">
        <v>8.6399999999999999E-9</v>
      </c>
      <c r="F52" s="13">
        <v>8.6399999999999999E-9</v>
      </c>
      <c r="G52" s="15">
        <v>8.6400000000000006E-8</v>
      </c>
      <c r="H52" s="15">
        <v>8.6400000000000006E-8</v>
      </c>
      <c r="I52" s="15">
        <v>8.6400000000000006E-8</v>
      </c>
      <c r="J52" s="15">
        <v>8.6400000000000006E-8</v>
      </c>
      <c r="K52" s="15">
        <v>8.6400000000000006E-8</v>
      </c>
      <c r="L52" s="13">
        <v>8.6400000000000001E-7</v>
      </c>
      <c r="M52" s="13">
        <v>8.6400000000000001E-7</v>
      </c>
      <c r="N52" s="13">
        <v>8.6400000000000001E-7</v>
      </c>
      <c r="O52" s="13">
        <v>8.6400000000000001E-7</v>
      </c>
      <c r="P52" s="13">
        <v>8.6400000000000001E-7</v>
      </c>
      <c r="W52" s="4" t="s">
        <v>93</v>
      </c>
      <c r="X52" s="3">
        <v>800000000</v>
      </c>
      <c r="Y52" s="4">
        <v>0</v>
      </c>
      <c r="Z52" s="4">
        <v>-10</v>
      </c>
      <c r="AA52" s="4">
        <v>-50</v>
      </c>
      <c r="AB52" s="4">
        <v>-100</v>
      </c>
      <c r="AC52" s="4">
        <v>-200</v>
      </c>
      <c r="AD52" s="4">
        <v>-1000</v>
      </c>
      <c r="AE52" s="4">
        <v>-2000</v>
      </c>
      <c r="AF52" s="4">
        <v>-20000</v>
      </c>
      <c r="AG52" s="4">
        <v>-100000</v>
      </c>
      <c r="AH52" s="4">
        <v>-200000</v>
      </c>
      <c r="AI52" s="4">
        <v>-600000</v>
      </c>
    </row>
    <row r="53" spans="1:35" x14ac:dyDescent="0.45">
      <c r="A53" s="6" t="s">
        <v>66</v>
      </c>
      <c r="B53" s="1">
        <v>8.6400000000000001E-3</v>
      </c>
      <c r="C53" s="1">
        <v>8.6400000000000005E-2</v>
      </c>
      <c r="D53" s="1">
        <v>0.86399999999999999</v>
      </c>
      <c r="E53" s="1">
        <v>8.64</v>
      </c>
      <c r="F53" s="1">
        <v>86.4</v>
      </c>
      <c r="G53" s="1">
        <v>8.6400000000000001E-3</v>
      </c>
      <c r="H53" s="1">
        <v>8.6400000000000005E-2</v>
      </c>
      <c r="I53" s="1">
        <v>0.86399999999999999</v>
      </c>
      <c r="J53" s="1">
        <v>8.64</v>
      </c>
      <c r="K53" s="1">
        <v>86.4</v>
      </c>
      <c r="L53" s="1">
        <v>8.6400000000000001E-3</v>
      </c>
      <c r="M53" s="1">
        <v>8.6400000000000005E-2</v>
      </c>
      <c r="N53" s="1">
        <v>0.86399999999999999</v>
      </c>
      <c r="O53" s="1">
        <v>8.64</v>
      </c>
      <c r="P53" s="1">
        <v>86.4</v>
      </c>
      <c r="W53" s="4" t="s">
        <v>94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</row>
    <row r="54" spans="1:35" x14ac:dyDescent="0.45">
      <c r="A54"/>
      <c r="W54" s="4" t="s">
        <v>94</v>
      </c>
      <c r="X54" s="3">
        <v>3600000</v>
      </c>
      <c r="Y54" s="4">
        <v>0</v>
      </c>
      <c r="Z54" s="4">
        <v>-10</v>
      </c>
      <c r="AA54" s="4">
        <v>-50</v>
      </c>
      <c r="AB54" s="4">
        <v>-100</v>
      </c>
      <c r="AC54" s="4">
        <v>-200</v>
      </c>
      <c r="AD54" s="4">
        <v>-1000</v>
      </c>
      <c r="AE54" s="4">
        <v>-2000</v>
      </c>
      <c r="AF54" s="4">
        <v>-20000</v>
      </c>
      <c r="AG54" s="4">
        <v>-100000</v>
      </c>
      <c r="AH54" s="4">
        <v>-200000</v>
      </c>
      <c r="AI54" s="4">
        <v>-600000</v>
      </c>
    </row>
    <row r="55" spans="1:35" x14ac:dyDescent="0.45">
      <c r="A55" s="14" t="s">
        <v>968</v>
      </c>
      <c r="B55" s="4"/>
      <c r="C55" s="4"/>
      <c r="D55" s="4"/>
      <c r="E55" s="4"/>
      <c r="F55" s="4"/>
      <c r="W55" s="4" t="s">
        <v>94</v>
      </c>
      <c r="X55" s="3">
        <v>800000000</v>
      </c>
      <c r="Y55" s="4">
        <v>0</v>
      </c>
      <c r="Z55" s="4">
        <v>-10</v>
      </c>
      <c r="AA55" s="4">
        <v>-50</v>
      </c>
      <c r="AB55" s="4">
        <v>-100</v>
      </c>
      <c r="AC55" s="4">
        <v>-200</v>
      </c>
      <c r="AD55" s="4">
        <v>-1000</v>
      </c>
      <c r="AE55" s="4">
        <v>-2000</v>
      </c>
      <c r="AF55" s="4">
        <v>-20000</v>
      </c>
      <c r="AG55" s="4">
        <v>-100000</v>
      </c>
      <c r="AH55" s="4">
        <v>-200000</v>
      </c>
      <c r="AI55" s="4">
        <v>-600000</v>
      </c>
    </row>
    <row r="56" spans="1:35" x14ac:dyDescent="0.45">
      <c r="A56" s="4" t="s">
        <v>43</v>
      </c>
      <c r="B56" s="4" t="s">
        <v>955</v>
      </c>
      <c r="C56" s="4" t="s">
        <v>956</v>
      </c>
      <c r="D56" s="4" t="s">
        <v>957</v>
      </c>
      <c r="E56" s="4" t="s">
        <v>958</v>
      </c>
      <c r="F56" s="4" t="s">
        <v>959</v>
      </c>
      <c r="G56" s="16" t="s">
        <v>940</v>
      </c>
      <c r="H56" s="16" t="s">
        <v>941</v>
      </c>
      <c r="I56" s="16" t="s">
        <v>942</v>
      </c>
      <c r="J56" s="16" t="s">
        <v>943</v>
      </c>
      <c r="K56" s="16" t="s">
        <v>944</v>
      </c>
      <c r="L56" s="4" t="s">
        <v>960</v>
      </c>
      <c r="M56" s="4" t="s">
        <v>961</v>
      </c>
      <c r="N56" s="4" t="s">
        <v>962</v>
      </c>
      <c r="O56" s="4" t="s">
        <v>963</v>
      </c>
      <c r="P56" s="4" t="s">
        <v>964</v>
      </c>
      <c r="Q56" s="16" t="s">
        <v>945</v>
      </c>
      <c r="R56" s="16" t="s">
        <v>946</v>
      </c>
      <c r="S56" s="16" t="s">
        <v>947</v>
      </c>
      <c r="T56" s="16" t="s">
        <v>948</v>
      </c>
      <c r="U56" s="16" t="s">
        <v>949</v>
      </c>
      <c r="V56" s="4"/>
      <c r="W56" s="4" t="s">
        <v>95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</row>
    <row r="57" spans="1:35" x14ac:dyDescent="0.45">
      <c r="A57" s="6" t="s">
        <v>50</v>
      </c>
      <c r="B57" s="1">
        <v>8.6400000000000001E-3</v>
      </c>
      <c r="C57" s="1">
        <v>8.6400000000000005E-2</v>
      </c>
      <c r="D57" s="1">
        <v>0.86399999999999999</v>
      </c>
      <c r="E57" s="1">
        <v>8.64</v>
      </c>
      <c r="F57" s="1">
        <v>86.4</v>
      </c>
      <c r="G57" s="17">
        <v>8.6400000000000001E-3</v>
      </c>
      <c r="H57" s="17">
        <v>8.6400000000000005E-2</v>
      </c>
      <c r="I57" s="17">
        <v>0.86399999999999999</v>
      </c>
      <c r="J57" s="17">
        <v>8.64</v>
      </c>
      <c r="K57" s="17">
        <v>86.4</v>
      </c>
      <c r="L57" s="1">
        <v>8.6400000000000001E-3</v>
      </c>
      <c r="M57" s="1">
        <v>8.6400000000000005E-2</v>
      </c>
      <c r="N57" s="1">
        <v>0.86399999999999999</v>
      </c>
      <c r="O57" s="1">
        <v>8.64</v>
      </c>
      <c r="P57" s="1">
        <v>86.4</v>
      </c>
      <c r="Q57" s="17">
        <v>8.6400000000000001E-3</v>
      </c>
      <c r="R57" s="17">
        <v>8.6400000000000005E-2</v>
      </c>
      <c r="S57" s="17">
        <v>0.86399999999999999</v>
      </c>
      <c r="T57" s="17">
        <v>8.64</v>
      </c>
      <c r="U57" s="17">
        <v>86.4</v>
      </c>
      <c r="V57" s="1"/>
      <c r="W57" s="4" t="s">
        <v>95</v>
      </c>
      <c r="X57" s="3">
        <v>3600000</v>
      </c>
      <c r="Y57" s="4">
        <v>0</v>
      </c>
      <c r="Z57" s="4">
        <v>-10</v>
      </c>
      <c r="AA57" s="4">
        <v>-50</v>
      </c>
      <c r="AB57" s="4">
        <v>-100</v>
      </c>
      <c r="AC57" s="4">
        <v>-200</v>
      </c>
      <c r="AD57" s="4">
        <v>-1000</v>
      </c>
      <c r="AE57" s="4">
        <v>-2000</v>
      </c>
      <c r="AF57" s="4">
        <v>-20000</v>
      </c>
      <c r="AG57" s="4">
        <v>-100000</v>
      </c>
      <c r="AH57" s="4">
        <v>-200000</v>
      </c>
      <c r="AI57" s="4">
        <v>-600000</v>
      </c>
    </row>
    <row r="58" spans="1:35" x14ac:dyDescent="0.45">
      <c r="A58" s="6" t="s">
        <v>54</v>
      </c>
      <c r="B58" s="13">
        <v>8.6400000000000003E-6</v>
      </c>
      <c r="C58" s="13">
        <v>8.6400000000000003E-6</v>
      </c>
      <c r="D58" s="13">
        <v>8.6400000000000003E-6</v>
      </c>
      <c r="E58" s="13">
        <v>8.6400000000000003E-6</v>
      </c>
      <c r="F58" s="13">
        <v>8.6400000000000003E-6</v>
      </c>
      <c r="G58" s="18">
        <v>8.6399999999999999E-5</v>
      </c>
      <c r="H58" s="18">
        <v>8.6399999999999999E-5</v>
      </c>
      <c r="I58" s="18">
        <v>8.6399999999999999E-5</v>
      </c>
      <c r="J58" s="18">
        <v>8.6399999999999999E-5</v>
      </c>
      <c r="K58" s="18">
        <v>8.6399999999999999E-5</v>
      </c>
      <c r="L58" s="13">
        <v>8.6399999999999997E-4</v>
      </c>
      <c r="M58" s="13">
        <v>8.6399999999999997E-4</v>
      </c>
      <c r="N58" s="13">
        <v>8.6399999999999997E-4</v>
      </c>
      <c r="O58" s="13">
        <v>8.6399999999999997E-4</v>
      </c>
      <c r="P58" s="13">
        <v>8.6399999999999997E-4</v>
      </c>
      <c r="Q58" s="18">
        <v>8.6400000000000001E-3</v>
      </c>
      <c r="R58" s="18">
        <v>8.6400000000000001E-3</v>
      </c>
      <c r="S58" s="18">
        <v>8.6400000000000001E-3</v>
      </c>
      <c r="T58" s="18">
        <v>8.6400000000000001E-3</v>
      </c>
      <c r="U58" s="18">
        <v>8.6400000000000001E-3</v>
      </c>
      <c r="V58" s="13"/>
      <c r="W58" s="4" t="s">
        <v>95</v>
      </c>
      <c r="X58" s="3">
        <v>800000000</v>
      </c>
      <c r="Y58" s="4">
        <v>0</v>
      </c>
      <c r="Z58" s="4">
        <v>-10</v>
      </c>
      <c r="AA58" s="4">
        <v>-50</v>
      </c>
      <c r="AB58" s="4">
        <v>-100</v>
      </c>
      <c r="AC58" s="4">
        <v>-200</v>
      </c>
      <c r="AD58" s="4">
        <v>-1000</v>
      </c>
      <c r="AE58" s="4">
        <v>-2000</v>
      </c>
      <c r="AF58" s="4">
        <v>-20000</v>
      </c>
      <c r="AG58" s="4">
        <v>-100000</v>
      </c>
      <c r="AH58" s="4">
        <v>-200000</v>
      </c>
      <c r="AI58" s="4">
        <v>-600000</v>
      </c>
    </row>
    <row r="59" spans="1:35" x14ac:dyDescent="0.45">
      <c r="A59" s="6" t="s">
        <v>56</v>
      </c>
      <c r="B59" s="1">
        <v>8.6400000000000001E-3</v>
      </c>
      <c r="C59" s="1">
        <v>8.6400000000000005E-2</v>
      </c>
      <c r="D59" s="1">
        <v>0.86399999999999999</v>
      </c>
      <c r="E59" s="1">
        <v>8.64</v>
      </c>
      <c r="F59" s="1">
        <v>86.4</v>
      </c>
      <c r="G59" s="17">
        <v>8.6400000000000001E-3</v>
      </c>
      <c r="H59" s="17">
        <v>8.6400000000000005E-2</v>
      </c>
      <c r="I59" s="17">
        <v>0.86399999999999999</v>
      </c>
      <c r="J59" s="17">
        <v>8.64</v>
      </c>
      <c r="K59" s="17">
        <v>86.4</v>
      </c>
      <c r="L59" s="1">
        <v>8.6400000000000001E-3</v>
      </c>
      <c r="M59" s="1">
        <v>8.6400000000000005E-2</v>
      </c>
      <c r="N59" s="1">
        <v>0.86399999999999999</v>
      </c>
      <c r="O59" s="1">
        <v>8.64</v>
      </c>
      <c r="P59" s="1">
        <v>86.4</v>
      </c>
      <c r="Q59" s="17">
        <v>8.6400000000000001E-3</v>
      </c>
      <c r="R59" s="17">
        <v>8.6400000000000005E-2</v>
      </c>
      <c r="S59" s="17">
        <v>0.86399999999999999</v>
      </c>
      <c r="T59" s="17">
        <v>8.64</v>
      </c>
      <c r="U59" s="17">
        <v>86.4</v>
      </c>
      <c r="V59" s="1"/>
      <c r="W59" s="4" t="s">
        <v>96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</row>
    <row r="60" spans="1:35" x14ac:dyDescent="0.45">
      <c r="A60" s="6" t="s">
        <v>58</v>
      </c>
      <c r="B60" s="13">
        <v>8.6400000000000003E-6</v>
      </c>
      <c r="C60" s="13">
        <v>8.6400000000000003E-6</v>
      </c>
      <c r="D60" s="13">
        <v>8.6400000000000003E-6</v>
      </c>
      <c r="E60" s="13">
        <v>8.6400000000000003E-6</v>
      </c>
      <c r="F60" s="13">
        <v>8.6400000000000003E-6</v>
      </c>
      <c r="G60" s="18">
        <v>8.6399999999999999E-5</v>
      </c>
      <c r="H60" s="18">
        <v>8.6399999999999999E-5</v>
      </c>
      <c r="I60" s="18">
        <v>8.6399999999999999E-5</v>
      </c>
      <c r="J60" s="18">
        <v>8.6399999999999999E-5</v>
      </c>
      <c r="K60" s="18">
        <v>8.6399999999999999E-5</v>
      </c>
      <c r="L60" s="13">
        <v>8.6399999999999997E-4</v>
      </c>
      <c r="M60" s="13">
        <v>8.6399999999999997E-4</v>
      </c>
      <c r="N60" s="13">
        <v>8.6399999999999997E-4</v>
      </c>
      <c r="O60" s="13">
        <v>8.6399999999999997E-4</v>
      </c>
      <c r="P60" s="13">
        <v>8.6399999999999997E-4</v>
      </c>
      <c r="Q60" s="18">
        <v>8.6400000000000001E-3</v>
      </c>
      <c r="R60" s="18">
        <v>8.6400000000000001E-3</v>
      </c>
      <c r="S60" s="18">
        <v>8.6400000000000001E-3</v>
      </c>
      <c r="T60" s="18">
        <v>8.6400000000000001E-3</v>
      </c>
      <c r="U60" s="18">
        <v>8.6400000000000001E-3</v>
      </c>
      <c r="V60" s="13"/>
      <c r="W60" s="4" t="s">
        <v>96</v>
      </c>
      <c r="X60" s="3">
        <v>3600000</v>
      </c>
      <c r="Y60" s="4">
        <v>0</v>
      </c>
      <c r="Z60" s="4">
        <v>-10</v>
      </c>
      <c r="AA60" s="4">
        <v>-50</v>
      </c>
      <c r="AB60" s="4">
        <v>-100</v>
      </c>
      <c r="AC60" s="4">
        <v>-200</v>
      </c>
      <c r="AD60" s="4">
        <v>-1000</v>
      </c>
      <c r="AE60" s="4">
        <v>-2000</v>
      </c>
      <c r="AF60" s="4">
        <v>-20000</v>
      </c>
      <c r="AG60" s="4">
        <v>-100000</v>
      </c>
      <c r="AH60" s="4">
        <v>-200000</v>
      </c>
      <c r="AI60" s="4">
        <v>-600000</v>
      </c>
    </row>
    <row r="61" spans="1:35" x14ac:dyDescent="0.45">
      <c r="A61" s="6" t="s">
        <v>60</v>
      </c>
      <c r="B61" s="1">
        <v>8.6400000000000001E-3</v>
      </c>
      <c r="C61" s="1">
        <v>8.6400000000000005E-2</v>
      </c>
      <c r="D61" s="1">
        <v>0.86399999999999999</v>
      </c>
      <c r="E61" s="1">
        <v>8.64</v>
      </c>
      <c r="F61" s="1">
        <v>86.4</v>
      </c>
      <c r="G61" s="17">
        <v>8.6400000000000001E-3</v>
      </c>
      <c r="H61" s="17">
        <v>8.6400000000000005E-2</v>
      </c>
      <c r="I61" s="17">
        <v>0.86399999999999999</v>
      </c>
      <c r="J61" s="17">
        <v>8.64</v>
      </c>
      <c r="K61" s="17">
        <v>86.4</v>
      </c>
      <c r="L61" s="1">
        <v>8.6400000000000001E-3</v>
      </c>
      <c r="M61" s="1">
        <v>8.6400000000000005E-2</v>
      </c>
      <c r="N61" s="1">
        <v>0.86399999999999999</v>
      </c>
      <c r="O61" s="1">
        <v>8.64</v>
      </c>
      <c r="P61" s="1">
        <v>86.4</v>
      </c>
      <c r="Q61" s="17">
        <v>8.6400000000000001E-3</v>
      </c>
      <c r="R61" s="17">
        <v>8.6400000000000005E-2</v>
      </c>
      <c r="S61" s="17">
        <v>0.86399999999999999</v>
      </c>
      <c r="T61" s="17">
        <v>8.64</v>
      </c>
      <c r="U61" s="17">
        <v>86.4</v>
      </c>
      <c r="V61" s="1"/>
      <c r="W61" s="4" t="s">
        <v>96</v>
      </c>
      <c r="X61" s="3">
        <v>800000000</v>
      </c>
      <c r="Y61" s="4">
        <v>0</v>
      </c>
      <c r="Z61" s="4">
        <v>-10</v>
      </c>
      <c r="AA61" s="4">
        <v>-50</v>
      </c>
      <c r="AB61" s="4">
        <v>-100</v>
      </c>
      <c r="AC61" s="4">
        <v>-200</v>
      </c>
      <c r="AD61" s="4">
        <v>-1000</v>
      </c>
      <c r="AE61" s="4">
        <v>-2000</v>
      </c>
      <c r="AF61" s="4">
        <v>-20000</v>
      </c>
      <c r="AG61" s="4">
        <v>-100000</v>
      </c>
      <c r="AH61" s="4">
        <v>-200000</v>
      </c>
      <c r="AI61" s="4">
        <v>-600000</v>
      </c>
    </row>
    <row r="62" spans="1:35" x14ac:dyDescent="0.45">
      <c r="A62" s="6" t="s">
        <v>62</v>
      </c>
      <c r="B62" s="1">
        <v>8.6400000000000001E-3</v>
      </c>
      <c r="C62" s="1">
        <v>8.6400000000000005E-2</v>
      </c>
      <c r="D62" s="1">
        <v>0.86399999999999999</v>
      </c>
      <c r="E62" s="1">
        <v>8.64</v>
      </c>
      <c r="F62" s="1">
        <v>86.4</v>
      </c>
      <c r="G62" s="17">
        <v>8.6400000000000001E-3</v>
      </c>
      <c r="H62" s="17">
        <v>8.6400000000000005E-2</v>
      </c>
      <c r="I62" s="17">
        <v>0.86399999999999999</v>
      </c>
      <c r="J62" s="17">
        <v>8.64</v>
      </c>
      <c r="K62" s="17">
        <v>86.4</v>
      </c>
      <c r="L62" s="1">
        <v>8.6400000000000001E-3</v>
      </c>
      <c r="M62" s="1">
        <v>8.6400000000000005E-2</v>
      </c>
      <c r="N62" s="1">
        <v>0.86399999999999999</v>
      </c>
      <c r="O62" s="1">
        <v>8.64</v>
      </c>
      <c r="P62" s="1">
        <v>86.4</v>
      </c>
      <c r="Q62" s="17">
        <v>8.6400000000000001E-3</v>
      </c>
      <c r="R62" s="17">
        <v>8.6400000000000005E-2</v>
      </c>
      <c r="S62" s="17">
        <v>0.86399999999999999</v>
      </c>
      <c r="T62" s="17">
        <v>8.64</v>
      </c>
      <c r="U62" s="17">
        <v>86.4</v>
      </c>
      <c r="V62" s="1"/>
      <c r="W62" s="4" t="s">
        <v>97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</row>
    <row r="63" spans="1:35" x14ac:dyDescent="0.45">
      <c r="A63" s="6" t="s">
        <v>63</v>
      </c>
      <c r="B63" s="13">
        <v>8.6400000000000003E-6</v>
      </c>
      <c r="C63" s="13">
        <v>8.6400000000000003E-6</v>
      </c>
      <c r="D63" s="13">
        <v>8.6400000000000003E-6</v>
      </c>
      <c r="E63" s="13">
        <v>8.6400000000000003E-6</v>
      </c>
      <c r="F63" s="13">
        <v>8.6400000000000003E-6</v>
      </c>
      <c r="G63" s="18">
        <v>8.6399999999999999E-5</v>
      </c>
      <c r="H63" s="18">
        <v>8.6399999999999999E-5</v>
      </c>
      <c r="I63" s="18">
        <v>8.6399999999999999E-5</v>
      </c>
      <c r="J63" s="18">
        <v>8.6399999999999999E-5</v>
      </c>
      <c r="K63" s="18">
        <v>8.6399999999999999E-5</v>
      </c>
      <c r="L63" s="13">
        <v>8.6399999999999997E-4</v>
      </c>
      <c r="M63" s="13">
        <v>8.6399999999999997E-4</v>
      </c>
      <c r="N63" s="13">
        <v>8.6399999999999997E-4</v>
      </c>
      <c r="O63" s="13">
        <v>8.6399999999999997E-4</v>
      </c>
      <c r="P63" s="13">
        <v>8.6399999999999997E-4</v>
      </c>
      <c r="Q63" s="18">
        <v>8.6400000000000001E-3</v>
      </c>
      <c r="R63" s="18">
        <v>8.6400000000000001E-3</v>
      </c>
      <c r="S63" s="18">
        <v>8.6400000000000001E-3</v>
      </c>
      <c r="T63" s="18">
        <v>8.6400000000000001E-3</v>
      </c>
      <c r="U63" s="18">
        <v>8.6400000000000001E-3</v>
      </c>
      <c r="V63" s="13"/>
      <c r="W63" s="4" t="s">
        <v>97</v>
      </c>
      <c r="X63" s="3">
        <v>3600000</v>
      </c>
      <c r="Y63" s="4">
        <v>0</v>
      </c>
      <c r="Z63" s="4">
        <v>-10</v>
      </c>
      <c r="AA63" s="4">
        <v>-50</v>
      </c>
      <c r="AB63" s="4">
        <v>-100</v>
      </c>
      <c r="AC63" s="4">
        <v>-200</v>
      </c>
      <c r="AD63" s="4">
        <v>-1000</v>
      </c>
      <c r="AE63" s="4">
        <v>-2000</v>
      </c>
      <c r="AF63" s="4">
        <v>-20000</v>
      </c>
      <c r="AG63" s="4">
        <v>-100000</v>
      </c>
      <c r="AH63" s="4">
        <v>-200000</v>
      </c>
      <c r="AI63" s="4">
        <v>-600000</v>
      </c>
    </row>
    <row r="64" spans="1:35" x14ac:dyDescent="0.45">
      <c r="A64" s="6" t="s">
        <v>64</v>
      </c>
      <c r="B64" s="1">
        <v>8.6400000000000001E-3</v>
      </c>
      <c r="C64" s="1">
        <v>8.6400000000000005E-2</v>
      </c>
      <c r="D64" s="1">
        <v>0.86399999999999999</v>
      </c>
      <c r="E64" s="1">
        <v>8.64</v>
      </c>
      <c r="F64" s="1">
        <v>86.4</v>
      </c>
      <c r="G64" s="17">
        <v>8.6400000000000001E-3</v>
      </c>
      <c r="H64" s="17">
        <v>8.6400000000000005E-2</v>
      </c>
      <c r="I64" s="17">
        <v>0.86399999999999999</v>
      </c>
      <c r="J64" s="17">
        <v>8.64</v>
      </c>
      <c r="K64" s="17">
        <v>86.4</v>
      </c>
      <c r="L64" s="1">
        <v>8.6400000000000001E-3</v>
      </c>
      <c r="M64" s="1">
        <v>8.6400000000000005E-2</v>
      </c>
      <c r="N64" s="1">
        <v>0.86399999999999999</v>
      </c>
      <c r="O64" s="1">
        <v>8.64</v>
      </c>
      <c r="P64" s="1">
        <v>86.4</v>
      </c>
      <c r="Q64" s="17">
        <v>8.6400000000000001E-3</v>
      </c>
      <c r="R64" s="17">
        <v>8.6400000000000005E-2</v>
      </c>
      <c r="S64" s="17">
        <v>0.86399999999999999</v>
      </c>
      <c r="T64" s="17">
        <v>8.64</v>
      </c>
      <c r="U64" s="17">
        <v>86.4</v>
      </c>
      <c r="V64" s="1"/>
      <c r="W64" s="4" t="s">
        <v>97</v>
      </c>
      <c r="X64" s="3">
        <v>800000000</v>
      </c>
      <c r="Y64" s="4">
        <v>0</v>
      </c>
      <c r="Z64" s="4">
        <v>-10</v>
      </c>
      <c r="AA64" s="4">
        <v>-50</v>
      </c>
      <c r="AB64" s="4">
        <v>-100</v>
      </c>
      <c r="AC64" s="4">
        <v>-200</v>
      </c>
      <c r="AD64" s="4">
        <v>-1000</v>
      </c>
      <c r="AE64" s="4">
        <v>-2000</v>
      </c>
      <c r="AF64" s="4">
        <v>-20000</v>
      </c>
      <c r="AG64" s="4">
        <v>-100000</v>
      </c>
      <c r="AH64" s="4">
        <v>-200000</v>
      </c>
      <c r="AI64" s="4">
        <v>-600000</v>
      </c>
    </row>
    <row r="65" spans="1:35" x14ac:dyDescent="0.45">
      <c r="A65" s="6" t="s">
        <v>65</v>
      </c>
      <c r="B65" s="13">
        <v>8.6400000000000003E-6</v>
      </c>
      <c r="C65" s="13">
        <v>8.6400000000000003E-6</v>
      </c>
      <c r="D65" s="13">
        <v>8.6400000000000003E-6</v>
      </c>
      <c r="E65" s="13">
        <v>8.6400000000000003E-6</v>
      </c>
      <c r="F65" s="13">
        <v>8.6400000000000003E-6</v>
      </c>
      <c r="G65" s="18">
        <v>8.6399999999999999E-5</v>
      </c>
      <c r="H65" s="18">
        <v>8.6399999999999999E-5</v>
      </c>
      <c r="I65" s="18">
        <v>8.6399999999999999E-5</v>
      </c>
      <c r="J65" s="18">
        <v>8.6399999999999999E-5</v>
      </c>
      <c r="K65" s="18">
        <v>8.6399999999999999E-5</v>
      </c>
      <c r="L65" s="13">
        <v>8.6399999999999997E-4</v>
      </c>
      <c r="M65" s="13">
        <v>8.6399999999999997E-4</v>
      </c>
      <c r="N65" s="13">
        <v>8.6399999999999997E-4</v>
      </c>
      <c r="O65" s="13">
        <v>8.6399999999999997E-4</v>
      </c>
      <c r="P65" s="13">
        <v>8.6399999999999997E-4</v>
      </c>
      <c r="Q65" s="18">
        <v>8.6400000000000001E-3</v>
      </c>
      <c r="R65" s="18">
        <v>8.6400000000000001E-3</v>
      </c>
      <c r="S65" s="18">
        <v>8.6400000000000001E-3</v>
      </c>
      <c r="T65" s="18">
        <v>8.6400000000000001E-3</v>
      </c>
      <c r="U65" s="18">
        <v>8.6400000000000001E-3</v>
      </c>
      <c r="V65" s="13"/>
    </row>
    <row r="66" spans="1:35" x14ac:dyDescent="0.45">
      <c r="A66" s="6" t="s">
        <v>66</v>
      </c>
      <c r="B66" s="1">
        <v>8.6400000000000001E-3</v>
      </c>
      <c r="C66" s="1">
        <v>8.6400000000000005E-2</v>
      </c>
      <c r="D66" s="1">
        <v>0.86399999999999999</v>
      </c>
      <c r="E66" s="1">
        <v>8.64</v>
      </c>
      <c r="F66" s="1">
        <v>86.4</v>
      </c>
      <c r="G66" s="17">
        <v>8.6400000000000001E-3</v>
      </c>
      <c r="H66" s="17">
        <v>8.6400000000000005E-2</v>
      </c>
      <c r="I66" s="17">
        <v>0.86399999999999999</v>
      </c>
      <c r="J66" s="17">
        <v>8.64</v>
      </c>
      <c r="K66" s="17">
        <v>86.4</v>
      </c>
      <c r="L66" s="1">
        <v>8.6400000000000001E-3</v>
      </c>
      <c r="M66" s="1">
        <v>8.6400000000000005E-2</v>
      </c>
      <c r="N66" s="1">
        <v>0.86399999999999999</v>
      </c>
      <c r="O66" s="1">
        <v>8.64</v>
      </c>
      <c r="P66" s="1">
        <v>86.4</v>
      </c>
      <c r="Q66" s="17">
        <v>8.6400000000000001E-3</v>
      </c>
      <c r="R66" s="17">
        <v>8.6400000000000005E-2</v>
      </c>
      <c r="S66" s="17">
        <v>0.86399999999999999</v>
      </c>
      <c r="T66" s="17">
        <v>8.64</v>
      </c>
      <c r="U66" s="17">
        <v>86.4</v>
      </c>
      <c r="V66" s="1"/>
    </row>
    <row r="67" spans="1:35" x14ac:dyDescent="0.45">
      <c r="A67"/>
      <c r="W67" s="14" t="s">
        <v>968</v>
      </c>
    </row>
    <row r="68" spans="1:35" x14ac:dyDescent="0.45">
      <c r="A68" s="14" t="s">
        <v>969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W68" s="4" t="s">
        <v>91</v>
      </c>
      <c r="X68" s="4" t="s">
        <v>37</v>
      </c>
      <c r="Y68" s="4" t="s">
        <v>108</v>
      </c>
      <c r="Z68" s="4" t="s">
        <v>99</v>
      </c>
      <c r="AA68" s="4" t="s">
        <v>100</v>
      </c>
      <c r="AB68" s="4" t="s">
        <v>101</v>
      </c>
      <c r="AC68" s="4" t="s">
        <v>102</v>
      </c>
      <c r="AD68" s="4" t="s">
        <v>103</v>
      </c>
      <c r="AE68" s="4" t="s">
        <v>104</v>
      </c>
      <c r="AF68" s="4" t="s">
        <v>105</v>
      </c>
      <c r="AG68" s="4" t="s">
        <v>106</v>
      </c>
      <c r="AH68" s="4"/>
      <c r="AI68" s="4"/>
    </row>
    <row r="69" spans="1:35" x14ac:dyDescent="0.45">
      <c r="A69" s="4" t="s">
        <v>43</v>
      </c>
      <c r="B69" s="4" t="s">
        <v>934</v>
      </c>
      <c r="C69" s="4" t="s">
        <v>954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W69" s="4" t="s">
        <v>93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</row>
    <row r="70" spans="1:35" x14ac:dyDescent="0.45">
      <c r="A70" s="6" t="s">
        <v>50</v>
      </c>
      <c r="B70" s="1">
        <v>86.4</v>
      </c>
      <c r="C70" s="1">
        <v>86.4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W70" s="4" t="s">
        <v>93</v>
      </c>
      <c r="X70" s="3">
        <v>3600000</v>
      </c>
      <c r="Y70" s="4">
        <v>0</v>
      </c>
      <c r="Z70" s="4">
        <v>-100</v>
      </c>
      <c r="AA70" s="4">
        <v>-200</v>
      </c>
      <c r="AB70" s="4">
        <v>-1000</v>
      </c>
      <c r="AC70" s="4">
        <v>-2000</v>
      </c>
      <c r="AD70" s="4">
        <v>-20000</v>
      </c>
      <c r="AE70" s="4">
        <v>-100000</v>
      </c>
      <c r="AF70" s="4">
        <v>-200000</v>
      </c>
      <c r="AG70" s="4">
        <v>-600000</v>
      </c>
    </row>
    <row r="71" spans="1:35" x14ac:dyDescent="0.45">
      <c r="A71" s="6" t="s">
        <v>54</v>
      </c>
      <c r="B71" s="13">
        <v>8.6399999999999999E-9</v>
      </c>
      <c r="C71" s="15">
        <v>8.6400000000000006E-8</v>
      </c>
      <c r="W71" s="4" t="s">
        <v>93</v>
      </c>
      <c r="X71" s="3">
        <v>800000000</v>
      </c>
      <c r="Y71" s="4">
        <v>0</v>
      </c>
      <c r="Z71" s="4">
        <v>-100</v>
      </c>
      <c r="AA71" s="4">
        <v>-200</v>
      </c>
      <c r="AB71" s="4">
        <v>-1000</v>
      </c>
      <c r="AC71" s="4">
        <v>-2000</v>
      </c>
      <c r="AD71" s="4">
        <v>-20000</v>
      </c>
      <c r="AE71" s="4">
        <v>-100000</v>
      </c>
      <c r="AF71" s="4">
        <v>-200000</v>
      </c>
      <c r="AG71" s="4">
        <v>-600000</v>
      </c>
    </row>
    <row r="72" spans="1:35" x14ac:dyDescent="0.45">
      <c r="A72" s="6" t="s">
        <v>56</v>
      </c>
      <c r="B72" s="1">
        <v>86.4</v>
      </c>
      <c r="C72" s="1">
        <v>86.4</v>
      </c>
      <c r="W72" s="4" t="s">
        <v>94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</row>
    <row r="73" spans="1:35" x14ac:dyDescent="0.45">
      <c r="A73" s="6" t="s">
        <v>58</v>
      </c>
      <c r="B73" s="13">
        <v>8.6399999999999999E-9</v>
      </c>
      <c r="C73" s="15">
        <v>8.6400000000000006E-8</v>
      </c>
      <c r="W73" s="4" t="s">
        <v>94</v>
      </c>
      <c r="X73" s="3">
        <v>3600000</v>
      </c>
      <c r="Y73" s="4">
        <v>0</v>
      </c>
      <c r="Z73" s="4">
        <v>-100</v>
      </c>
      <c r="AA73" s="4">
        <v>-200</v>
      </c>
      <c r="AB73" s="4">
        <v>-1000</v>
      </c>
      <c r="AC73" s="4">
        <v>-2000</v>
      </c>
      <c r="AD73" s="4">
        <v>-20000</v>
      </c>
      <c r="AE73" s="4">
        <v>-100000</v>
      </c>
      <c r="AF73" s="4">
        <v>-200000</v>
      </c>
      <c r="AG73" s="4">
        <v>-600000</v>
      </c>
    </row>
    <row r="74" spans="1:35" x14ac:dyDescent="0.45">
      <c r="A74" s="6" t="s">
        <v>60</v>
      </c>
      <c r="B74" s="1">
        <v>86.4</v>
      </c>
      <c r="C74" s="1">
        <v>86.4</v>
      </c>
      <c r="W74" s="4" t="s">
        <v>94</v>
      </c>
      <c r="X74" s="3">
        <v>800000000</v>
      </c>
      <c r="Y74" s="4">
        <v>0</v>
      </c>
      <c r="Z74" s="4">
        <v>-100</v>
      </c>
      <c r="AA74" s="4">
        <v>-200</v>
      </c>
      <c r="AB74" s="4">
        <v>-1000</v>
      </c>
      <c r="AC74" s="4">
        <v>-2000</v>
      </c>
      <c r="AD74" s="4">
        <v>-20000</v>
      </c>
      <c r="AE74" s="4">
        <v>-100000</v>
      </c>
      <c r="AF74" s="4">
        <v>-200000</v>
      </c>
      <c r="AG74" s="4">
        <v>-600000</v>
      </c>
    </row>
    <row r="75" spans="1:35" x14ac:dyDescent="0.45">
      <c r="A75" s="6" t="s">
        <v>62</v>
      </c>
      <c r="B75" s="1">
        <v>86.4</v>
      </c>
      <c r="C75" s="1">
        <v>86.4</v>
      </c>
      <c r="W75" s="4" t="s">
        <v>95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</row>
    <row r="76" spans="1:35" x14ac:dyDescent="0.45">
      <c r="A76" s="6" t="s">
        <v>63</v>
      </c>
      <c r="B76" s="13">
        <v>8.6399999999999999E-9</v>
      </c>
      <c r="C76" s="15">
        <v>8.6400000000000006E-8</v>
      </c>
      <c r="W76" s="4" t="s">
        <v>95</v>
      </c>
      <c r="X76" s="3">
        <v>3600000</v>
      </c>
      <c r="Y76" s="4">
        <v>0</v>
      </c>
      <c r="Z76" s="4">
        <v>-100</v>
      </c>
      <c r="AA76" s="4">
        <v>-200</v>
      </c>
      <c r="AB76" s="4">
        <v>-1000</v>
      </c>
      <c r="AC76" s="4">
        <v>-2000</v>
      </c>
      <c r="AD76" s="4">
        <v>-20000</v>
      </c>
      <c r="AE76" s="4">
        <v>-100000</v>
      </c>
      <c r="AF76" s="4">
        <v>-200000</v>
      </c>
      <c r="AG76" s="4">
        <v>-600000</v>
      </c>
    </row>
    <row r="77" spans="1:35" x14ac:dyDescent="0.45">
      <c r="A77" s="6" t="s">
        <v>64</v>
      </c>
      <c r="B77" s="1">
        <v>86.4</v>
      </c>
      <c r="C77" s="1">
        <v>86.4</v>
      </c>
      <c r="W77" s="4" t="s">
        <v>95</v>
      </c>
      <c r="X77" s="3">
        <v>800000000</v>
      </c>
      <c r="Y77" s="4">
        <v>0</v>
      </c>
      <c r="Z77" s="4">
        <v>-100</v>
      </c>
      <c r="AA77" s="4">
        <v>-200</v>
      </c>
      <c r="AB77" s="4">
        <v>-1000</v>
      </c>
      <c r="AC77" s="4">
        <v>-2000</v>
      </c>
      <c r="AD77" s="4">
        <v>-20000</v>
      </c>
      <c r="AE77" s="4">
        <v>-100000</v>
      </c>
      <c r="AF77" s="4">
        <v>-200000</v>
      </c>
      <c r="AG77" s="4">
        <v>-600000</v>
      </c>
    </row>
    <row r="78" spans="1:35" x14ac:dyDescent="0.45">
      <c r="A78" s="6" t="s">
        <v>65</v>
      </c>
      <c r="B78" s="13">
        <v>8.6399999999999999E-9</v>
      </c>
      <c r="C78" s="15">
        <v>8.6400000000000006E-8</v>
      </c>
      <c r="W78" s="4" t="s">
        <v>96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</row>
    <row r="79" spans="1:35" x14ac:dyDescent="0.45">
      <c r="A79" s="6" t="s">
        <v>66</v>
      </c>
      <c r="B79" s="1">
        <v>86.4</v>
      </c>
      <c r="C79" s="1">
        <v>86.4</v>
      </c>
      <c r="W79" s="4" t="s">
        <v>96</v>
      </c>
      <c r="X79" s="3">
        <v>3600000</v>
      </c>
      <c r="Y79" s="4">
        <v>0</v>
      </c>
      <c r="Z79" s="4">
        <v>-100</v>
      </c>
      <c r="AA79" s="4">
        <v>-200</v>
      </c>
      <c r="AB79" s="4">
        <v>-1000</v>
      </c>
      <c r="AC79" s="4">
        <v>-2000</v>
      </c>
      <c r="AD79" s="4">
        <v>-20000</v>
      </c>
      <c r="AE79" s="4">
        <v>-100000</v>
      </c>
      <c r="AF79" s="4">
        <v>-200000</v>
      </c>
      <c r="AG79" s="4">
        <v>-600000</v>
      </c>
    </row>
    <row r="80" spans="1:35" x14ac:dyDescent="0.45">
      <c r="A80"/>
      <c r="W80" s="4" t="s">
        <v>96</v>
      </c>
      <c r="X80" s="3">
        <v>800000000</v>
      </c>
      <c r="Y80" s="4">
        <v>0</v>
      </c>
      <c r="Z80" s="4">
        <v>-100</v>
      </c>
      <c r="AA80" s="4">
        <v>-200</v>
      </c>
      <c r="AB80" s="4">
        <v>-1000</v>
      </c>
      <c r="AC80" s="4">
        <v>-2000</v>
      </c>
      <c r="AD80" s="4">
        <v>-20000</v>
      </c>
      <c r="AE80" s="4">
        <v>-100000</v>
      </c>
      <c r="AF80" s="4">
        <v>-200000</v>
      </c>
      <c r="AG80" s="4">
        <v>-600000</v>
      </c>
    </row>
    <row r="81" spans="1:33" x14ac:dyDescent="0.45">
      <c r="A81"/>
      <c r="W81" s="4" t="s">
        <v>97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</row>
    <row r="82" spans="1:33" x14ac:dyDescent="0.45">
      <c r="A82"/>
      <c r="W82" s="4" t="s">
        <v>97</v>
      </c>
      <c r="X82" s="3">
        <v>3600000</v>
      </c>
      <c r="Y82" s="4">
        <v>0</v>
      </c>
      <c r="Z82" s="4">
        <v>-100</v>
      </c>
      <c r="AA82" s="4">
        <v>-200</v>
      </c>
      <c r="AB82" s="4">
        <v>-1000</v>
      </c>
      <c r="AC82" s="4">
        <v>-2000</v>
      </c>
      <c r="AD82" s="4">
        <v>-20000</v>
      </c>
      <c r="AE82" s="4">
        <v>-100000</v>
      </c>
      <c r="AF82" s="4">
        <v>-200000</v>
      </c>
      <c r="AG82" s="4">
        <v>-600000</v>
      </c>
    </row>
    <row r="83" spans="1:33" x14ac:dyDescent="0.45">
      <c r="A83"/>
      <c r="W83" s="4" t="s">
        <v>97</v>
      </c>
      <c r="X83" s="3">
        <v>800000000</v>
      </c>
      <c r="Y83" s="4">
        <v>0</v>
      </c>
      <c r="Z83" s="4">
        <v>-100</v>
      </c>
      <c r="AA83" s="4">
        <v>-200</v>
      </c>
      <c r="AB83" s="4">
        <v>-1000</v>
      </c>
      <c r="AC83" s="4">
        <v>-2000</v>
      </c>
      <c r="AD83" s="4">
        <v>-20000</v>
      </c>
      <c r="AE83" s="4">
        <v>-100000</v>
      </c>
      <c r="AF83" s="4">
        <v>-200000</v>
      </c>
      <c r="AG83" s="4">
        <v>-600000</v>
      </c>
    </row>
    <row r="84" spans="1:33" x14ac:dyDescent="0.45">
      <c r="A84"/>
    </row>
    <row r="85" spans="1:33" x14ac:dyDescent="0.45">
      <c r="A85"/>
    </row>
    <row r="86" spans="1:33" x14ac:dyDescent="0.45">
      <c r="A86"/>
      <c r="W86" s="14" t="s">
        <v>969</v>
      </c>
    </row>
    <row r="87" spans="1:33" x14ac:dyDescent="0.45">
      <c r="A87"/>
      <c r="W87" s="4" t="s">
        <v>91</v>
      </c>
      <c r="X87" s="4" t="s">
        <v>37</v>
      </c>
      <c r="Y87" s="4" t="s">
        <v>108</v>
      </c>
      <c r="Z87" s="4" t="s">
        <v>99</v>
      </c>
      <c r="AA87" s="4" t="s">
        <v>100</v>
      </c>
      <c r="AB87" s="4" t="s">
        <v>101</v>
      </c>
      <c r="AC87" s="4" t="s">
        <v>102</v>
      </c>
      <c r="AD87" s="4" t="s">
        <v>103</v>
      </c>
      <c r="AE87" s="4"/>
      <c r="AF87" s="4"/>
      <c r="AG87" s="4"/>
    </row>
    <row r="88" spans="1:33" x14ac:dyDescent="0.45">
      <c r="A88"/>
      <c r="W88" s="4" t="s">
        <v>93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</row>
    <row r="89" spans="1:33" x14ac:dyDescent="0.45">
      <c r="A89"/>
      <c r="W89" s="4" t="s">
        <v>93</v>
      </c>
      <c r="X89" s="3">
        <v>3600000</v>
      </c>
      <c r="Y89" s="4">
        <v>0</v>
      </c>
      <c r="Z89" s="4">
        <v>-1000</v>
      </c>
      <c r="AA89" s="4">
        <v>-10000</v>
      </c>
      <c r="AB89" s="4">
        <v>-100000</v>
      </c>
      <c r="AC89" s="4">
        <v>-200000</v>
      </c>
      <c r="AD89" s="4">
        <v>-600000</v>
      </c>
    </row>
    <row r="90" spans="1:33" x14ac:dyDescent="0.45">
      <c r="A90"/>
      <c r="W90" s="4" t="s">
        <v>93</v>
      </c>
      <c r="X90" s="3">
        <v>800000000</v>
      </c>
      <c r="Y90" s="4">
        <v>0</v>
      </c>
      <c r="Z90" s="4">
        <v>-1000</v>
      </c>
      <c r="AA90" s="4">
        <v>-10000</v>
      </c>
      <c r="AB90" s="4">
        <v>-100000</v>
      </c>
      <c r="AC90" s="4">
        <v>-200000</v>
      </c>
      <c r="AD90" s="4">
        <v>-600000</v>
      </c>
    </row>
    <row r="91" spans="1:33" x14ac:dyDescent="0.45">
      <c r="A91"/>
      <c r="W91" s="4" t="s">
        <v>94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</row>
    <row r="92" spans="1:33" x14ac:dyDescent="0.45">
      <c r="A92"/>
      <c r="W92" s="4" t="s">
        <v>94</v>
      </c>
      <c r="X92" s="3">
        <v>3600000</v>
      </c>
      <c r="Y92" s="4">
        <v>0</v>
      </c>
      <c r="Z92" s="4">
        <v>-1000</v>
      </c>
      <c r="AA92" s="4">
        <v>-10000</v>
      </c>
      <c r="AB92" s="4">
        <v>-100000</v>
      </c>
      <c r="AC92" s="4">
        <v>-200000</v>
      </c>
      <c r="AD92" s="4">
        <v>-600000</v>
      </c>
    </row>
    <row r="93" spans="1:33" x14ac:dyDescent="0.45">
      <c r="A93"/>
      <c r="W93" s="4" t="s">
        <v>94</v>
      </c>
      <c r="X93" s="3">
        <v>800000000</v>
      </c>
      <c r="Y93" s="4">
        <v>0</v>
      </c>
      <c r="Z93" s="4">
        <v>-1000</v>
      </c>
      <c r="AA93" s="4">
        <v>-10000</v>
      </c>
      <c r="AB93" s="4">
        <v>-100000</v>
      </c>
      <c r="AC93" s="4">
        <v>-200000</v>
      </c>
      <c r="AD93" s="4">
        <v>-600000</v>
      </c>
    </row>
    <row r="94" spans="1:33" x14ac:dyDescent="0.45">
      <c r="A94"/>
      <c r="W94" s="4" t="s">
        <v>95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</row>
    <row r="95" spans="1:33" x14ac:dyDescent="0.45">
      <c r="A95"/>
      <c r="W95" s="4" t="s">
        <v>95</v>
      </c>
      <c r="X95" s="3">
        <v>3600000</v>
      </c>
      <c r="Y95" s="4">
        <v>0</v>
      </c>
      <c r="Z95" s="4">
        <v>-1000</v>
      </c>
      <c r="AA95" s="4">
        <v>-10000</v>
      </c>
      <c r="AB95" s="4">
        <v>-100000</v>
      </c>
      <c r="AC95" s="4">
        <v>-200000</v>
      </c>
      <c r="AD95" s="4">
        <v>-600000</v>
      </c>
    </row>
    <row r="96" spans="1:33" x14ac:dyDescent="0.45">
      <c r="A96"/>
      <c r="W96" s="4" t="s">
        <v>95</v>
      </c>
      <c r="X96" s="3">
        <v>800000000</v>
      </c>
      <c r="Y96" s="4">
        <v>0</v>
      </c>
      <c r="Z96" s="4">
        <v>-1000</v>
      </c>
      <c r="AA96" s="4">
        <v>-10000</v>
      </c>
      <c r="AB96" s="4">
        <v>-100000</v>
      </c>
      <c r="AC96" s="4">
        <v>-200000</v>
      </c>
      <c r="AD96" s="4">
        <v>-600000</v>
      </c>
    </row>
    <row r="97" spans="1:30" x14ac:dyDescent="0.45">
      <c r="A97"/>
      <c r="W97" s="4" t="s">
        <v>96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</row>
    <row r="98" spans="1:30" x14ac:dyDescent="0.45">
      <c r="A98"/>
      <c r="W98" s="4" t="s">
        <v>96</v>
      </c>
      <c r="X98" s="3">
        <v>3600000</v>
      </c>
      <c r="Y98" s="4">
        <v>0</v>
      </c>
      <c r="Z98" s="4">
        <v>-1000</v>
      </c>
      <c r="AA98" s="4">
        <v>-10000</v>
      </c>
      <c r="AB98" s="4">
        <v>-100000</v>
      </c>
      <c r="AC98" s="4">
        <v>-200000</v>
      </c>
      <c r="AD98" s="4">
        <v>-600000</v>
      </c>
    </row>
    <row r="99" spans="1:30" x14ac:dyDescent="0.45">
      <c r="A99"/>
      <c r="W99" s="4" t="s">
        <v>96</v>
      </c>
      <c r="X99" s="3">
        <v>800000000</v>
      </c>
      <c r="Y99" s="4">
        <v>0</v>
      </c>
      <c r="Z99" s="4">
        <v>-1000</v>
      </c>
      <c r="AA99" s="4">
        <v>-10000</v>
      </c>
      <c r="AB99" s="4">
        <v>-100000</v>
      </c>
      <c r="AC99" s="4">
        <v>-200000</v>
      </c>
      <c r="AD99" s="4">
        <v>-600000</v>
      </c>
    </row>
    <row r="100" spans="1:30" x14ac:dyDescent="0.45">
      <c r="A100"/>
      <c r="W100" s="4" t="s">
        <v>97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</row>
    <row r="101" spans="1:30" x14ac:dyDescent="0.45">
      <c r="A101"/>
      <c r="W101" s="4" t="s">
        <v>97</v>
      </c>
      <c r="X101" s="3">
        <v>3600000</v>
      </c>
      <c r="Y101" s="4">
        <v>0</v>
      </c>
      <c r="Z101" s="4">
        <v>-1000</v>
      </c>
      <c r="AA101" s="4">
        <v>-10000</v>
      </c>
      <c r="AB101" s="4">
        <v>-100000</v>
      </c>
      <c r="AC101" s="4">
        <v>-200000</v>
      </c>
      <c r="AD101" s="4">
        <v>-600000</v>
      </c>
    </row>
    <row r="102" spans="1:30" x14ac:dyDescent="0.45">
      <c r="A102"/>
      <c r="W102" s="4" t="s">
        <v>97</v>
      </c>
      <c r="X102" s="3">
        <v>800000000</v>
      </c>
      <c r="Y102" s="4">
        <v>0</v>
      </c>
      <c r="Z102" s="4">
        <v>-1000</v>
      </c>
      <c r="AA102" s="4">
        <v>-10000</v>
      </c>
      <c r="AB102" s="4">
        <v>-100000</v>
      </c>
      <c r="AC102" s="4">
        <v>-200000</v>
      </c>
      <c r="AD102" s="4">
        <v>-600000</v>
      </c>
    </row>
    <row r="103" spans="1:30" x14ac:dyDescent="0.45">
      <c r="A103"/>
    </row>
    <row r="104" spans="1:30" x14ac:dyDescent="0.45">
      <c r="A104"/>
    </row>
    <row r="105" spans="1:30" x14ac:dyDescent="0.45">
      <c r="A105"/>
    </row>
    <row r="106" spans="1:30" x14ac:dyDescent="0.45">
      <c r="A106"/>
      <c r="C106" s="1"/>
      <c r="D106" s="1"/>
      <c r="E106" s="1"/>
      <c r="F106" s="1"/>
      <c r="G106" s="1"/>
      <c r="H106" s="2"/>
      <c r="W106" s="1"/>
      <c r="X106" s="1"/>
      <c r="Y106" s="1"/>
      <c r="Z106" s="1"/>
      <c r="AA106" s="1"/>
    </row>
    <row r="107" spans="1:30" x14ac:dyDescent="0.45">
      <c r="A107"/>
      <c r="C107" s="1"/>
      <c r="D107" s="1"/>
      <c r="E107" s="1"/>
      <c r="F107" s="1"/>
      <c r="G107" s="1"/>
      <c r="H107" s="2"/>
      <c r="W107" s="1"/>
      <c r="X107" s="1"/>
      <c r="Y107" s="1"/>
      <c r="Z107" s="1"/>
      <c r="AA107" s="1"/>
    </row>
    <row r="108" spans="1:30" x14ac:dyDescent="0.45">
      <c r="A108"/>
      <c r="C108" s="1"/>
      <c r="D108" s="1"/>
      <c r="E108" s="1"/>
      <c r="F108" s="1"/>
      <c r="G108" s="1"/>
      <c r="H108" s="2"/>
      <c r="W108" s="1"/>
      <c r="X108" s="1"/>
      <c r="Y108" s="1"/>
      <c r="Z108" s="1"/>
      <c r="AA108" s="1"/>
    </row>
    <row r="109" spans="1:30" x14ac:dyDescent="0.45">
      <c r="A109"/>
      <c r="C109" s="1"/>
      <c r="D109" s="1"/>
      <c r="E109" s="1"/>
      <c r="F109" s="1"/>
      <c r="G109" s="1"/>
      <c r="H109" s="2"/>
      <c r="W109" s="1"/>
      <c r="X109" s="1"/>
      <c r="Y109" s="1"/>
      <c r="Z109" s="1"/>
      <c r="AA109" s="1"/>
    </row>
    <row r="110" spans="1:30" x14ac:dyDescent="0.45">
      <c r="A110"/>
      <c r="C110" s="1"/>
      <c r="D110" s="1"/>
      <c r="E110" s="1"/>
      <c r="F110" s="1"/>
      <c r="G110" s="1"/>
      <c r="H110" s="2"/>
      <c r="W110" s="1"/>
      <c r="X110" s="1"/>
      <c r="Y110" s="1"/>
      <c r="Z110" s="1"/>
      <c r="AA110" s="1"/>
    </row>
    <row r="111" spans="1:30" x14ac:dyDescent="0.45">
      <c r="A111"/>
      <c r="C111" s="1"/>
      <c r="D111" s="1"/>
      <c r="E111" s="1"/>
      <c r="F111" s="1"/>
      <c r="G111" s="1"/>
      <c r="H111" s="2"/>
      <c r="W111" s="1"/>
      <c r="X111" s="1"/>
      <c r="Y111" s="1"/>
      <c r="Z111" s="1"/>
      <c r="AA111" s="1"/>
    </row>
    <row r="112" spans="1:30" x14ac:dyDescent="0.45">
      <c r="A112"/>
      <c r="C112" s="1"/>
      <c r="D112" s="1"/>
      <c r="E112" s="1"/>
      <c r="F112" s="1"/>
      <c r="G112" s="1"/>
      <c r="H112" s="2"/>
      <c r="W112" s="1"/>
      <c r="X112" s="1"/>
      <c r="Y112" s="1"/>
      <c r="Z112" s="1"/>
      <c r="AA112" s="1"/>
    </row>
    <row r="113" spans="1:27" x14ac:dyDescent="0.45">
      <c r="A113"/>
      <c r="C113" s="1"/>
      <c r="D113" s="1"/>
      <c r="E113" s="1"/>
      <c r="F113" s="1"/>
      <c r="G113" s="1"/>
      <c r="H113" s="2"/>
      <c r="W113" s="1"/>
      <c r="X113" s="1"/>
      <c r="Y113" s="1"/>
      <c r="Z113" s="1"/>
      <c r="AA113" s="1"/>
    </row>
    <row r="114" spans="1:27" x14ac:dyDescent="0.45">
      <c r="A114"/>
      <c r="C114" s="1"/>
      <c r="D114" s="1"/>
      <c r="E114" s="1"/>
      <c r="F114" s="1"/>
      <c r="G114" s="1"/>
      <c r="H114" s="2"/>
      <c r="W114" s="1"/>
      <c r="X114" s="1"/>
      <c r="Y114" s="1"/>
      <c r="Z114" s="1"/>
      <c r="AA114" s="1"/>
    </row>
    <row r="115" spans="1:27" x14ac:dyDescent="0.45">
      <c r="A115"/>
      <c r="C115" s="1"/>
      <c r="D115" s="1"/>
      <c r="E115" s="1"/>
      <c r="F115" s="1"/>
      <c r="G115" s="1"/>
      <c r="H115" s="2"/>
      <c r="W115" s="1"/>
      <c r="X115" s="1"/>
      <c r="Y115" s="1"/>
      <c r="Z115" s="1"/>
      <c r="AA115" s="1"/>
    </row>
    <row r="116" spans="1:27" x14ac:dyDescent="0.45">
      <c r="A116"/>
      <c r="C116" s="1"/>
      <c r="D116" s="1"/>
      <c r="E116" s="1"/>
      <c r="F116" s="1"/>
      <c r="G116" s="1"/>
      <c r="H116" s="2"/>
      <c r="W116" s="1"/>
      <c r="X116" s="1"/>
      <c r="Y116" s="1"/>
      <c r="Z116" s="1"/>
      <c r="AA116" s="1"/>
    </row>
    <row r="117" spans="1:27" x14ac:dyDescent="0.45">
      <c r="A117"/>
      <c r="C117" s="1"/>
      <c r="D117" s="1"/>
      <c r="E117" s="1"/>
      <c r="F117" s="1"/>
      <c r="G117" s="1"/>
      <c r="H117" s="2"/>
      <c r="W117" s="1"/>
      <c r="X117" s="1"/>
      <c r="Y117" s="1"/>
      <c r="Z117" s="1"/>
      <c r="AA117" s="1"/>
    </row>
    <row r="118" spans="1:27" x14ac:dyDescent="0.45">
      <c r="A118"/>
      <c r="C118" s="1"/>
      <c r="D118" s="1"/>
      <c r="E118" s="1"/>
      <c r="F118" s="1"/>
      <c r="G118" s="1"/>
      <c r="H118" s="2"/>
      <c r="W118" s="1"/>
      <c r="X118" s="1"/>
      <c r="Y118" s="1"/>
      <c r="Z118" s="1"/>
      <c r="AA118" s="1"/>
    </row>
    <row r="119" spans="1:27" x14ac:dyDescent="0.45">
      <c r="A119"/>
      <c r="C119" s="1"/>
      <c r="D119" s="1"/>
      <c r="E119" s="1"/>
      <c r="F119" s="1"/>
      <c r="G119" s="1"/>
      <c r="H119" s="2"/>
      <c r="W119" s="1"/>
      <c r="X119" s="1"/>
      <c r="Y119" s="1"/>
      <c r="Z119" s="1"/>
      <c r="AA119" s="1"/>
    </row>
    <row r="120" spans="1:27" x14ac:dyDescent="0.45">
      <c r="A120"/>
      <c r="C120" s="1"/>
      <c r="D120" s="1"/>
      <c r="E120" s="1"/>
      <c r="F120" s="1"/>
      <c r="G120" s="1"/>
      <c r="H120" s="2"/>
      <c r="W120" s="1"/>
      <c r="X120" s="1"/>
      <c r="Y120" s="1"/>
      <c r="Z120" s="1"/>
      <c r="AA120" s="1"/>
    </row>
    <row r="121" spans="1:27" x14ac:dyDescent="0.45">
      <c r="A121"/>
      <c r="C121" s="1"/>
      <c r="D121" s="1"/>
      <c r="E121" s="1"/>
      <c r="F121" s="1"/>
      <c r="G121" s="1"/>
      <c r="H121" s="2"/>
      <c r="W121" s="1"/>
      <c r="X121" s="1"/>
      <c r="Y121" s="1"/>
      <c r="Z121" s="1"/>
      <c r="AA121" s="1"/>
    </row>
    <row r="122" spans="1:27" x14ac:dyDescent="0.45">
      <c r="A122"/>
      <c r="C122" s="1"/>
      <c r="D122" s="1"/>
      <c r="E122" s="1"/>
      <c r="F122" s="1"/>
      <c r="G122" s="1"/>
      <c r="H122" s="2"/>
      <c r="W122" s="1"/>
      <c r="X122" s="1"/>
      <c r="Y122" s="1"/>
      <c r="Z122" s="1"/>
      <c r="AA122" s="1"/>
    </row>
    <row r="123" spans="1:27" x14ac:dyDescent="0.45">
      <c r="A123"/>
      <c r="C123" s="1"/>
      <c r="D123" s="1"/>
      <c r="E123" s="1"/>
      <c r="F123" s="1"/>
      <c r="G123" s="1"/>
      <c r="H123" s="2"/>
      <c r="W123" s="1"/>
      <c r="X123" s="1"/>
      <c r="Y123" s="1"/>
      <c r="Z123" s="1"/>
      <c r="AA123" s="1"/>
    </row>
    <row r="124" spans="1:27" x14ac:dyDescent="0.45">
      <c r="A124"/>
      <c r="C124" s="1"/>
      <c r="D124" s="1"/>
      <c r="E124" s="1"/>
      <c r="F124" s="1"/>
      <c r="G124" s="1"/>
      <c r="H124" s="2"/>
      <c r="W124" s="1"/>
      <c r="X124" s="1"/>
      <c r="Y124" s="1"/>
      <c r="Z124" s="1"/>
      <c r="AA124" s="1"/>
    </row>
    <row r="125" spans="1:27" x14ac:dyDescent="0.45">
      <c r="A125"/>
      <c r="C125" s="1"/>
      <c r="D125" s="1"/>
      <c r="E125" s="1"/>
      <c r="F125" s="1"/>
      <c r="G125" s="1"/>
      <c r="H125" s="2"/>
      <c r="W125" s="1"/>
      <c r="X125" s="1"/>
      <c r="Y125" s="1"/>
      <c r="Z125" s="1"/>
      <c r="AA125" s="1"/>
    </row>
    <row r="126" spans="1:27" x14ac:dyDescent="0.45">
      <c r="A126"/>
      <c r="C126" s="1"/>
      <c r="D126" s="1"/>
      <c r="E126" s="1"/>
      <c r="F126" s="1"/>
      <c r="G126" s="1"/>
      <c r="H126" s="2"/>
      <c r="W126" s="1"/>
      <c r="X126" s="1"/>
      <c r="Y126" s="1"/>
      <c r="Z126" s="1"/>
      <c r="AA126" s="1"/>
    </row>
    <row r="127" spans="1:27" x14ac:dyDescent="0.45">
      <c r="A127"/>
      <c r="C127" s="1"/>
      <c r="D127" s="1"/>
      <c r="E127" s="1"/>
      <c r="F127" s="1"/>
      <c r="G127" s="1"/>
      <c r="H127" s="2"/>
      <c r="W127" s="1"/>
      <c r="X127" s="1"/>
      <c r="Y127" s="1"/>
      <c r="Z127" s="1"/>
      <c r="AA127" s="1"/>
    </row>
    <row r="128" spans="1:27" x14ac:dyDescent="0.45">
      <c r="A128"/>
      <c r="C128" s="1"/>
      <c r="D128" s="1"/>
      <c r="E128" s="1"/>
      <c r="F128" s="1"/>
      <c r="G128" s="1"/>
      <c r="H128" s="2"/>
      <c r="W128" s="1"/>
      <c r="X128" s="1"/>
      <c r="Y128" s="1"/>
      <c r="Z128" s="1"/>
      <c r="AA128" s="1"/>
    </row>
    <row r="129" spans="1:27" x14ac:dyDescent="0.45">
      <c r="A129"/>
      <c r="C129" s="1"/>
      <c r="D129" s="1"/>
      <c r="E129" s="1"/>
      <c r="F129" s="1"/>
      <c r="G129" s="1"/>
      <c r="H129" s="2"/>
      <c r="W129" s="1"/>
      <c r="X129" s="1"/>
      <c r="Y129" s="1"/>
      <c r="Z129" s="1"/>
      <c r="AA129" s="1"/>
    </row>
    <row r="130" spans="1:27" x14ac:dyDescent="0.45">
      <c r="A130"/>
      <c r="C130" s="1"/>
      <c r="D130" s="1"/>
      <c r="E130" s="1"/>
      <c r="F130" s="1"/>
      <c r="G130" s="1"/>
      <c r="H130" s="2"/>
      <c r="W130" s="1"/>
      <c r="X130" s="1"/>
      <c r="Y130" s="1"/>
      <c r="Z130" s="1"/>
      <c r="AA130" s="1"/>
    </row>
    <row r="131" spans="1:27" x14ac:dyDescent="0.45">
      <c r="A131"/>
      <c r="C131" s="1"/>
      <c r="D131" s="1"/>
      <c r="E131" s="1"/>
      <c r="F131" s="1"/>
      <c r="G131" s="1"/>
      <c r="H131" s="2"/>
      <c r="W131" s="1"/>
      <c r="X131" s="1"/>
      <c r="Y131" s="1"/>
      <c r="Z131" s="1"/>
      <c r="AA131" s="1"/>
    </row>
    <row r="132" spans="1:27" x14ac:dyDescent="0.45">
      <c r="A132"/>
      <c r="C132" s="1"/>
      <c r="D132" s="1"/>
      <c r="E132" s="1"/>
      <c r="F132" s="1"/>
      <c r="G132" s="1"/>
      <c r="H132" s="2"/>
      <c r="W132" s="1"/>
      <c r="X132" s="1"/>
      <c r="Y132" s="1"/>
      <c r="Z132" s="1"/>
      <c r="AA132" s="1"/>
    </row>
    <row r="133" spans="1:27" x14ac:dyDescent="0.45">
      <c r="A133"/>
      <c r="C133" s="1"/>
      <c r="D133" s="1"/>
      <c r="E133" s="1"/>
      <c r="F133" s="1"/>
      <c r="G133" s="1"/>
      <c r="H133" s="2"/>
      <c r="W133" s="1"/>
      <c r="X133" s="1"/>
      <c r="Y133" s="1"/>
      <c r="Z133" s="1"/>
      <c r="AA133" s="1"/>
    </row>
    <row r="134" spans="1:27" x14ac:dyDescent="0.45">
      <c r="A134"/>
      <c r="C134" s="1"/>
      <c r="D134" s="1"/>
      <c r="E134" s="1"/>
      <c r="F134" s="1"/>
      <c r="G134" s="1"/>
      <c r="H134" s="2"/>
      <c r="W134" s="1"/>
      <c r="X134" s="1"/>
      <c r="Y134" s="1"/>
      <c r="Z134" s="1"/>
      <c r="AA134" s="1"/>
    </row>
    <row r="135" spans="1:27" x14ac:dyDescent="0.45">
      <c r="A135"/>
      <c r="C135" s="1"/>
      <c r="D135" s="1"/>
      <c r="E135" s="1"/>
      <c r="F135" s="1"/>
      <c r="G135" s="1"/>
      <c r="H135" s="2"/>
      <c r="W135" s="1"/>
      <c r="X135" s="1"/>
      <c r="Y135" s="1"/>
      <c r="Z135" s="1"/>
      <c r="AA135" s="1"/>
    </row>
    <row r="136" spans="1:27" x14ac:dyDescent="0.45">
      <c r="A136"/>
      <c r="C136" s="1"/>
      <c r="D136" s="1"/>
      <c r="E136" s="1"/>
      <c r="F136" s="1"/>
      <c r="G136" s="1"/>
      <c r="H136" s="2"/>
      <c r="W136" s="1"/>
      <c r="X136" s="1"/>
      <c r="Y136" s="1"/>
      <c r="Z136" s="1"/>
      <c r="AA136" s="1"/>
    </row>
    <row r="137" spans="1:27" x14ac:dyDescent="0.45">
      <c r="A137"/>
      <c r="C137" s="1"/>
      <c r="D137" s="1"/>
      <c r="E137" s="1"/>
      <c r="F137" s="1"/>
      <c r="G137" s="1"/>
      <c r="H137" s="2"/>
      <c r="W137" s="1"/>
      <c r="X137" s="1"/>
      <c r="Y137" s="1"/>
      <c r="Z137" s="1"/>
      <c r="AA137" s="1"/>
    </row>
    <row r="138" spans="1:27" x14ac:dyDescent="0.45">
      <c r="A138"/>
      <c r="C138" s="1"/>
      <c r="D138" s="1"/>
      <c r="E138" s="1"/>
      <c r="F138" s="1"/>
      <c r="G138" s="1"/>
      <c r="H138" s="2"/>
      <c r="W138" s="1"/>
      <c r="X138" s="1"/>
      <c r="Y138" s="1"/>
      <c r="Z138" s="1"/>
      <c r="AA138" s="1"/>
    </row>
    <row r="139" spans="1:27" x14ac:dyDescent="0.45">
      <c r="A139"/>
      <c r="C139" s="1"/>
      <c r="D139" s="1"/>
      <c r="E139" s="1"/>
      <c r="F139" s="1"/>
      <c r="G139" s="1"/>
      <c r="H139" s="2"/>
      <c r="W139" s="1"/>
      <c r="X139" s="1"/>
      <c r="Y139" s="1"/>
      <c r="Z139" s="1"/>
      <c r="AA139" s="1"/>
    </row>
    <row r="140" spans="1:27" x14ac:dyDescent="0.45">
      <c r="A140"/>
      <c r="C140" s="1"/>
      <c r="D140" s="1"/>
      <c r="E140" s="1"/>
      <c r="F140" s="1"/>
      <c r="G140" s="1"/>
      <c r="H140" s="2"/>
      <c r="W140" s="1"/>
      <c r="X140" s="1"/>
      <c r="Y140" s="1"/>
      <c r="Z140" s="1"/>
      <c r="AA140" s="1"/>
    </row>
    <row r="141" spans="1:27" x14ac:dyDescent="0.45">
      <c r="A141"/>
      <c r="C141" s="1"/>
      <c r="D141" s="1"/>
      <c r="E141" s="1"/>
      <c r="F141" s="1"/>
      <c r="G141" s="1"/>
      <c r="H141" s="2"/>
      <c r="W141" s="1"/>
      <c r="X141" s="1"/>
      <c r="Y141" s="1"/>
      <c r="Z141" s="1"/>
      <c r="AA141" s="1"/>
    </row>
    <row r="142" spans="1:27" x14ac:dyDescent="0.45">
      <c r="A142"/>
      <c r="C142" s="1"/>
      <c r="D142" s="1"/>
      <c r="E142" s="1"/>
      <c r="F142" s="1"/>
      <c r="G142" s="1"/>
      <c r="H142" s="2"/>
      <c r="W142" s="1"/>
      <c r="X142" s="1"/>
      <c r="Y142" s="1"/>
      <c r="Z142" s="1"/>
      <c r="AA142" s="1"/>
    </row>
    <row r="143" spans="1:27" x14ac:dyDescent="0.45">
      <c r="A143"/>
      <c r="C143" s="1"/>
      <c r="D143" s="1"/>
      <c r="E143" s="1"/>
      <c r="F143" s="1"/>
      <c r="G143" s="1"/>
      <c r="H143" s="2"/>
      <c r="W143" s="1"/>
      <c r="X143" s="1"/>
      <c r="Y143" s="1"/>
      <c r="Z143" s="1"/>
      <c r="AA143" s="1"/>
    </row>
    <row r="144" spans="1:27" x14ac:dyDescent="0.45">
      <c r="A144"/>
      <c r="C144" s="1"/>
      <c r="D144" s="1"/>
      <c r="E144" s="1"/>
      <c r="F144" s="1"/>
      <c r="G144" s="1"/>
      <c r="H144" s="2"/>
      <c r="W144" s="1"/>
      <c r="X144" s="1"/>
      <c r="Y144" s="1"/>
      <c r="Z144" s="1"/>
      <c r="AA144" s="1"/>
    </row>
    <row r="145" spans="1:27" x14ac:dyDescent="0.45">
      <c r="A145"/>
      <c r="C145" s="1"/>
      <c r="D145" s="1"/>
      <c r="E145" s="1"/>
      <c r="F145" s="1"/>
      <c r="G145" s="1"/>
      <c r="H145" s="2"/>
      <c r="W145" s="1"/>
      <c r="X145" s="1"/>
      <c r="Y145" s="1"/>
      <c r="Z145" s="1"/>
      <c r="AA145" s="1"/>
    </row>
    <row r="146" spans="1:27" x14ac:dyDescent="0.45">
      <c r="A146"/>
      <c r="C146" s="1"/>
      <c r="D146" s="1"/>
      <c r="E146" s="1"/>
      <c r="F146" s="1"/>
      <c r="G146" s="1"/>
      <c r="H146" s="2"/>
      <c r="W146" s="1"/>
      <c r="X146" s="1"/>
      <c r="Y146" s="1"/>
      <c r="Z146" s="1"/>
      <c r="AA146" s="1"/>
    </row>
    <row r="147" spans="1:27" x14ac:dyDescent="0.45">
      <c r="A147"/>
      <c r="C147" s="1"/>
      <c r="D147" s="1"/>
      <c r="E147" s="1"/>
      <c r="F147" s="1"/>
      <c r="G147" s="1"/>
      <c r="H147" s="2"/>
      <c r="W147" s="1"/>
      <c r="X147" s="1"/>
      <c r="Y147" s="1"/>
      <c r="Z147" s="1"/>
      <c r="AA147" s="1"/>
    </row>
    <row r="148" spans="1:27" x14ac:dyDescent="0.45">
      <c r="A148"/>
      <c r="C148" s="1"/>
      <c r="D148" s="1"/>
      <c r="E148" s="1"/>
      <c r="F148" s="1"/>
      <c r="G148" s="1"/>
      <c r="H148" s="2"/>
      <c r="W148" s="1"/>
      <c r="X148" s="1"/>
      <c r="Y148" s="1"/>
      <c r="Z148" s="1"/>
      <c r="AA148" s="1"/>
    </row>
    <row r="149" spans="1:27" x14ac:dyDescent="0.45">
      <c r="A149"/>
      <c r="C149" s="1"/>
      <c r="D149" s="1"/>
      <c r="E149" s="1"/>
      <c r="F149" s="1"/>
      <c r="G149" s="1"/>
      <c r="H149" s="2"/>
      <c r="W149" s="1"/>
      <c r="X149" s="1"/>
      <c r="Y149" s="1"/>
      <c r="Z149" s="1"/>
      <c r="AA149" s="1"/>
    </row>
    <row r="150" spans="1:27" x14ac:dyDescent="0.45">
      <c r="A150"/>
      <c r="C150" s="1"/>
      <c r="D150" s="1"/>
      <c r="E150" s="1"/>
      <c r="F150" s="1"/>
      <c r="G150" s="1"/>
      <c r="H150" s="2"/>
      <c r="W150" s="1"/>
      <c r="X150" s="1"/>
      <c r="Y150" s="1"/>
      <c r="Z150" s="1"/>
      <c r="AA150" s="1"/>
    </row>
    <row r="151" spans="1:27" x14ac:dyDescent="0.45">
      <c r="A151"/>
      <c r="C151" s="1"/>
      <c r="D151" s="1"/>
      <c r="E151" s="1"/>
      <c r="F151" s="1"/>
      <c r="G151" s="1"/>
      <c r="H151" s="2"/>
      <c r="W151" s="1"/>
      <c r="X151" s="1"/>
      <c r="Y151" s="1"/>
      <c r="Z151" s="1"/>
      <c r="AA151" s="1"/>
    </row>
    <row r="152" spans="1:27" x14ac:dyDescent="0.45">
      <c r="A152"/>
      <c r="C152" s="1"/>
      <c r="D152" s="1"/>
      <c r="E152" s="1"/>
      <c r="F152" s="1"/>
      <c r="G152" s="1"/>
      <c r="H152" s="2"/>
      <c r="W152" s="1"/>
      <c r="X152" s="1"/>
      <c r="Y152" s="1"/>
      <c r="Z152" s="1"/>
      <c r="AA152" s="1"/>
    </row>
    <row r="153" spans="1:27" x14ac:dyDescent="0.45">
      <c r="A153"/>
      <c r="C153" s="1"/>
      <c r="D153" s="1"/>
      <c r="E153" s="1"/>
      <c r="F153" s="1"/>
      <c r="G153" s="1"/>
      <c r="H153" s="2"/>
      <c r="W153" s="1"/>
      <c r="X153" s="1"/>
      <c r="Y153" s="1"/>
      <c r="Z153" s="1"/>
      <c r="AA153" s="1"/>
    </row>
    <row r="154" spans="1:27" x14ac:dyDescent="0.45">
      <c r="A154"/>
      <c r="C154" s="1"/>
      <c r="D154" s="1"/>
      <c r="E154" s="1"/>
      <c r="F154" s="1"/>
      <c r="G154" s="1"/>
      <c r="H154" s="2"/>
      <c r="W154" s="1"/>
      <c r="X154" s="1"/>
      <c r="Y154" s="1"/>
      <c r="Z154" s="1"/>
      <c r="AA154" s="1"/>
    </row>
    <row r="155" spans="1:27" x14ac:dyDescent="0.45">
      <c r="A155"/>
      <c r="C155" s="1"/>
      <c r="D155" s="1"/>
      <c r="E155" s="1"/>
      <c r="F155" s="1"/>
      <c r="G155" s="1"/>
      <c r="H155" s="2"/>
    </row>
    <row r="156" spans="1:27" x14ac:dyDescent="0.45">
      <c r="A156"/>
      <c r="C156" s="1"/>
      <c r="D156" s="1"/>
      <c r="E156" s="1"/>
      <c r="F156" s="1"/>
      <c r="G156" s="1"/>
      <c r="H156" s="2"/>
    </row>
    <row r="157" spans="1:27" x14ac:dyDescent="0.45">
      <c r="A157"/>
      <c r="C157" s="1"/>
      <c r="D157" s="1"/>
      <c r="E157" s="1"/>
      <c r="F157" s="1"/>
      <c r="G157" s="1"/>
      <c r="H157" s="2"/>
    </row>
    <row r="158" spans="1:27" x14ac:dyDescent="0.45">
      <c r="A158"/>
      <c r="C158" s="1"/>
      <c r="D158" s="1"/>
      <c r="E158" s="1"/>
      <c r="F158" s="1"/>
      <c r="G158" s="1"/>
      <c r="H158" s="2"/>
    </row>
    <row r="159" spans="1:27" x14ac:dyDescent="0.45">
      <c r="A159"/>
      <c r="C159" s="1"/>
      <c r="D159" s="1"/>
      <c r="E159" s="1"/>
      <c r="F159" s="1"/>
      <c r="G159" s="1"/>
      <c r="H159" s="2"/>
    </row>
    <row r="160" spans="1:27" x14ac:dyDescent="0.45">
      <c r="A160"/>
      <c r="C160" s="1"/>
      <c r="D160" s="1"/>
      <c r="E160" s="1"/>
      <c r="F160" s="1"/>
      <c r="G160" s="1"/>
      <c r="H160" s="2"/>
    </row>
    <row r="161" spans="1:8" x14ac:dyDescent="0.45">
      <c r="A161"/>
      <c r="C161" s="1"/>
      <c r="D161" s="1"/>
      <c r="E161" s="1"/>
      <c r="F161" s="1"/>
      <c r="G161" s="1"/>
      <c r="H161" s="2"/>
    </row>
    <row r="162" spans="1:8" x14ac:dyDescent="0.45">
      <c r="A162"/>
      <c r="C162" s="1"/>
      <c r="D162" s="1"/>
      <c r="E162" s="1"/>
      <c r="F162" s="1"/>
      <c r="G162" s="1"/>
      <c r="H162" s="2"/>
    </row>
    <row r="163" spans="1:8" x14ac:dyDescent="0.45">
      <c r="A163"/>
      <c r="C163" s="1"/>
      <c r="D163" s="1"/>
      <c r="E163" s="1"/>
      <c r="F163" s="1"/>
      <c r="G163" s="1"/>
      <c r="H163" s="2"/>
    </row>
    <row r="164" spans="1:8" x14ac:dyDescent="0.45">
      <c r="A164"/>
      <c r="C164" s="1"/>
      <c r="D164" s="1"/>
      <c r="E164" s="1"/>
      <c r="F164" s="1"/>
      <c r="G164" s="1"/>
      <c r="H164" s="2"/>
    </row>
    <row r="165" spans="1:8" x14ac:dyDescent="0.45">
      <c r="A165"/>
      <c r="C165" s="1"/>
      <c r="D165" s="1"/>
      <c r="E165" s="1"/>
      <c r="F165" s="1"/>
      <c r="G165" s="1"/>
      <c r="H165" s="2"/>
    </row>
    <row r="166" spans="1:8" x14ac:dyDescent="0.45">
      <c r="A166"/>
      <c r="C166" s="1"/>
      <c r="D166" s="1"/>
      <c r="E166" s="1"/>
      <c r="F166" s="1"/>
      <c r="G166" s="1"/>
      <c r="H166" s="2"/>
    </row>
    <row r="167" spans="1:8" x14ac:dyDescent="0.45">
      <c r="A167"/>
      <c r="C167" s="1"/>
      <c r="D167" s="1"/>
      <c r="E167" s="1"/>
      <c r="F167" s="1"/>
      <c r="G167" s="1"/>
      <c r="H167" s="2"/>
    </row>
    <row r="168" spans="1:8" x14ac:dyDescent="0.45">
      <c r="A168"/>
      <c r="C168" s="1"/>
      <c r="D168" s="1"/>
      <c r="E168" s="1"/>
      <c r="F168" s="1"/>
      <c r="G168" s="1"/>
      <c r="H168" s="2"/>
    </row>
    <row r="169" spans="1:8" x14ac:dyDescent="0.45">
      <c r="A169"/>
      <c r="C169" s="1"/>
      <c r="D169" s="1"/>
      <c r="E169" s="1"/>
      <c r="F169" s="1"/>
      <c r="G169" s="1"/>
      <c r="H169" s="2"/>
    </row>
    <row r="170" spans="1:8" x14ac:dyDescent="0.45">
      <c r="A170"/>
      <c r="C170" s="1"/>
      <c r="D170" s="1"/>
      <c r="E170" s="1"/>
      <c r="F170" s="1"/>
      <c r="G170" s="1"/>
      <c r="H170" s="2"/>
    </row>
    <row r="171" spans="1:8" x14ac:dyDescent="0.45">
      <c r="A171"/>
      <c r="C171" s="1"/>
      <c r="D171" s="1"/>
      <c r="E171" s="1"/>
      <c r="F171" s="1"/>
      <c r="G171" s="1"/>
      <c r="H171" s="2"/>
    </row>
    <row r="172" spans="1:8" x14ac:dyDescent="0.45">
      <c r="A172"/>
      <c r="C172" s="1"/>
      <c r="D172" s="1"/>
      <c r="E172" s="1"/>
      <c r="F172" s="1"/>
      <c r="G172" s="1"/>
      <c r="H172" s="2"/>
    </row>
    <row r="173" spans="1:8" x14ac:dyDescent="0.45">
      <c r="A173"/>
      <c r="C173" s="1"/>
      <c r="D173" s="1"/>
      <c r="E173" s="1"/>
      <c r="F173" s="1"/>
      <c r="G173" s="1"/>
      <c r="H173" s="2"/>
    </row>
    <row r="174" spans="1:8" x14ac:dyDescent="0.45">
      <c r="A174"/>
      <c r="C174" s="1"/>
      <c r="D174" s="1"/>
      <c r="E174" s="1"/>
      <c r="F174" s="1"/>
      <c r="G174" s="1"/>
      <c r="H174" s="2"/>
    </row>
    <row r="175" spans="1:8" x14ac:dyDescent="0.45">
      <c r="A175"/>
      <c r="C175" s="1"/>
      <c r="D175" s="1"/>
      <c r="E175" s="1"/>
      <c r="F175" s="1"/>
      <c r="G175" s="1"/>
      <c r="H175" s="2"/>
    </row>
    <row r="176" spans="1:8" x14ac:dyDescent="0.45">
      <c r="A176"/>
      <c r="C176" s="1"/>
      <c r="D176" s="1"/>
      <c r="E176" s="1"/>
      <c r="F176" s="1"/>
      <c r="G176" s="1"/>
      <c r="H176" s="2"/>
    </row>
    <row r="177" spans="1:8" x14ac:dyDescent="0.45">
      <c r="A177"/>
      <c r="C177" s="1"/>
      <c r="D177" s="1"/>
      <c r="E177" s="1"/>
      <c r="F177" s="1"/>
      <c r="G177" s="1"/>
      <c r="H177" s="2"/>
    </row>
    <row r="178" spans="1:8" x14ac:dyDescent="0.45">
      <c r="A178"/>
      <c r="C178" s="1"/>
      <c r="D178" s="1"/>
      <c r="E178" s="1"/>
      <c r="F178" s="1"/>
      <c r="G178" s="1"/>
      <c r="H178" s="2"/>
    </row>
    <row r="179" spans="1:8" x14ac:dyDescent="0.45">
      <c r="A179"/>
      <c r="C179" s="1"/>
      <c r="D179" s="1"/>
      <c r="E179" s="1"/>
      <c r="F179" s="1"/>
      <c r="G179" s="1"/>
      <c r="H179" s="2"/>
    </row>
    <row r="180" spans="1:8" x14ac:dyDescent="0.45">
      <c r="A180"/>
      <c r="C180" s="1"/>
      <c r="D180" s="1"/>
      <c r="E180" s="1"/>
      <c r="F180" s="1"/>
      <c r="G180" s="1"/>
      <c r="H180" s="2"/>
    </row>
    <row r="181" spans="1:8" x14ac:dyDescent="0.45">
      <c r="A181"/>
      <c r="C181" s="1"/>
      <c r="D181" s="1"/>
      <c r="E181" s="1"/>
      <c r="F181" s="1"/>
      <c r="G181" s="1"/>
      <c r="H181" s="2"/>
    </row>
    <row r="182" spans="1:8" x14ac:dyDescent="0.45">
      <c r="A182"/>
      <c r="C182" s="1"/>
      <c r="D182" s="1"/>
      <c r="E182" s="1"/>
      <c r="F182" s="1"/>
      <c r="G182" s="1"/>
      <c r="H182" s="2"/>
    </row>
    <row r="183" spans="1:8" x14ac:dyDescent="0.45">
      <c r="A183"/>
      <c r="C183" s="1"/>
      <c r="D183" s="1"/>
      <c r="E183" s="1"/>
      <c r="F183" s="1"/>
      <c r="G183" s="1"/>
      <c r="H183" s="2"/>
    </row>
    <row r="184" spans="1:8" x14ac:dyDescent="0.45">
      <c r="A184"/>
      <c r="C184" s="1"/>
      <c r="D184" s="1"/>
      <c r="E184" s="1"/>
      <c r="F184" s="1"/>
      <c r="G184" s="1"/>
      <c r="H184" s="2"/>
    </row>
    <row r="185" spans="1:8" x14ac:dyDescent="0.45">
      <c r="A185"/>
      <c r="C185" s="1"/>
      <c r="D185" s="1"/>
      <c r="E185" s="1"/>
      <c r="F185" s="1"/>
      <c r="G185" s="1"/>
      <c r="H185" s="2"/>
    </row>
    <row r="186" spans="1:8" x14ac:dyDescent="0.45">
      <c r="A186"/>
      <c r="C186" s="1"/>
      <c r="D186" s="1"/>
      <c r="E186" s="1"/>
      <c r="F186" s="1"/>
      <c r="G186" s="1"/>
      <c r="H186" s="2"/>
    </row>
    <row r="187" spans="1:8" x14ac:dyDescent="0.45">
      <c r="A187"/>
      <c r="C187" s="1"/>
      <c r="D187" s="1"/>
      <c r="E187" s="1"/>
      <c r="F187" s="1"/>
      <c r="G187" s="1"/>
      <c r="H187" s="2"/>
    </row>
    <row r="188" spans="1:8" x14ac:dyDescent="0.45">
      <c r="A188"/>
      <c r="C188" s="1"/>
      <c r="D188" s="1"/>
      <c r="E188" s="1"/>
      <c r="F188" s="1"/>
      <c r="G188" s="1"/>
      <c r="H188" s="2"/>
    </row>
    <row r="189" spans="1:8" x14ac:dyDescent="0.45">
      <c r="A189"/>
      <c r="C189" s="1"/>
      <c r="D189" s="1"/>
      <c r="E189" s="1"/>
      <c r="F189" s="1"/>
      <c r="G189" s="1"/>
      <c r="H189" s="2"/>
    </row>
    <row r="190" spans="1:8" x14ac:dyDescent="0.45">
      <c r="A190"/>
      <c r="C190" s="1"/>
      <c r="D190" s="1"/>
      <c r="E190" s="1"/>
      <c r="F190" s="1"/>
      <c r="G190" s="1"/>
      <c r="H190" s="2"/>
    </row>
    <row r="191" spans="1:8" x14ac:dyDescent="0.45">
      <c r="A191"/>
      <c r="C191" s="1"/>
      <c r="D191" s="1"/>
      <c r="E191" s="1"/>
      <c r="F191" s="1"/>
      <c r="G191" s="1"/>
      <c r="H191" s="2"/>
    </row>
    <row r="192" spans="1:8" x14ac:dyDescent="0.45">
      <c r="A192"/>
      <c r="C192" s="1"/>
      <c r="D192" s="1"/>
      <c r="E192" s="1"/>
      <c r="F192" s="1"/>
      <c r="G192" s="1"/>
      <c r="H192" s="2"/>
    </row>
    <row r="193" spans="1:8" x14ac:dyDescent="0.45">
      <c r="A193"/>
      <c r="C193" s="1"/>
      <c r="D193" s="1"/>
      <c r="E193" s="1"/>
      <c r="F193" s="1"/>
      <c r="G193" s="1"/>
      <c r="H193" s="2"/>
    </row>
    <row r="194" spans="1:8" x14ac:dyDescent="0.45">
      <c r="A194"/>
      <c r="C194" s="1"/>
      <c r="D194" s="1"/>
      <c r="E194" s="1"/>
      <c r="F194" s="1"/>
      <c r="G194" s="1"/>
      <c r="H194" s="2"/>
    </row>
    <row r="195" spans="1:8" x14ac:dyDescent="0.45">
      <c r="A195"/>
      <c r="C195" s="1"/>
      <c r="D195" s="1"/>
      <c r="E195" s="1"/>
      <c r="F195" s="1"/>
      <c r="G195" s="1"/>
      <c r="H195" s="2"/>
    </row>
    <row r="196" spans="1:8" x14ac:dyDescent="0.45">
      <c r="A196"/>
      <c r="C196" s="1"/>
      <c r="D196" s="1"/>
      <c r="E196" s="1"/>
      <c r="F196" s="1"/>
      <c r="G196" s="1"/>
      <c r="H196" s="2"/>
    </row>
    <row r="197" spans="1:8" x14ac:dyDescent="0.45">
      <c r="A197"/>
      <c r="C197" s="1"/>
      <c r="D197" s="1"/>
      <c r="E197" s="1"/>
      <c r="F197" s="1"/>
      <c r="G197" s="1"/>
      <c r="H197" s="2"/>
    </row>
    <row r="198" spans="1:8" x14ac:dyDescent="0.45">
      <c r="A198"/>
      <c r="C198" s="1"/>
      <c r="D198" s="1"/>
      <c r="E198" s="1"/>
      <c r="F198" s="1"/>
      <c r="G198" s="1"/>
      <c r="H198" s="2"/>
    </row>
    <row r="199" spans="1:8" x14ac:dyDescent="0.45">
      <c r="A199"/>
      <c r="C199" s="1"/>
      <c r="D199" s="1"/>
      <c r="E199" s="1"/>
      <c r="F199" s="1"/>
      <c r="G199" s="1"/>
      <c r="H199" s="2"/>
    </row>
    <row r="200" spans="1:8" x14ac:dyDescent="0.45">
      <c r="A200"/>
      <c r="C200" s="1"/>
      <c r="D200" s="1"/>
      <c r="E200" s="1"/>
      <c r="F200" s="1"/>
      <c r="G200" s="1"/>
      <c r="H200" s="2"/>
    </row>
    <row r="201" spans="1:8" x14ac:dyDescent="0.45">
      <c r="A201"/>
      <c r="C201" s="1"/>
      <c r="D201" s="1"/>
      <c r="E201" s="1"/>
      <c r="F201" s="1"/>
      <c r="G201" s="1"/>
      <c r="H201" s="2"/>
    </row>
    <row r="202" spans="1:8" x14ac:dyDescent="0.45">
      <c r="A202"/>
      <c r="C202" s="1"/>
      <c r="D202" s="1"/>
      <c r="E202" s="1"/>
      <c r="F202" s="1"/>
      <c r="G202" s="1"/>
      <c r="H202" s="2"/>
    </row>
    <row r="203" spans="1:8" x14ac:dyDescent="0.45">
      <c r="A203"/>
      <c r="C203" s="1"/>
      <c r="D203" s="1"/>
      <c r="E203" s="1"/>
      <c r="F203" s="1"/>
      <c r="G203" s="1"/>
      <c r="H203" s="2"/>
    </row>
    <row r="204" spans="1:8" x14ac:dyDescent="0.45">
      <c r="A204"/>
      <c r="C204" s="1"/>
      <c r="D204" s="1"/>
      <c r="E204" s="1"/>
      <c r="F204" s="1"/>
      <c r="G204" s="1"/>
      <c r="H204" s="2"/>
    </row>
    <row r="205" spans="1:8" x14ac:dyDescent="0.45">
      <c r="A205"/>
      <c r="C205" s="1"/>
      <c r="D205" s="1"/>
      <c r="E205" s="1"/>
      <c r="F205" s="1"/>
      <c r="G205" s="1"/>
      <c r="H205" s="2"/>
    </row>
    <row r="206" spans="1:8" x14ac:dyDescent="0.45">
      <c r="A206"/>
      <c r="C206" s="1"/>
      <c r="D206" s="1"/>
      <c r="E206" s="1"/>
      <c r="F206" s="1"/>
      <c r="G206" s="1"/>
      <c r="H206" s="2"/>
    </row>
    <row r="207" spans="1:8" x14ac:dyDescent="0.45">
      <c r="A207"/>
      <c r="C207" s="1"/>
      <c r="D207" s="1"/>
      <c r="E207" s="1"/>
      <c r="F207" s="1"/>
      <c r="G207" s="1"/>
      <c r="H207" s="2"/>
    </row>
    <row r="208" spans="1:8" x14ac:dyDescent="0.45">
      <c r="A208"/>
      <c r="C208" s="1"/>
      <c r="D208" s="1"/>
      <c r="E208" s="1"/>
      <c r="F208" s="1"/>
      <c r="G208" s="1"/>
      <c r="H208" s="2"/>
    </row>
    <row r="209" spans="1:8" x14ac:dyDescent="0.45">
      <c r="A209"/>
      <c r="C209" s="1"/>
      <c r="D209" s="1"/>
      <c r="E209" s="1"/>
      <c r="F209" s="1"/>
      <c r="G209" s="1"/>
      <c r="H209" s="2"/>
    </row>
    <row r="210" spans="1:8" x14ac:dyDescent="0.45">
      <c r="A210"/>
      <c r="C210" s="1"/>
      <c r="D210" s="1"/>
      <c r="E210" s="1"/>
      <c r="F210" s="1"/>
      <c r="G210" s="1"/>
      <c r="H210" s="2"/>
    </row>
    <row r="211" spans="1:8" x14ac:dyDescent="0.45">
      <c r="A211"/>
      <c r="C211" s="1"/>
      <c r="D211" s="1"/>
      <c r="E211" s="1"/>
      <c r="F211" s="1"/>
      <c r="G211" s="1"/>
      <c r="H211" s="2"/>
    </row>
    <row r="212" spans="1:8" x14ac:dyDescent="0.45">
      <c r="A212"/>
      <c r="C212" s="1"/>
      <c r="D212" s="1"/>
      <c r="E212" s="1"/>
      <c r="F212" s="1"/>
      <c r="G212" s="1"/>
      <c r="H212" s="2"/>
    </row>
    <row r="213" spans="1:8" x14ac:dyDescent="0.45">
      <c r="A213"/>
      <c r="D213" s="1"/>
      <c r="E213" s="1"/>
      <c r="F213" s="1"/>
      <c r="G213" s="1"/>
      <c r="H213" s="2"/>
    </row>
    <row r="214" spans="1:8" x14ac:dyDescent="0.45">
      <c r="A214"/>
      <c r="D214" s="1"/>
      <c r="E214" s="1"/>
      <c r="F214" s="1"/>
      <c r="G214" s="1"/>
      <c r="H214" s="2"/>
    </row>
    <row r="215" spans="1:8" x14ac:dyDescent="0.45">
      <c r="A215"/>
      <c r="D215" s="1"/>
      <c r="E215" s="1"/>
      <c r="F215" s="1"/>
      <c r="G215" s="1"/>
      <c r="H215" s="2"/>
    </row>
    <row r="216" spans="1:8" x14ac:dyDescent="0.45">
      <c r="A216"/>
      <c r="D216" s="1"/>
      <c r="E216" s="1"/>
      <c r="F216" s="1"/>
      <c r="G216" s="1"/>
      <c r="H216" s="2"/>
    </row>
    <row r="217" spans="1:8" x14ac:dyDescent="0.45">
      <c r="A217"/>
      <c r="D217" s="1"/>
      <c r="E217" s="1"/>
      <c r="F217" s="1"/>
      <c r="G217" s="1"/>
      <c r="H217" s="2"/>
    </row>
    <row r="218" spans="1:8" x14ac:dyDescent="0.45">
      <c r="A218"/>
      <c r="D218" s="1"/>
      <c r="E218" s="1"/>
      <c r="F218" s="1"/>
      <c r="G218" s="1"/>
      <c r="H218" s="2"/>
    </row>
    <row r="219" spans="1:8" x14ac:dyDescent="0.45">
      <c r="A219"/>
      <c r="D219" s="1"/>
      <c r="E219" s="1"/>
      <c r="F219" s="1"/>
      <c r="G219" s="1"/>
      <c r="H219" s="2"/>
    </row>
    <row r="220" spans="1:8" x14ac:dyDescent="0.45">
      <c r="A220"/>
      <c r="D220" s="1"/>
      <c r="E220" s="1"/>
      <c r="F220" s="1"/>
      <c r="G220" s="1"/>
      <c r="H220" s="2"/>
    </row>
    <row r="221" spans="1:8" x14ac:dyDescent="0.45">
      <c r="A221"/>
      <c r="D221" s="1"/>
      <c r="E221" s="1"/>
      <c r="F221" s="1"/>
      <c r="G221" s="1"/>
      <c r="H221" s="2"/>
    </row>
    <row r="222" spans="1:8" x14ac:dyDescent="0.45">
      <c r="A222"/>
      <c r="D222" s="1"/>
      <c r="E222" s="1"/>
      <c r="F222" s="1"/>
      <c r="G222" s="1"/>
      <c r="H222" s="2"/>
    </row>
    <row r="223" spans="1:8" x14ac:dyDescent="0.45">
      <c r="A223"/>
      <c r="D223" s="1"/>
      <c r="E223" s="1"/>
      <c r="F223" s="1"/>
      <c r="G223" s="1"/>
      <c r="H223" s="2"/>
    </row>
    <row r="224" spans="1:8" x14ac:dyDescent="0.45">
      <c r="A224"/>
      <c r="D224" s="1"/>
      <c r="E224" s="1"/>
      <c r="F224" s="1"/>
      <c r="G224" s="1"/>
      <c r="H224" s="2"/>
    </row>
    <row r="225" spans="1:8" x14ac:dyDescent="0.45">
      <c r="A225"/>
      <c r="D225" s="1"/>
      <c r="E225" s="1"/>
      <c r="F225" s="1"/>
      <c r="G225" s="1"/>
      <c r="H225" s="2"/>
    </row>
    <row r="226" spans="1:8" x14ac:dyDescent="0.45">
      <c r="A226"/>
      <c r="D226" s="1"/>
      <c r="E226" s="1"/>
      <c r="F226" s="1"/>
      <c r="G226" s="1"/>
      <c r="H226" s="2"/>
    </row>
    <row r="227" spans="1:8" x14ac:dyDescent="0.45">
      <c r="A227"/>
      <c r="D227" s="1"/>
      <c r="E227" s="1"/>
      <c r="F227" s="1"/>
      <c r="G227" s="1"/>
      <c r="H227" s="2"/>
    </row>
    <row r="228" spans="1:8" x14ac:dyDescent="0.45">
      <c r="A228"/>
      <c r="D228" s="1"/>
      <c r="E228" s="1"/>
      <c r="F228" s="1"/>
      <c r="G228" s="1"/>
      <c r="H228" s="2"/>
    </row>
    <row r="229" spans="1:8" x14ac:dyDescent="0.45">
      <c r="A229"/>
      <c r="D229" s="1"/>
      <c r="E229" s="1"/>
      <c r="F229" s="1"/>
      <c r="G229" s="1"/>
      <c r="H229" s="2"/>
    </row>
    <row r="230" spans="1:8" x14ac:dyDescent="0.45">
      <c r="A230"/>
      <c r="D230" s="1"/>
      <c r="E230" s="1"/>
      <c r="F230" s="1"/>
      <c r="G230" s="1"/>
      <c r="H230" s="2"/>
    </row>
    <row r="231" spans="1:8" x14ac:dyDescent="0.45">
      <c r="A231"/>
      <c r="D231" s="1"/>
      <c r="E231" s="1"/>
      <c r="F231" s="1"/>
      <c r="G231" s="1"/>
      <c r="H231" s="2"/>
    </row>
    <row r="232" spans="1:8" x14ac:dyDescent="0.45">
      <c r="A232"/>
      <c r="D232" s="1"/>
      <c r="E232" s="1"/>
      <c r="F232" s="1"/>
      <c r="G232" s="1"/>
      <c r="H232" s="2"/>
    </row>
    <row r="233" spans="1:8" x14ac:dyDescent="0.45">
      <c r="A233"/>
      <c r="D233" s="1"/>
      <c r="E233" s="1"/>
      <c r="F233" s="1"/>
      <c r="G233" s="1"/>
      <c r="H233" s="2"/>
    </row>
    <row r="234" spans="1:8" x14ac:dyDescent="0.45">
      <c r="A234"/>
      <c r="D234" s="1"/>
      <c r="E234" s="1"/>
      <c r="F234" s="1"/>
      <c r="G234" s="1"/>
      <c r="H234" s="2"/>
    </row>
    <row r="235" spans="1:8" x14ac:dyDescent="0.45">
      <c r="A235"/>
      <c r="D235" s="1"/>
      <c r="E235" s="1"/>
      <c r="F235" s="1"/>
      <c r="G235" s="1"/>
      <c r="H235" s="2"/>
    </row>
    <row r="236" spans="1:8" x14ac:dyDescent="0.45">
      <c r="A236"/>
      <c r="D236" s="1"/>
      <c r="E236" s="1"/>
      <c r="F236" s="1"/>
      <c r="G236" s="1"/>
      <c r="H236" s="2"/>
    </row>
    <row r="237" spans="1:8" x14ac:dyDescent="0.45">
      <c r="A237"/>
      <c r="D237" s="1"/>
      <c r="E237" s="1"/>
      <c r="F237" s="1"/>
      <c r="G237" s="1"/>
      <c r="H237" s="2"/>
    </row>
    <row r="238" spans="1:8" x14ac:dyDescent="0.45">
      <c r="A238"/>
      <c r="D238" s="1"/>
      <c r="E238" s="1"/>
      <c r="F238" s="1"/>
      <c r="G238" s="1"/>
      <c r="H238" s="2"/>
    </row>
    <row r="239" spans="1:8" x14ac:dyDescent="0.45">
      <c r="A239"/>
      <c r="D239" s="1"/>
      <c r="E239" s="1"/>
      <c r="F239" s="1"/>
      <c r="G239" s="1"/>
      <c r="H239" s="2"/>
    </row>
    <row r="240" spans="1:8" x14ac:dyDescent="0.45">
      <c r="A240"/>
      <c r="D240" s="1"/>
      <c r="E240" s="1"/>
      <c r="F240" s="1"/>
      <c r="G240" s="1"/>
      <c r="H240" s="2"/>
    </row>
    <row r="241" spans="1:8" x14ac:dyDescent="0.45">
      <c r="A241"/>
      <c r="D241" s="1"/>
      <c r="E241" s="1"/>
      <c r="F241" s="1"/>
      <c r="G241" s="1"/>
      <c r="H241" s="2"/>
    </row>
    <row r="242" spans="1:8" x14ac:dyDescent="0.45">
      <c r="A242"/>
      <c r="D242" s="1"/>
      <c r="E242" s="1"/>
      <c r="F242" s="1"/>
      <c r="G242" s="1"/>
      <c r="H242" s="2"/>
    </row>
    <row r="243" spans="1:8" x14ac:dyDescent="0.45">
      <c r="A243"/>
      <c r="D243" s="1"/>
      <c r="E243" s="1"/>
      <c r="F243" s="1"/>
      <c r="G243" s="1"/>
      <c r="H243" s="2"/>
    </row>
    <row r="244" spans="1:8" x14ac:dyDescent="0.45">
      <c r="A244"/>
      <c r="D244" s="1"/>
      <c r="E244" s="1"/>
      <c r="F244" s="1"/>
      <c r="G244" s="1"/>
      <c r="H244" s="2"/>
    </row>
    <row r="245" spans="1:8" x14ac:dyDescent="0.45">
      <c r="A245"/>
      <c r="D245" s="1"/>
      <c r="E245" s="1"/>
      <c r="F245" s="1"/>
      <c r="G245" s="1"/>
      <c r="H245" s="2"/>
    </row>
    <row r="246" spans="1:8" x14ac:dyDescent="0.45">
      <c r="A246"/>
      <c r="D246" s="1"/>
      <c r="E246" s="1"/>
      <c r="F246" s="1"/>
      <c r="G246" s="1"/>
      <c r="H246" s="2"/>
    </row>
    <row r="247" spans="1:8" x14ac:dyDescent="0.45">
      <c r="A247"/>
      <c r="D247" s="1"/>
      <c r="E247" s="1"/>
      <c r="F247" s="1"/>
      <c r="G247" s="1"/>
      <c r="H247" s="2"/>
    </row>
    <row r="248" spans="1:8" x14ac:dyDescent="0.45">
      <c r="A248"/>
      <c r="D248" s="1"/>
      <c r="E248" s="1"/>
      <c r="F248" s="1"/>
      <c r="G248" s="1"/>
      <c r="H248" s="2"/>
    </row>
    <row r="249" spans="1:8" x14ac:dyDescent="0.45">
      <c r="A249"/>
      <c r="D249" s="1"/>
      <c r="E249" s="1"/>
      <c r="F249" s="1"/>
      <c r="G249" s="1"/>
      <c r="H249" s="2"/>
    </row>
    <row r="250" spans="1:8" x14ac:dyDescent="0.45">
      <c r="A250"/>
      <c r="D250" s="1"/>
      <c r="E250" s="1"/>
      <c r="F250" s="1"/>
      <c r="G250" s="1"/>
      <c r="H250" s="2"/>
    </row>
    <row r="251" spans="1:8" x14ac:dyDescent="0.45">
      <c r="A251"/>
      <c r="D251" s="1"/>
      <c r="E251" s="1"/>
      <c r="F251" s="1"/>
      <c r="G251" s="1"/>
      <c r="H251" s="2"/>
    </row>
    <row r="252" spans="1:8" x14ac:dyDescent="0.45">
      <c r="A252"/>
      <c r="D252" s="1"/>
      <c r="E252" s="1"/>
      <c r="F252" s="1"/>
      <c r="G252" s="1"/>
      <c r="H252" s="2"/>
    </row>
    <row r="253" spans="1:8" x14ac:dyDescent="0.45">
      <c r="A253"/>
      <c r="D253" s="1"/>
      <c r="E253" s="1"/>
      <c r="F253" s="1"/>
      <c r="G253" s="1"/>
      <c r="H253" s="2"/>
    </row>
    <row r="254" spans="1:8" x14ac:dyDescent="0.45">
      <c r="A254"/>
      <c r="D254" s="1"/>
      <c r="E254" s="1"/>
      <c r="F254" s="1"/>
      <c r="G254" s="1"/>
      <c r="H254" s="2"/>
    </row>
    <row r="255" spans="1:8" x14ac:dyDescent="0.45">
      <c r="A255"/>
      <c r="D255" s="1"/>
      <c r="E255" s="1"/>
      <c r="F255" s="1"/>
      <c r="G255" s="1"/>
      <c r="H255" s="2"/>
    </row>
    <row r="256" spans="1:8" x14ac:dyDescent="0.45">
      <c r="A256"/>
      <c r="D256" s="1"/>
      <c r="E256" s="1"/>
      <c r="F256" s="1"/>
      <c r="G256" s="1"/>
      <c r="H256" s="2"/>
    </row>
    <row r="257" spans="1:8" x14ac:dyDescent="0.45">
      <c r="A257"/>
      <c r="D257" s="1"/>
      <c r="E257" s="1"/>
      <c r="F257" s="1"/>
      <c r="G257" s="1"/>
      <c r="H257" s="2"/>
    </row>
    <row r="258" spans="1:8" x14ac:dyDescent="0.45">
      <c r="A258"/>
      <c r="D258" s="1"/>
      <c r="E258" s="1"/>
      <c r="F258" s="1"/>
      <c r="G258" s="1"/>
      <c r="H258" s="2"/>
    </row>
    <row r="259" spans="1:8" x14ac:dyDescent="0.45">
      <c r="A259"/>
      <c r="D259" s="1"/>
      <c r="E259" s="1"/>
      <c r="F259" s="1"/>
      <c r="G259" s="1"/>
      <c r="H259" s="2"/>
    </row>
    <row r="260" spans="1:8" x14ac:dyDescent="0.45">
      <c r="A260"/>
      <c r="D260" s="1"/>
      <c r="E260" s="1"/>
      <c r="F260" s="1"/>
      <c r="G260" s="1"/>
      <c r="H260" s="2"/>
    </row>
    <row r="261" spans="1:8" x14ac:dyDescent="0.45">
      <c r="A261"/>
      <c r="D261" s="1"/>
      <c r="E261" s="1"/>
      <c r="F261" s="1"/>
      <c r="G261" s="1"/>
      <c r="H261" s="2"/>
    </row>
    <row r="262" spans="1:8" x14ac:dyDescent="0.45">
      <c r="A262"/>
      <c r="D262" s="1"/>
      <c r="E262" s="1"/>
      <c r="F262" s="1"/>
      <c r="G262" s="1"/>
      <c r="H262" s="2"/>
    </row>
    <row r="263" spans="1:8" x14ac:dyDescent="0.45">
      <c r="A263"/>
      <c r="D263" s="1"/>
      <c r="E263" s="1"/>
      <c r="F263" s="1"/>
      <c r="G263" s="1"/>
      <c r="H263" s="2"/>
    </row>
    <row r="264" spans="1:8" x14ac:dyDescent="0.45">
      <c r="A264"/>
      <c r="D264" s="1"/>
      <c r="E264" s="1"/>
      <c r="F264" s="1"/>
      <c r="G264" s="1"/>
      <c r="H264" s="2"/>
    </row>
    <row r="265" spans="1:8" x14ac:dyDescent="0.45">
      <c r="A265"/>
      <c r="D265" s="1"/>
      <c r="E265" s="1"/>
      <c r="F265" s="1"/>
      <c r="G265" s="1"/>
      <c r="H265" s="2"/>
    </row>
    <row r="266" spans="1:8" x14ac:dyDescent="0.45">
      <c r="A266"/>
      <c r="D266" s="1"/>
      <c r="E266" s="1"/>
      <c r="F266" s="1"/>
      <c r="G266" s="1"/>
      <c r="H266" s="2"/>
    </row>
    <row r="267" spans="1:8" x14ac:dyDescent="0.45">
      <c r="A267"/>
      <c r="D267" s="1"/>
      <c r="E267" s="1"/>
      <c r="F267" s="1"/>
      <c r="G267" s="1"/>
      <c r="H267" s="2"/>
    </row>
    <row r="268" spans="1:8" x14ac:dyDescent="0.45">
      <c r="A268"/>
      <c r="D268" s="1"/>
      <c r="E268" s="1"/>
      <c r="F268" s="1"/>
      <c r="G268" s="1"/>
      <c r="H268" s="2"/>
    </row>
    <row r="269" spans="1:8" x14ac:dyDescent="0.45">
      <c r="A269"/>
      <c r="D269" s="1"/>
      <c r="E269" s="1"/>
      <c r="F269" s="1"/>
      <c r="G269" s="1"/>
      <c r="H269" s="2"/>
    </row>
    <row r="270" spans="1:8" x14ac:dyDescent="0.45">
      <c r="A270"/>
      <c r="D270" s="1"/>
      <c r="E270" s="1"/>
      <c r="F270" s="1"/>
      <c r="G270" s="1"/>
      <c r="H270" s="2"/>
    </row>
    <row r="271" spans="1:8" x14ac:dyDescent="0.45">
      <c r="A271"/>
      <c r="D271" s="1"/>
      <c r="E271" s="1"/>
      <c r="F271" s="1"/>
      <c r="G271" s="1"/>
      <c r="H271" s="2"/>
    </row>
    <row r="272" spans="1:8" x14ac:dyDescent="0.45">
      <c r="A272"/>
      <c r="D272" s="1"/>
      <c r="E272" s="1"/>
      <c r="F272" s="1"/>
      <c r="G272" s="1"/>
      <c r="H272" s="2"/>
    </row>
    <row r="273" spans="1:8" x14ac:dyDescent="0.45">
      <c r="A273"/>
      <c r="D273" s="1"/>
      <c r="E273" s="1"/>
      <c r="F273" s="1"/>
      <c r="G273" s="1"/>
      <c r="H273" s="2"/>
    </row>
    <row r="274" spans="1:8" x14ac:dyDescent="0.45">
      <c r="A274"/>
      <c r="D274" s="1"/>
      <c r="E274" s="1"/>
      <c r="F274" s="1"/>
      <c r="G274" s="1"/>
      <c r="H274" s="2"/>
    </row>
    <row r="275" spans="1:8" x14ac:dyDescent="0.45">
      <c r="A275"/>
      <c r="D275" s="1"/>
      <c r="E275" s="1"/>
      <c r="F275" s="1"/>
      <c r="G275" s="1"/>
      <c r="H275" s="2"/>
    </row>
    <row r="276" spans="1:8" x14ac:dyDescent="0.45">
      <c r="A276"/>
      <c r="D276" s="1"/>
      <c r="E276" s="1"/>
      <c r="F276" s="1"/>
      <c r="G276" s="1"/>
      <c r="H276" s="2"/>
    </row>
    <row r="277" spans="1:8" x14ac:dyDescent="0.45">
      <c r="A277"/>
      <c r="D277" s="1"/>
      <c r="E277" s="1"/>
      <c r="F277" s="1"/>
      <c r="G277" s="1"/>
      <c r="H277" s="2"/>
    </row>
    <row r="278" spans="1:8" x14ac:dyDescent="0.45">
      <c r="A278"/>
      <c r="D278" s="1"/>
      <c r="E278" s="1"/>
      <c r="F278" s="1"/>
      <c r="G278" s="1"/>
      <c r="H278" s="2"/>
    </row>
    <row r="279" spans="1:8" x14ac:dyDescent="0.45">
      <c r="A279"/>
      <c r="D279" s="1"/>
      <c r="E279" s="1"/>
      <c r="F279" s="1"/>
      <c r="G279" s="1"/>
      <c r="H279" s="2"/>
    </row>
    <row r="280" spans="1:8" x14ac:dyDescent="0.45">
      <c r="A280"/>
      <c r="D280" s="1"/>
      <c r="E280" s="1"/>
      <c r="F280" s="1"/>
      <c r="G280" s="1"/>
      <c r="H280" s="2"/>
    </row>
    <row r="281" spans="1:8" x14ac:dyDescent="0.45">
      <c r="A281"/>
      <c r="D281" s="1"/>
      <c r="E281" s="1"/>
      <c r="F281" s="1"/>
      <c r="G281" s="1"/>
      <c r="H281" s="2"/>
    </row>
    <row r="282" spans="1:8" x14ac:dyDescent="0.45">
      <c r="A282"/>
      <c r="D282" s="1"/>
      <c r="E282" s="1"/>
      <c r="F282" s="1"/>
      <c r="G282" s="1"/>
      <c r="H282" s="2"/>
    </row>
    <row r="283" spans="1:8" x14ac:dyDescent="0.45">
      <c r="A283"/>
      <c r="D283" s="1"/>
      <c r="E283" s="1"/>
      <c r="F283" s="1"/>
      <c r="G283" s="1"/>
      <c r="H283" s="2"/>
    </row>
    <row r="284" spans="1:8" x14ac:dyDescent="0.45">
      <c r="A284"/>
      <c r="D284" s="1"/>
      <c r="E284" s="1"/>
      <c r="F284" s="1"/>
      <c r="G284" s="1"/>
      <c r="H284" s="2"/>
    </row>
    <row r="285" spans="1:8" x14ac:dyDescent="0.45">
      <c r="A285"/>
      <c r="D285" s="1"/>
      <c r="E285" s="1"/>
      <c r="F285" s="1"/>
      <c r="G285" s="1"/>
      <c r="H285" s="2"/>
    </row>
    <row r="286" spans="1:8" x14ac:dyDescent="0.45">
      <c r="A286"/>
      <c r="D286" s="1"/>
      <c r="E286" s="1"/>
      <c r="F286" s="1"/>
      <c r="G286" s="1"/>
      <c r="H286" s="2"/>
    </row>
    <row r="287" spans="1:8" x14ac:dyDescent="0.45">
      <c r="A287"/>
      <c r="D287" s="1"/>
      <c r="E287" s="1"/>
      <c r="F287" s="1"/>
      <c r="G287" s="1"/>
      <c r="H287" s="2"/>
    </row>
    <row r="288" spans="1:8" x14ac:dyDescent="0.45">
      <c r="A288"/>
      <c r="D288" s="1"/>
      <c r="E288" s="1"/>
      <c r="F288" s="1"/>
      <c r="G288" s="1"/>
      <c r="H288" s="2"/>
    </row>
    <row r="289" spans="1:8" x14ac:dyDescent="0.45">
      <c r="A289"/>
      <c r="D289" s="1"/>
      <c r="E289" s="1"/>
      <c r="F289" s="1"/>
      <c r="G289" s="1"/>
      <c r="H289" s="2"/>
    </row>
    <row r="290" spans="1:8" x14ac:dyDescent="0.45">
      <c r="A290"/>
      <c r="D290" s="1"/>
      <c r="E290" s="1"/>
      <c r="F290" s="1"/>
      <c r="G290" s="1"/>
      <c r="H290" s="2"/>
    </row>
    <row r="291" spans="1:8" x14ac:dyDescent="0.45">
      <c r="A291"/>
      <c r="D291" s="1"/>
      <c r="E291" s="1"/>
      <c r="F291" s="1"/>
      <c r="G291" s="1"/>
      <c r="H291" s="2"/>
    </row>
    <row r="292" spans="1:8" x14ac:dyDescent="0.45">
      <c r="A292"/>
      <c r="D292" s="1"/>
      <c r="E292" s="1"/>
      <c r="F292" s="1"/>
      <c r="G292" s="1"/>
      <c r="H292" s="2"/>
    </row>
    <row r="293" spans="1:8" x14ac:dyDescent="0.45">
      <c r="A293"/>
      <c r="D293" s="1"/>
      <c r="E293" s="1"/>
      <c r="F293" s="1"/>
      <c r="G293" s="1"/>
      <c r="H293" s="2"/>
    </row>
    <row r="294" spans="1:8" x14ac:dyDescent="0.45">
      <c r="A294"/>
      <c r="D294" s="1"/>
      <c r="E294" s="1"/>
      <c r="F294" s="1"/>
      <c r="G294" s="1"/>
      <c r="H294" s="2"/>
    </row>
    <row r="295" spans="1:8" x14ac:dyDescent="0.45">
      <c r="A295"/>
      <c r="D295" s="1"/>
      <c r="E295" s="1"/>
      <c r="F295" s="1"/>
      <c r="G295" s="1"/>
      <c r="H295" s="2"/>
    </row>
    <row r="296" spans="1:8" x14ac:dyDescent="0.45">
      <c r="A296"/>
      <c r="D296" s="1"/>
      <c r="E296" s="1"/>
      <c r="F296" s="1"/>
      <c r="G296" s="1"/>
      <c r="H296" s="2"/>
    </row>
    <row r="297" spans="1:8" x14ac:dyDescent="0.45">
      <c r="A297"/>
      <c r="D297" s="1"/>
      <c r="E297" s="1"/>
      <c r="F297" s="1"/>
      <c r="G297" s="1"/>
      <c r="H297" s="2"/>
    </row>
    <row r="298" spans="1:8" x14ac:dyDescent="0.45">
      <c r="A298"/>
      <c r="D298" s="1"/>
      <c r="E298" s="1"/>
      <c r="F298" s="1"/>
      <c r="G298" s="1"/>
      <c r="H298" s="2"/>
    </row>
    <row r="299" spans="1:8" x14ac:dyDescent="0.45">
      <c r="A299"/>
      <c r="D299" s="1"/>
      <c r="E299" s="1"/>
      <c r="F299" s="1"/>
      <c r="G299" s="1"/>
      <c r="H299" s="2"/>
    </row>
    <row r="300" spans="1:8" x14ac:dyDescent="0.45">
      <c r="A300"/>
      <c r="D300" s="1"/>
      <c r="E300" s="1"/>
      <c r="F300" s="1"/>
      <c r="G300" s="1"/>
      <c r="H300" s="2"/>
    </row>
    <row r="301" spans="1:8" x14ac:dyDescent="0.45">
      <c r="A301"/>
      <c r="D301" s="1"/>
      <c r="E301" s="1"/>
      <c r="F301" s="1"/>
      <c r="G301" s="1"/>
      <c r="H301" s="2"/>
    </row>
    <row r="302" spans="1:8" x14ac:dyDescent="0.45">
      <c r="A302"/>
      <c r="D302" s="1"/>
      <c r="E302" s="1"/>
      <c r="F302" s="1"/>
      <c r="G302" s="1"/>
      <c r="H302" s="2"/>
    </row>
    <row r="303" spans="1:8" x14ac:dyDescent="0.45">
      <c r="A303"/>
      <c r="D303" s="1"/>
      <c r="E303" s="1"/>
      <c r="F303" s="1"/>
      <c r="G303" s="1"/>
      <c r="H303" s="2"/>
    </row>
    <row r="304" spans="1:8" x14ac:dyDescent="0.45">
      <c r="A304"/>
      <c r="D304" s="1"/>
      <c r="E304" s="1"/>
      <c r="F304" s="1"/>
      <c r="G304" s="1"/>
      <c r="H304" s="2"/>
    </row>
    <row r="305" spans="1:8" x14ac:dyDescent="0.45">
      <c r="A305"/>
      <c r="D305" s="1"/>
      <c r="E305" s="1"/>
      <c r="F305" s="1"/>
      <c r="G305" s="1"/>
      <c r="H305" s="2"/>
    </row>
    <row r="306" spans="1:8" x14ac:dyDescent="0.45">
      <c r="A306"/>
      <c r="D306" s="1"/>
      <c r="E306" s="1"/>
      <c r="F306" s="1"/>
      <c r="G306" s="1"/>
      <c r="H306" s="2"/>
    </row>
    <row r="307" spans="1:8" x14ac:dyDescent="0.45">
      <c r="A307"/>
      <c r="D307" s="1"/>
      <c r="E307" s="1"/>
      <c r="F307" s="1"/>
      <c r="G307" s="1"/>
      <c r="H307" s="2"/>
    </row>
    <row r="308" spans="1:8" x14ac:dyDescent="0.45">
      <c r="A308"/>
      <c r="D308" s="1"/>
      <c r="E308" s="1"/>
      <c r="F308" s="1"/>
      <c r="G308" s="1"/>
      <c r="H308" s="2"/>
    </row>
    <row r="309" spans="1:8" x14ac:dyDescent="0.45">
      <c r="A309"/>
      <c r="D309" s="1"/>
      <c r="E309" s="1"/>
      <c r="F309" s="1"/>
      <c r="G309" s="1"/>
      <c r="H309" s="2"/>
    </row>
    <row r="310" spans="1:8" x14ac:dyDescent="0.45">
      <c r="A310"/>
      <c r="D310" s="1"/>
      <c r="E310" s="1"/>
      <c r="F310" s="1"/>
      <c r="G310" s="1"/>
      <c r="H310" s="2"/>
    </row>
    <row r="311" spans="1:8" x14ac:dyDescent="0.45">
      <c r="A311"/>
      <c r="D311" s="1"/>
      <c r="E311" s="1"/>
      <c r="F311" s="1"/>
      <c r="G311" s="1"/>
      <c r="H311" s="2"/>
    </row>
    <row r="312" spans="1:8" x14ac:dyDescent="0.45">
      <c r="A312"/>
      <c r="D312" s="1"/>
      <c r="E312" s="1"/>
      <c r="F312" s="1"/>
      <c r="G312" s="1"/>
      <c r="H312" s="2"/>
    </row>
    <row r="313" spans="1:8" x14ac:dyDescent="0.45">
      <c r="A313"/>
      <c r="D313" s="1"/>
      <c r="E313" s="1"/>
      <c r="F313" s="1"/>
      <c r="G313" s="1"/>
      <c r="H313" s="2"/>
    </row>
    <row r="314" spans="1:8" x14ac:dyDescent="0.45">
      <c r="A314"/>
      <c r="D314" s="1"/>
      <c r="E314" s="1"/>
      <c r="F314" s="1"/>
      <c r="G314" s="1"/>
      <c r="H314" s="2"/>
    </row>
    <row r="315" spans="1:8" x14ac:dyDescent="0.45">
      <c r="A315"/>
      <c r="D315" s="1"/>
      <c r="E315" s="1"/>
      <c r="F315" s="1"/>
      <c r="G315" s="1"/>
      <c r="H315" s="2"/>
    </row>
    <row r="316" spans="1:8" x14ac:dyDescent="0.45">
      <c r="A316"/>
      <c r="D316" s="1"/>
      <c r="E316" s="1"/>
      <c r="F316" s="1"/>
      <c r="G316" s="1"/>
      <c r="H316" s="2"/>
    </row>
    <row r="317" spans="1:8" x14ac:dyDescent="0.45">
      <c r="A317"/>
      <c r="D317" s="1"/>
      <c r="E317" s="1"/>
      <c r="F317" s="1"/>
      <c r="G317" s="1"/>
      <c r="H317" s="2"/>
    </row>
    <row r="318" spans="1:8" x14ac:dyDescent="0.45">
      <c r="A318"/>
      <c r="D318" s="1"/>
      <c r="E318" s="1"/>
      <c r="F318" s="1"/>
      <c r="G318" s="1"/>
      <c r="H318" s="2"/>
    </row>
    <row r="319" spans="1:8" x14ac:dyDescent="0.45">
      <c r="A319"/>
      <c r="D319" s="1"/>
      <c r="E319" s="1"/>
      <c r="F319" s="1"/>
      <c r="G319" s="1"/>
      <c r="H319" s="2"/>
    </row>
    <row r="320" spans="1:8" x14ac:dyDescent="0.45">
      <c r="A320"/>
      <c r="D320" s="1"/>
      <c r="E320" s="1"/>
      <c r="F320" s="1"/>
      <c r="G320" s="1"/>
      <c r="H320" s="2"/>
    </row>
    <row r="321" spans="1:8" x14ac:dyDescent="0.45">
      <c r="A321"/>
      <c r="D321" s="1"/>
      <c r="E321" s="1"/>
      <c r="F321" s="1"/>
      <c r="G321" s="1"/>
      <c r="H321" s="2"/>
    </row>
    <row r="322" spans="1:8" x14ac:dyDescent="0.45">
      <c r="A322"/>
      <c r="D322" s="1"/>
      <c r="E322" s="1"/>
      <c r="F322" s="1"/>
      <c r="G322" s="1"/>
      <c r="H322" s="2"/>
    </row>
    <row r="323" spans="1:8" x14ac:dyDescent="0.45">
      <c r="A323"/>
      <c r="D323" s="1"/>
      <c r="E323" s="1"/>
      <c r="F323" s="1"/>
      <c r="G323" s="1"/>
      <c r="H323" s="2"/>
    </row>
    <row r="324" spans="1:8" x14ac:dyDescent="0.45">
      <c r="A324"/>
      <c r="D324" s="1"/>
      <c r="E324" s="1"/>
      <c r="F324" s="1"/>
      <c r="G324" s="1"/>
      <c r="H324" s="2"/>
    </row>
    <row r="325" spans="1:8" x14ac:dyDescent="0.45">
      <c r="A325"/>
      <c r="D325" s="1"/>
      <c r="E325" s="1"/>
      <c r="F325" s="1"/>
      <c r="G325" s="1"/>
      <c r="H325" s="2"/>
    </row>
    <row r="326" spans="1:8" x14ac:dyDescent="0.45">
      <c r="A326"/>
      <c r="D326" s="1"/>
      <c r="E326" s="1"/>
      <c r="F326" s="1"/>
      <c r="G326" s="1"/>
      <c r="H326" s="2"/>
    </row>
    <row r="327" spans="1:8" x14ac:dyDescent="0.45">
      <c r="A327"/>
      <c r="D327" s="1"/>
      <c r="E327" s="1"/>
      <c r="F327" s="1"/>
      <c r="G327" s="1"/>
      <c r="H327" s="2"/>
    </row>
    <row r="328" spans="1:8" x14ac:dyDescent="0.45">
      <c r="A328"/>
      <c r="D328" s="1"/>
      <c r="E328" s="1"/>
      <c r="F328" s="1"/>
      <c r="G328" s="1"/>
      <c r="H328" s="2"/>
    </row>
    <row r="329" spans="1:8" x14ac:dyDescent="0.45">
      <c r="A329"/>
      <c r="D329" s="1"/>
      <c r="E329" s="1"/>
      <c r="F329" s="1"/>
      <c r="G329" s="1"/>
      <c r="H329" s="2"/>
    </row>
    <row r="330" spans="1:8" x14ac:dyDescent="0.45">
      <c r="A330"/>
      <c r="D330" s="1"/>
      <c r="E330" s="1"/>
      <c r="F330" s="1"/>
      <c r="G330" s="1"/>
      <c r="H330" s="2"/>
    </row>
    <row r="331" spans="1:8" x14ac:dyDescent="0.45">
      <c r="A331"/>
      <c r="D331" s="1"/>
      <c r="E331" s="1"/>
      <c r="F331" s="1"/>
      <c r="G331" s="1"/>
      <c r="H331" s="2"/>
    </row>
    <row r="332" spans="1:8" x14ac:dyDescent="0.45">
      <c r="A332"/>
      <c r="D332" s="1"/>
      <c r="E332" s="1"/>
      <c r="F332" s="1"/>
      <c r="G332" s="1"/>
      <c r="H332" s="2"/>
    </row>
    <row r="333" spans="1:8" x14ac:dyDescent="0.45">
      <c r="A333"/>
      <c r="D333" s="1"/>
      <c r="E333" s="1"/>
      <c r="F333" s="1"/>
      <c r="G333" s="1"/>
      <c r="H333" s="2"/>
    </row>
    <row r="334" spans="1:8" x14ac:dyDescent="0.45">
      <c r="A334"/>
      <c r="D334" s="1"/>
      <c r="E334" s="1"/>
      <c r="F334" s="1"/>
      <c r="G334" s="1"/>
      <c r="H334" s="2"/>
    </row>
    <row r="335" spans="1:8" x14ac:dyDescent="0.45">
      <c r="A335"/>
      <c r="D335" s="1"/>
      <c r="E335" s="1"/>
      <c r="F335" s="1"/>
      <c r="G335" s="1"/>
      <c r="H335" s="2"/>
    </row>
    <row r="336" spans="1:8" x14ac:dyDescent="0.45">
      <c r="A336"/>
      <c r="D336" s="1"/>
      <c r="E336" s="1"/>
      <c r="F336" s="1"/>
      <c r="G336" s="1"/>
      <c r="H336" s="2"/>
    </row>
    <row r="337" spans="1:8" x14ac:dyDescent="0.45">
      <c r="A337"/>
      <c r="D337" s="1"/>
      <c r="E337" s="1"/>
      <c r="F337" s="1"/>
      <c r="G337" s="1"/>
      <c r="H337" s="2"/>
    </row>
    <row r="338" spans="1:8" x14ac:dyDescent="0.45">
      <c r="A338"/>
      <c r="D338" s="1"/>
      <c r="E338" s="1"/>
      <c r="F338" s="1"/>
      <c r="G338" s="1"/>
      <c r="H338" s="2"/>
    </row>
    <row r="339" spans="1:8" x14ac:dyDescent="0.45">
      <c r="A339"/>
      <c r="D339" s="1"/>
      <c r="E339" s="1"/>
      <c r="F339" s="1"/>
      <c r="G339" s="1"/>
      <c r="H339" s="2"/>
    </row>
    <row r="340" spans="1:8" x14ac:dyDescent="0.45">
      <c r="A340"/>
      <c r="D340" s="1"/>
      <c r="E340" s="1"/>
      <c r="F340" s="1"/>
      <c r="G340" s="1"/>
      <c r="H340" s="2"/>
    </row>
    <row r="341" spans="1:8" x14ac:dyDescent="0.45">
      <c r="A341"/>
      <c r="D341" s="1"/>
      <c r="E341" s="1"/>
      <c r="F341" s="1"/>
      <c r="G341" s="1"/>
      <c r="H341" s="2"/>
    </row>
    <row r="342" spans="1:8" x14ac:dyDescent="0.45">
      <c r="A342"/>
      <c r="D342" s="1"/>
      <c r="E342" s="1"/>
      <c r="F342" s="1"/>
      <c r="G342" s="1"/>
      <c r="H342" s="2"/>
    </row>
    <row r="343" spans="1:8" x14ac:dyDescent="0.45">
      <c r="A343"/>
      <c r="D343" s="1"/>
      <c r="E343" s="1"/>
      <c r="F343" s="1"/>
      <c r="G343" s="1"/>
      <c r="H343" s="2"/>
    </row>
    <row r="344" spans="1:8" x14ac:dyDescent="0.45">
      <c r="A344"/>
      <c r="D344" s="1"/>
      <c r="E344" s="1"/>
      <c r="F344" s="1"/>
      <c r="G344" s="1"/>
      <c r="H344" s="2"/>
    </row>
    <row r="345" spans="1:8" x14ac:dyDescent="0.45">
      <c r="A345"/>
      <c r="D345" s="1"/>
      <c r="E345" s="1"/>
      <c r="F345" s="1"/>
      <c r="G345" s="1"/>
      <c r="H345" s="2"/>
    </row>
    <row r="346" spans="1:8" x14ac:dyDescent="0.45">
      <c r="A346"/>
      <c r="D346" s="1"/>
      <c r="E346" s="1"/>
      <c r="F346" s="1"/>
      <c r="G346" s="1"/>
      <c r="H346" s="2"/>
    </row>
    <row r="347" spans="1:8" x14ac:dyDescent="0.45">
      <c r="A347"/>
      <c r="D347" s="1"/>
      <c r="E347" s="1"/>
      <c r="F347" s="1"/>
      <c r="G347" s="1"/>
      <c r="H347" s="2"/>
    </row>
    <row r="348" spans="1:8" x14ac:dyDescent="0.45">
      <c r="A348"/>
      <c r="D348" s="1"/>
      <c r="E348" s="1"/>
      <c r="F348" s="1"/>
      <c r="G348" s="1"/>
      <c r="H348" s="2"/>
    </row>
    <row r="349" spans="1:8" x14ac:dyDescent="0.45">
      <c r="A349"/>
      <c r="D349" s="1"/>
      <c r="E349" s="1"/>
      <c r="F349" s="1"/>
      <c r="G349" s="1"/>
      <c r="H349" s="2"/>
    </row>
    <row r="350" spans="1:8" x14ac:dyDescent="0.45">
      <c r="A350"/>
      <c r="D350" s="1"/>
      <c r="E350" s="1"/>
      <c r="F350" s="1"/>
      <c r="G350" s="1"/>
      <c r="H350" s="2"/>
    </row>
    <row r="351" spans="1:8" x14ac:dyDescent="0.45">
      <c r="A351"/>
      <c r="D351" s="1"/>
      <c r="E351" s="1"/>
      <c r="F351" s="1"/>
      <c r="G351" s="1"/>
      <c r="H351" s="2"/>
    </row>
    <row r="352" spans="1:8" x14ac:dyDescent="0.45">
      <c r="A352"/>
      <c r="D352" s="1"/>
      <c r="E352" s="1"/>
      <c r="F352" s="1"/>
      <c r="G352" s="1"/>
      <c r="H352" s="2"/>
    </row>
    <row r="353" spans="1:8" x14ac:dyDescent="0.45">
      <c r="A353"/>
      <c r="D353" s="1"/>
      <c r="E353" s="1"/>
      <c r="F353" s="1"/>
      <c r="G353" s="1"/>
      <c r="H353" s="2"/>
    </row>
    <row r="354" spans="1:8" x14ac:dyDescent="0.45">
      <c r="A354"/>
      <c r="D354" s="1"/>
      <c r="E354" s="1"/>
      <c r="F354" s="1"/>
      <c r="G354" s="1"/>
      <c r="H354" s="2"/>
    </row>
    <row r="355" spans="1:8" x14ac:dyDescent="0.45">
      <c r="A355"/>
      <c r="D355" s="1"/>
      <c r="E355" s="1"/>
      <c r="F355" s="1"/>
      <c r="G355" s="1"/>
      <c r="H355" s="2"/>
    </row>
    <row r="356" spans="1:8" x14ac:dyDescent="0.45">
      <c r="A356"/>
      <c r="D356" s="1"/>
      <c r="E356" s="1"/>
      <c r="F356" s="1"/>
      <c r="G356" s="1"/>
      <c r="H356" s="2"/>
    </row>
    <row r="357" spans="1:8" x14ac:dyDescent="0.45">
      <c r="A357"/>
      <c r="D357" s="1"/>
      <c r="E357" s="1"/>
      <c r="F357" s="1"/>
      <c r="G357" s="1"/>
      <c r="H357" s="2"/>
    </row>
    <row r="358" spans="1:8" x14ac:dyDescent="0.45">
      <c r="A358"/>
      <c r="D358" s="1"/>
      <c r="E358" s="1"/>
      <c r="F358" s="1"/>
      <c r="G358" s="1"/>
      <c r="H358" s="2"/>
    </row>
    <row r="359" spans="1:8" x14ac:dyDescent="0.45">
      <c r="A359"/>
      <c r="D359" s="1"/>
      <c r="E359" s="1"/>
      <c r="F359" s="1"/>
      <c r="G359" s="1"/>
      <c r="H359" s="2"/>
    </row>
    <row r="360" spans="1:8" x14ac:dyDescent="0.45">
      <c r="A360"/>
      <c r="D360" s="1"/>
      <c r="E360" s="1"/>
      <c r="F360" s="1"/>
      <c r="G360" s="1"/>
      <c r="H360" s="2"/>
    </row>
    <row r="361" spans="1:8" x14ac:dyDescent="0.45">
      <c r="A361"/>
      <c r="D361" s="1"/>
      <c r="E361" s="1"/>
      <c r="F361" s="1"/>
      <c r="G361" s="1"/>
      <c r="H361" s="2"/>
    </row>
    <row r="362" spans="1:8" x14ac:dyDescent="0.45">
      <c r="A362"/>
      <c r="D362" s="1"/>
      <c r="E362" s="1"/>
      <c r="F362" s="1"/>
      <c r="G362" s="1"/>
      <c r="H362" s="2"/>
    </row>
    <row r="363" spans="1:8" x14ac:dyDescent="0.45">
      <c r="A363"/>
      <c r="D363" s="1"/>
      <c r="E363" s="1"/>
      <c r="F363" s="1"/>
      <c r="G363" s="1"/>
      <c r="H363" s="2"/>
    </row>
    <row r="364" spans="1:8" x14ac:dyDescent="0.45">
      <c r="D364" s="1"/>
      <c r="E364" s="1"/>
      <c r="F364" s="1"/>
      <c r="G364" s="1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2026-03-19T13:17:06Z</dcterms:modified>
</cp:coreProperties>
</file>