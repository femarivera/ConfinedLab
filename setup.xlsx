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018E0D94-7410-4978-BC62-6014EF51136D}" xr6:coauthVersionLast="47" xr6:coauthVersionMax="47" xr10:uidLastSave="{00000000-0000-0000-0000-000000000000}"/>
  <bookViews>
    <workbookView xWindow="2205" yWindow="2205" windowWidth="21600" windowHeight="11475" activeTab="4" xr2:uid="{00000000-000D-0000-FFFF-FFFF00000000}"/>
  </bookViews>
  <sheets>
    <sheet name="grid" sheetId="1" r:id="rId1"/>
    <sheet name="geometry" sheetId="2" r:id="rId2"/>
    <sheet name="tdis" sheetId="3" r:id="rId3"/>
    <sheet name="transient_recharge" sheetId="4" r:id="rId4"/>
    <sheet name="parameters" sheetId="5" r:id="rId5"/>
    <sheet name="observations" sheetId="6" r:id="rId6"/>
    <sheet name="wells" sheetId="7" r:id="rId7"/>
    <sheet name="q_values_st" sheetId="8" r:id="rId8"/>
    <sheet name="q_values_tr" sheetId="9" r:id="rId9"/>
    <sheet name="parameter_analysis" sheetId="10" r:id="rId10"/>
    <sheet name="workplace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Z151" i="11"/>
  <c r="Y151" i="11"/>
  <c r="X151" i="11"/>
  <c r="AA150" i="11"/>
  <c r="Y150" i="11"/>
  <c r="Z150" i="11" s="1"/>
  <c r="X150" i="11"/>
  <c r="AA149" i="11"/>
  <c r="Z149" i="11"/>
  <c r="Y149" i="11"/>
  <c r="X149" i="11"/>
  <c r="AA148" i="11"/>
  <c r="Y148" i="11"/>
  <c r="Z148" i="11" s="1"/>
  <c r="X148" i="11"/>
  <c r="AA147" i="11"/>
  <c r="Y147" i="11"/>
  <c r="Z147" i="11" s="1"/>
  <c r="X147" i="11"/>
  <c r="AA146" i="11"/>
  <c r="Z146" i="11"/>
  <c r="Y146" i="11"/>
  <c r="X146" i="11"/>
  <c r="AA145" i="11"/>
  <c r="Y145" i="11"/>
  <c r="Z145" i="11" s="1"/>
  <c r="X145" i="11"/>
  <c r="AA144" i="11"/>
  <c r="Y144" i="11"/>
  <c r="Z144" i="11" s="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Z140" i="11"/>
  <c r="Y140" i="11"/>
  <c r="X140" i="11"/>
  <c r="AA139" i="11"/>
  <c r="Y139" i="11"/>
  <c r="Z139" i="11" s="1"/>
  <c r="X139" i="11"/>
  <c r="AA138" i="11"/>
  <c r="Z138" i="11"/>
  <c r="Y138" i="11"/>
  <c r="X138" i="11"/>
  <c r="AA137" i="11"/>
  <c r="Y137" i="11"/>
  <c r="Z137" i="11" s="1"/>
  <c r="X137" i="11"/>
  <c r="AA136" i="11"/>
  <c r="Y136" i="11"/>
  <c r="Z136" i="11" s="1"/>
  <c r="X136" i="11"/>
  <c r="AA135" i="11"/>
  <c r="Z135" i="11"/>
  <c r="Y135" i="11"/>
  <c r="X135" i="11"/>
  <c r="AA134" i="11"/>
  <c r="Y134" i="11"/>
  <c r="Z134" i="11" s="1"/>
  <c r="X134" i="11"/>
  <c r="AA133" i="11"/>
  <c r="Y133" i="11"/>
  <c r="Z133" i="11" s="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Z129" i="11"/>
  <c r="Y129" i="11"/>
  <c r="X129" i="11"/>
  <c r="AA128" i="11"/>
  <c r="Y128" i="11"/>
  <c r="Z128" i="11" s="1"/>
  <c r="X128" i="11"/>
  <c r="AA127" i="11"/>
  <c r="Z127" i="11"/>
  <c r="Y127" i="11"/>
  <c r="X127" i="11"/>
  <c r="AA126" i="11"/>
  <c r="Y126" i="11"/>
  <c r="Z126" i="11" s="1"/>
  <c r="X126" i="11"/>
  <c r="AA125" i="11"/>
  <c r="Y125" i="11"/>
  <c r="Z125" i="11" s="1"/>
  <c r="X125" i="11"/>
  <c r="AA124" i="11"/>
  <c r="Z124" i="11"/>
  <c r="Y124" i="11"/>
  <c r="X124" i="11"/>
  <c r="AA123" i="11"/>
  <c r="Y123" i="11"/>
  <c r="Z123" i="11" s="1"/>
  <c r="X123" i="11"/>
  <c r="AA122" i="11"/>
  <c r="Y122" i="11"/>
  <c r="Z122" i="11" s="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Z118" i="11"/>
  <c r="Y118" i="11"/>
  <c r="X118" i="11"/>
  <c r="AA117" i="11"/>
  <c r="Y117" i="11"/>
  <c r="Z117" i="11" s="1"/>
  <c r="X117" i="11"/>
  <c r="AA116" i="11"/>
  <c r="Z116" i="11"/>
  <c r="Y116" i="11"/>
  <c r="X116" i="11"/>
  <c r="AA115" i="11"/>
  <c r="Y115" i="11"/>
  <c r="Z115" i="11" s="1"/>
  <c r="X115" i="11"/>
  <c r="AA114" i="11"/>
  <c r="Y114" i="11"/>
  <c r="Z114" i="11" s="1"/>
  <c r="X114" i="11"/>
  <c r="AA113" i="11"/>
  <c r="Z113" i="11"/>
  <c r="Y113" i="11"/>
  <c r="X113" i="11"/>
  <c r="AA112" i="11"/>
  <c r="Y112" i="11"/>
  <c r="Z112" i="11" s="1"/>
  <c r="X112" i="11"/>
  <c r="AA111" i="11"/>
  <c r="Y111" i="11"/>
  <c r="Z111" i="11" s="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Z107" i="11"/>
  <c r="Y107" i="11"/>
  <c r="X107" i="11"/>
  <c r="AA106" i="11"/>
  <c r="Y106" i="11"/>
  <c r="Z106" i="11" s="1"/>
  <c r="X106" i="11"/>
  <c r="AA105" i="11"/>
  <c r="Z105" i="11"/>
  <c r="Y105" i="11"/>
  <c r="X105" i="11"/>
  <c r="AA104" i="11"/>
  <c r="Y104" i="11"/>
  <c r="Z104" i="11" s="1"/>
  <c r="X104" i="11"/>
  <c r="AA103" i="11"/>
  <c r="Y103" i="11"/>
  <c r="Z103" i="11" s="1"/>
  <c r="X103" i="11"/>
  <c r="AA102" i="11"/>
  <c r="Z102" i="11"/>
  <c r="Y102" i="11"/>
  <c r="X102" i="11"/>
  <c r="AA101" i="11"/>
  <c r="Y101" i="11"/>
  <c r="Z101" i="11" s="1"/>
  <c r="X101" i="11"/>
  <c r="AA100" i="11"/>
  <c r="Y100" i="11"/>
  <c r="Z100" i="11" s="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Z96" i="11"/>
  <c r="Y96" i="11"/>
  <c r="X96" i="11"/>
  <c r="AA95" i="11"/>
  <c r="Y95" i="11"/>
  <c r="Z95" i="11" s="1"/>
  <c r="X95" i="11"/>
  <c r="AA94" i="11"/>
  <c r="Z94" i="11"/>
  <c r="Y94" i="11"/>
  <c r="X94" i="11"/>
  <c r="AA93" i="11"/>
  <c r="Y93" i="11"/>
  <c r="Z93" i="11" s="1"/>
  <c r="X93" i="11"/>
  <c r="AA92" i="11"/>
  <c r="Y92" i="11"/>
  <c r="Z92" i="11" s="1"/>
  <c r="X92" i="11"/>
  <c r="AA91" i="11"/>
  <c r="Z91" i="11"/>
  <c r="Y91" i="11"/>
  <c r="X91" i="11"/>
  <c r="AA90" i="11"/>
  <c r="Y90" i="11"/>
  <c r="Z90" i="11" s="1"/>
  <c r="X90" i="11"/>
  <c r="AA89" i="11"/>
  <c r="Y89" i="11"/>
  <c r="Z89" i="11" s="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Z85" i="11"/>
  <c r="Y85" i="11"/>
  <c r="X85" i="11"/>
  <c r="AA84" i="11"/>
  <c r="Y84" i="11"/>
  <c r="Z84" i="11" s="1"/>
  <c r="X84" i="11"/>
  <c r="AA83" i="11"/>
  <c r="Z83" i="11"/>
  <c r="Y83" i="11"/>
  <c r="X83" i="11"/>
  <c r="AA82" i="11"/>
  <c r="Y82" i="11"/>
  <c r="Z82" i="11" s="1"/>
  <c r="X82" i="11"/>
  <c r="AA81" i="11"/>
  <c r="Y81" i="11"/>
  <c r="Z81" i="11" s="1"/>
  <c r="X81" i="11"/>
  <c r="AI80" i="11"/>
  <c r="AA80" i="11"/>
  <c r="Y80" i="11"/>
  <c r="Z80" i="11" s="1"/>
  <c r="X80" i="11"/>
  <c r="AI79" i="11"/>
  <c r="AA79" i="11"/>
  <c r="Y79" i="11"/>
  <c r="Z79" i="11" s="1"/>
  <c r="X79" i="11"/>
  <c r="AI78" i="11"/>
  <c r="AA78" i="11"/>
  <c r="Z78" i="11"/>
  <c r="Y78" i="11"/>
  <c r="X78" i="11"/>
  <c r="AI77" i="11"/>
  <c r="AA77" i="11"/>
  <c r="Y77" i="11"/>
  <c r="Z77" i="11" s="1"/>
  <c r="X77" i="11"/>
  <c r="AI76" i="11"/>
  <c r="AA76" i="11"/>
  <c r="Y76" i="11"/>
  <c r="Z76" i="11" s="1"/>
  <c r="X76" i="11"/>
  <c r="AA75" i="11"/>
  <c r="Y75" i="11"/>
  <c r="Z75" i="11" s="1"/>
  <c r="X75" i="11"/>
  <c r="AA74" i="11"/>
  <c r="Y74" i="11"/>
  <c r="Z74" i="11" s="1"/>
  <c r="X74" i="11"/>
  <c r="AA73" i="11"/>
  <c r="Z73" i="11"/>
  <c r="Y73" i="11"/>
  <c r="X73" i="11"/>
  <c r="AA72" i="11"/>
  <c r="Z72" i="11"/>
  <c r="Y72" i="11"/>
  <c r="X72" i="11"/>
  <c r="AA71" i="11"/>
  <c r="Y71" i="11"/>
  <c r="Z71" i="11" s="1"/>
  <c r="X71" i="11"/>
  <c r="AA70" i="11"/>
  <c r="Y70" i="11"/>
  <c r="Z70" i="11" s="1"/>
  <c r="X70" i="11"/>
  <c r="AA69" i="11"/>
  <c r="Y69" i="11"/>
  <c r="Z69" i="11" s="1"/>
  <c r="X69" i="11"/>
  <c r="AA68" i="11"/>
  <c r="Y68" i="11"/>
  <c r="Z68" i="11" s="1"/>
  <c r="X68" i="11"/>
  <c r="AA67" i="11"/>
  <c r="Y67" i="11"/>
  <c r="Z67" i="11" s="1"/>
  <c r="X67" i="11"/>
  <c r="AA66" i="11"/>
  <c r="Z66" i="11"/>
  <c r="Y66" i="11"/>
  <c r="X66" i="11"/>
  <c r="AA65" i="11"/>
  <c r="Y65" i="11"/>
  <c r="Z65" i="11" s="1"/>
  <c r="X65" i="11"/>
  <c r="AA64" i="11"/>
  <c r="Y64" i="11"/>
  <c r="Z64" i="11" s="1"/>
  <c r="X64" i="11"/>
  <c r="AA63" i="11"/>
  <c r="Y63" i="11"/>
  <c r="Z63" i="11" s="1"/>
  <c r="X63" i="11"/>
  <c r="AA62" i="11"/>
  <c r="Z62" i="11"/>
  <c r="Y62" i="11"/>
  <c r="X62" i="11"/>
  <c r="AA61" i="11"/>
  <c r="Z61" i="11"/>
  <c r="Y61" i="11"/>
  <c r="X61" i="11"/>
  <c r="AA60" i="11"/>
  <c r="Y60" i="11"/>
  <c r="Z60" i="11" s="1"/>
  <c r="X60" i="11"/>
  <c r="AA59" i="11"/>
  <c r="Y59" i="11"/>
  <c r="Z59" i="11" s="1"/>
  <c r="X59" i="11"/>
  <c r="AA58" i="11"/>
  <c r="Y58" i="11"/>
  <c r="Z58" i="11" s="1"/>
  <c r="X58" i="11"/>
  <c r="AA57" i="11"/>
  <c r="Y57" i="11"/>
  <c r="Z57" i="11" s="1"/>
  <c r="X57" i="11"/>
  <c r="AA56" i="11"/>
  <c r="Z56" i="11"/>
  <c r="Y56" i="11"/>
  <c r="X56" i="11"/>
  <c r="AA55" i="11"/>
  <c r="Z55" i="11"/>
  <c r="Y55" i="11"/>
  <c r="X55" i="11"/>
  <c r="AA54" i="11"/>
  <c r="Y54" i="11"/>
  <c r="Z54" i="11" s="1"/>
  <c r="X54" i="11"/>
  <c r="AA53" i="11"/>
  <c r="Y53" i="11"/>
  <c r="Z53" i="11" s="1"/>
  <c r="X53" i="11"/>
  <c r="AA52" i="11"/>
  <c r="Y52" i="11"/>
  <c r="Z52" i="11" s="1"/>
  <c r="X52" i="11"/>
  <c r="AA51" i="11"/>
  <c r="Z51" i="11"/>
  <c r="Y51" i="11"/>
  <c r="X51" i="11"/>
  <c r="AA50" i="11"/>
  <c r="Z50" i="11"/>
  <c r="Y50" i="11"/>
  <c r="X50" i="11"/>
  <c r="AA49" i="11"/>
  <c r="Y49" i="11"/>
  <c r="Z49" i="11" s="1"/>
  <c r="X49" i="11"/>
  <c r="AA48" i="11"/>
  <c r="Y48" i="11"/>
  <c r="Z48" i="11" s="1"/>
  <c r="X48" i="11"/>
  <c r="AA47" i="11"/>
  <c r="Y47" i="11"/>
  <c r="Z47" i="11" s="1"/>
  <c r="X47" i="11"/>
  <c r="AA46" i="11"/>
  <c r="Y46" i="11"/>
  <c r="Z46" i="11" s="1"/>
  <c r="X46" i="11"/>
  <c r="AA45" i="11"/>
  <c r="Y45" i="11"/>
  <c r="Z45" i="11" s="1"/>
  <c r="X45" i="11"/>
  <c r="AA44" i="11"/>
  <c r="Z44" i="11"/>
  <c r="Y44" i="11"/>
  <c r="X44" i="11"/>
  <c r="AA43" i="11"/>
  <c r="Y43" i="11"/>
  <c r="Z43" i="11" s="1"/>
  <c r="X43" i="11"/>
  <c r="AA42" i="11"/>
  <c r="Y42" i="11"/>
  <c r="Z42" i="11" s="1"/>
  <c r="X42" i="11"/>
  <c r="AA41" i="11"/>
  <c r="Y41" i="11"/>
  <c r="Z41" i="11" s="1"/>
  <c r="X41" i="11"/>
  <c r="AA40" i="11"/>
  <c r="Z40" i="11"/>
  <c r="Y40" i="11"/>
  <c r="X40" i="11"/>
  <c r="AA39" i="11"/>
  <c r="Z39" i="11"/>
  <c r="Y39" i="11"/>
  <c r="X39" i="11"/>
  <c r="AA38" i="11"/>
  <c r="Y38" i="11"/>
  <c r="Z38" i="11" s="1"/>
  <c r="X38" i="11"/>
  <c r="AA37" i="11"/>
  <c r="Y37" i="11"/>
  <c r="Z37" i="11" s="1"/>
  <c r="X37" i="11"/>
  <c r="AA36" i="11"/>
  <c r="Y36" i="11"/>
  <c r="Z36" i="11" s="1"/>
  <c r="X36" i="11"/>
  <c r="AA35" i="11"/>
  <c r="Y35" i="11"/>
  <c r="Z35" i="11" s="1"/>
  <c r="X35" i="11"/>
  <c r="AA34" i="11"/>
  <c r="Y34" i="11"/>
  <c r="Z34" i="11" s="1"/>
  <c r="X34" i="11"/>
  <c r="AA33" i="11"/>
  <c r="Y33" i="11"/>
  <c r="Z33" i="11" s="1"/>
  <c r="X33" i="11"/>
  <c r="AA32" i="11"/>
  <c r="Y32" i="11"/>
  <c r="Z32" i="11" s="1"/>
  <c r="X32" i="11"/>
  <c r="AA31" i="11"/>
  <c r="Y31" i="11"/>
  <c r="Z31" i="11" s="1"/>
  <c r="X31" i="11"/>
  <c r="AA30" i="11"/>
  <c r="Y30" i="11"/>
  <c r="Z30" i="11" s="1"/>
  <c r="X30" i="11"/>
  <c r="AA29" i="11"/>
  <c r="Z29" i="11"/>
  <c r="Y29" i="11"/>
  <c r="X29" i="11"/>
  <c r="AA28" i="11"/>
  <c r="Z28" i="11"/>
  <c r="Y28" i="11"/>
  <c r="X28" i="11"/>
  <c r="AA27" i="11"/>
  <c r="Y27" i="11"/>
  <c r="Z27" i="11" s="1"/>
  <c r="X27" i="11"/>
  <c r="AA26" i="11"/>
  <c r="Y26" i="11"/>
  <c r="Z26" i="11" s="1"/>
  <c r="X26" i="11"/>
  <c r="AA25" i="11"/>
  <c r="Y25" i="11"/>
  <c r="Z25" i="11" s="1"/>
  <c r="X25" i="11"/>
  <c r="AA24" i="11"/>
  <c r="Y24" i="11"/>
  <c r="Z24" i="11" s="1"/>
  <c r="X24" i="11"/>
  <c r="AA23" i="11"/>
  <c r="Y23" i="11"/>
  <c r="Z23" i="11" s="1"/>
  <c r="X23" i="11"/>
  <c r="AA22" i="11"/>
  <c r="Y22" i="11"/>
  <c r="Z22" i="11" s="1"/>
  <c r="X22" i="11"/>
  <c r="AA21" i="11"/>
  <c r="Y21" i="11"/>
  <c r="Z21" i="11" s="1"/>
  <c r="X21" i="11"/>
  <c r="AA20" i="11"/>
  <c r="Y20" i="11"/>
  <c r="Z20" i="11" s="1"/>
  <c r="X20" i="11"/>
  <c r="AA19" i="11"/>
  <c r="Y19" i="11"/>
  <c r="Z19" i="11" s="1"/>
  <c r="X19" i="11"/>
  <c r="AA18" i="11"/>
  <c r="Z18" i="11"/>
  <c r="Y18" i="11"/>
  <c r="X18" i="11"/>
  <c r="AA17" i="11"/>
  <c r="Z17" i="11"/>
  <c r="Y17" i="11"/>
  <c r="X17" i="11"/>
  <c r="AA16" i="11"/>
  <c r="Y16" i="11"/>
  <c r="Z16" i="11" s="1"/>
  <c r="X16" i="11"/>
  <c r="AA15" i="11"/>
  <c r="Y15" i="11"/>
  <c r="Z15" i="11" s="1"/>
  <c r="X15" i="11"/>
  <c r="AA14" i="11"/>
  <c r="Y14" i="11"/>
  <c r="Z14" i="11" s="1"/>
  <c r="X14" i="11"/>
  <c r="AA13" i="11"/>
  <c r="Y13" i="11"/>
  <c r="Z13" i="11" s="1"/>
  <c r="X13" i="11"/>
  <c r="AA12" i="11"/>
  <c r="Y12" i="11"/>
  <c r="Z12" i="11" s="1"/>
  <c r="X12" i="11"/>
  <c r="AA11" i="11"/>
  <c r="Y11" i="11"/>
  <c r="Z11" i="11" s="1"/>
  <c r="X11" i="11"/>
  <c r="AA10" i="11"/>
  <c r="Y10" i="11"/>
  <c r="Z10" i="11" s="1"/>
  <c r="X10" i="11"/>
  <c r="AA9" i="11"/>
  <c r="Y9" i="11"/>
  <c r="Z9" i="11" s="1"/>
  <c r="X9" i="11"/>
  <c r="AA8" i="11"/>
  <c r="Y8" i="11"/>
  <c r="Z8" i="11" s="1"/>
  <c r="X8" i="11"/>
  <c r="AA7" i="11"/>
  <c r="Z7" i="11"/>
  <c r="Y7" i="11"/>
  <c r="X7" i="11"/>
  <c r="AA6" i="11"/>
  <c r="Z6" i="11"/>
  <c r="Y6" i="11"/>
  <c r="X6" i="11"/>
  <c r="AA5" i="11"/>
  <c r="Y5" i="11"/>
  <c r="Z5" i="11" s="1"/>
  <c r="X5" i="11"/>
  <c r="AA4" i="11"/>
  <c r="Y4" i="11"/>
  <c r="Z4" i="11" s="1"/>
  <c r="X4" i="11"/>
  <c r="AA3" i="11"/>
  <c r="Y3" i="11"/>
  <c r="Z3" i="11" s="1"/>
  <c r="X3" i="11"/>
  <c r="AA2" i="11"/>
  <c r="Y2" i="11"/>
  <c r="Z2" i="11" s="1"/>
  <c r="X2" i="11"/>
</calcChain>
</file>

<file path=xl/sharedStrings.xml><?xml version="1.0" encoding="utf-8"?>
<sst xmlns="http://schemas.openxmlformats.org/spreadsheetml/2006/main" count="1127" uniqueCount="610">
  <si>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</si>
  <si>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</si>
  <si>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</si>
  <si>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</si>
  <si>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</si>
  <si>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</si>
  <si>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</si>
  <si>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</si>
  <si>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</si>
  <si>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</si>
  <si>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</si>
  <si>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</si>
  <si>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</si>
  <si>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</si>
  <si>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</si>
  <si>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</si>
  <si>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</si>
  <si>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</si>
  <si>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</si>
  <si>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</si>
  <si>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</si>
  <si>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</si>
  <si>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</si>
  <si>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</si>
  <si>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</si>
  <si>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</si>
  <si>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</si>
  <si>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</si>
  <si>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</si>
  <si>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</si>
  <si>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</si>
  <si>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</si>
  <si>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</si>
  <si>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</si>
  <si>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</si>
  <si>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</si>
  <si>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</si>
  <si>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</si>
  <si>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</si>
  <si>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</si>
  <si>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</si>
  <si>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</si>
  <si>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</si>
  <si>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</si>
  <si>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</si>
  <si>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</si>
  <si>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</si>
  <si>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</si>
  <si>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</si>
  <si>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</si>
  <si>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</si>
  <si>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</si>
  <si>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</si>
  <si>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</si>
  <si>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</si>
  <si>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</si>
  <si>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</si>
  <si>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</si>
  <si>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</si>
  <si>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</si>
  <si>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</si>
  <si>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</si>
  <si>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</si>
  <si>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</si>
  <si>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</si>
  <si>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</si>
  <si>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</si>
  <si>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</si>
  <si>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</si>
  <si>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</si>
  <si>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</si>
  <si>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</si>
  <si>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</si>
  <si>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</si>
  <si>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</si>
  <si>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</si>
  <si>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</si>
  <si>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</si>
  <si>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drn_cond_02</t>
  </si>
  <si>
    <t>drn_cond_03</t>
  </si>
  <si>
    <t>drn_cond_04</t>
  </si>
  <si>
    <t>drn_cond_05</t>
  </si>
  <si>
    <t>q_0</t>
  </si>
  <si>
    <t>Steady state pumping rate</t>
  </si>
  <si>
    <t>obs_label</t>
  </si>
  <si>
    <t>obs_type</t>
  </si>
  <si>
    <t>lay</t>
  </si>
  <si>
    <t>row</t>
  </si>
  <si>
    <t>col</t>
  </si>
  <si>
    <t>Unc_0_250</t>
  </si>
  <si>
    <t>HEAD</t>
  </si>
  <si>
    <t>Unc_0_300</t>
  </si>
  <si>
    <t>Unc_0_350</t>
  </si>
  <si>
    <t>Unc_0_400</t>
  </si>
  <si>
    <t>Unc_0_450</t>
  </si>
  <si>
    <t>Unc_0_500</t>
  </si>
  <si>
    <t>Unc_0_550</t>
  </si>
  <si>
    <t>Unc_0_600</t>
  </si>
  <si>
    <t>Unc_1_250</t>
  </si>
  <si>
    <t>Unc_1_300</t>
  </si>
  <si>
    <t>Unc_1_350</t>
  </si>
  <si>
    <t>Unc_1_400</t>
  </si>
  <si>
    <t>Unc_1_450</t>
  </si>
  <si>
    <t>Unc_1_500</t>
  </si>
  <si>
    <t>Unc_1_550</t>
  </si>
  <si>
    <t>Unc_1_600</t>
  </si>
  <si>
    <t>Unc_2_250</t>
  </si>
  <si>
    <t>Unc_2_300</t>
  </si>
  <si>
    <t>Unc_2_350</t>
  </si>
  <si>
    <t>Unc_2_400</t>
  </si>
  <si>
    <t>Unc_2_450</t>
  </si>
  <si>
    <t>Unc_2_500</t>
  </si>
  <si>
    <t>Unc_2_550</t>
  </si>
  <si>
    <t>Unc_2_600</t>
  </si>
  <si>
    <t>Unc_3_250</t>
  </si>
  <si>
    <t>Unc_3_300</t>
  </si>
  <si>
    <t>Unc_3_350</t>
  </si>
  <si>
    <t>Unc_3_400</t>
  </si>
  <si>
    <t>Unc_3_450</t>
  </si>
  <si>
    <t>Unc_3_500</t>
  </si>
  <si>
    <t>Unc_3_550</t>
  </si>
  <si>
    <t>Unc_3_600</t>
  </si>
  <si>
    <t>Unc_4_250</t>
  </si>
  <si>
    <t>Unc_4_300</t>
  </si>
  <si>
    <t>Unc_4_350</t>
  </si>
  <si>
    <t>Unc_4_400</t>
  </si>
  <si>
    <t>Unc_4_450</t>
  </si>
  <si>
    <t>Unc_4_500</t>
  </si>
  <si>
    <t>Unc_4_550</t>
  </si>
  <si>
    <t>Unc_4_600</t>
  </si>
  <si>
    <t>Aqt1_5_200</t>
  </si>
  <si>
    <t>Aqt1_5_250</t>
  </si>
  <si>
    <t>Aqt1_5_300</t>
  </si>
  <si>
    <t>Aqt1_5_350</t>
  </si>
  <si>
    <t>Aqt1_5_400</t>
  </si>
  <si>
    <t>Aqt1_5_450</t>
  </si>
  <si>
    <t>Aqt1_5_500</t>
  </si>
  <si>
    <t>Aqt1_5_550</t>
  </si>
  <si>
    <t>Aqt1_5_600</t>
  </si>
  <si>
    <t>Aqt1_6_200</t>
  </si>
  <si>
    <t>Aqt1_6_250</t>
  </si>
  <si>
    <t>Aqt1_6_300</t>
  </si>
  <si>
    <t>Aqt1_6_350</t>
  </si>
  <si>
    <t>Aqt1_6_400</t>
  </si>
  <si>
    <t>Aqt1_6_450</t>
  </si>
  <si>
    <t>Aqt1_6_500</t>
  </si>
  <si>
    <t>Aqt1_6_550</t>
  </si>
  <si>
    <t>Aqt1_6_600</t>
  </si>
  <si>
    <t>Aqt1_7_200</t>
  </si>
  <si>
    <t>Aqt1_7_250</t>
  </si>
  <si>
    <t>Aqt1_7_300</t>
  </si>
  <si>
    <t>Aqt1_7_350</t>
  </si>
  <si>
    <t>Aqt1_7_400</t>
  </si>
  <si>
    <t>Aqt1_7_450</t>
  </si>
  <si>
    <t>Aqt1_7_500</t>
  </si>
  <si>
    <t>Aqt1_7_550</t>
  </si>
  <si>
    <t>Aqt1_7_600</t>
  </si>
  <si>
    <t>Aqt1_8_200</t>
  </si>
  <si>
    <t>Aqt1_8_250</t>
  </si>
  <si>
    <t>Aqt1_8_300</t>
  </si>
  <si>
    <t>Aqt1_8_350</t>
  </si>
  <si>
    <t>Aqt1_8_400</t>
  </si>
  <si>
    <t>Aqt1_8_450</t>
  </si>
  <si>
    <t>Aqt1_8_500</t>
  </si>
  <si>
    <t>Aqt1_8_550</t>
  </si>
  <si>
    <t>Aqt1_8_600</t>
  </si>
  <si>
    <t>Aqt1_9_200</t>
  </si>
  <si>
    <t>Aqt1_9_250</t>
  </si>
  <si>
    <t>Aqt1_9_300</t>
  </si>
  <si>
    <t>Aqt1_9_350</t>
  </si>
  <si>
    <t>Aqt1_9_400</t>
  </si>
  <si>
    <t>Aqt1_9_450</t>
  </si>
  <si>
    <t>Aqt1_9_500</t>
  </si>
  <si>
    <t>Aqt1_9_550</t>
  </si>
  <si>
    <t>Aqt1_9_600</t>
  </si>
  <si>
    <t>Aqt1_10_100</t>
  </si>
  <si>
    <t>Aqt1_10_150</t>
  </si>
  <si>
    <t>Aqt1_10_200</t>
  </si>
  <si>
    <t>Caq1_10_250</t>
  </si>
  <si>
    <t>Caq1_10_300</t>
  </si>
  <si>
    <t>Caq1_10_350</t>
  </si>
  <si>
    <t>Caq1_10_400</t>
  </si>
  <si>
    <t>Caq1_10_450</t>
  </si>
  <si>
    <t>Caq1_10_500</t>
  </si>
  <si>
    <t>Caq1_10_550</t>
  </si>
  <si>
    <t>Caq1_10_600</t>
  </si>
  <si>
    <t>Caq1_11_100</t>
  </si>
  <si>
    <t>Caq1_11_150</t>
  </si>
  <si>
    <t>Caq1_11_200</t>
  </si>
  <si>
    <t>Caq1_11_250</t>
  </si>
  <si>
    <t>Caq1_11_300</t>
  </si>
  <si>
    <t>Caq1_11_350</t>
  </si>
  <si>
    <t>Caq1_11_400</t>
  </si>
  <si>
    <t>Caq1_11_450</t>
  </si>
  <si>
    <t>Caq1_11_500</t>
  </si>
  <si>
    <t>Caq1_11_550</t>
  </si>
  <si>
    <t>Caq1_11_600</t>
  </si>
  <si>
    <t>Caq1_12_100</t>
  </si>
  <si>
    <t>Caq1_12_150</t>
  </si>
  <si>
    <t>Caq1_12_200</t>
  </si>
  <si>
    <t>Caq1_12_250</t>
  </si>
  <si>
    <t>Caq1_12_300</t>
  </si>
  <si>
    <t>Caq1_12_350</t>
  </si>
  <si>
    <t>Caq1_12_400</t>
  </si>
  <si>
    <t>Caq1_12_450</t>
  </si>
  <si>
    <t>Caq1_12_500</t>
  </si>
  <si>
    <t>Caq1_12_550</t>
  </si>
  <si>
    <t>Caq1_12_600</t>
  </si>
  <si>
    <t>Caq1_13_100</t>
  </si>
  <si>
    <t>Caq1_13_150</t>
  </si>
  <si>
    <t>Caq1_13_200</t>
  </si>
  <si>
    <t>Caq1_13_250</t>
  </si>
  <si>
    <t>Caq1_13_300</t>
  </si>
  <si>
    <t>Caq1_13_350</t>
  </si>
  <si>
    <t>Caq1_13_400</t>
  </si>
  <si>
    <t>Caq1_13_450</t>
  </si>
  <si>
    <t>Caq1_13_500</t>
  </si>
  <si>
    <t>Caq1_13_550</t>
  </si>
  <si>
    <t>Caq1_13_600</t>
  </si>
  <si>
    <t>Caq1_14_100</t>
  </si>
  <si>
    <t>Caq1_14_150</t>
  </si>
  <si>
    <t>Caq1_14_200</t>
  </si>
  <si>
    <t>Caq1_14_250</t>
  </si>
  <si>
    <t>Caq1_14_300</t>
  </si>
  <si>
    <t>Caq1_14_350</t>
  </si>
  <si>
    <t>Caq1_14_400</t>
  </si>
  <si>
    <t>Caq1_14_450</t>
  </si>
  <si>
    <t>Caq1_14_500</t>
  </si>
  <si>
    <t>Caq1_14_550</t>
  </si>
  <si>
    <t>Caq1_14_600</t>
  </si>
  <si>
    <t>Aqt2_15_75</t>
  </si>
  <si>
    <t>Aqt2_15_100</t>
  </si>
  <si>
    <t>Aqt2_15_150</t>
  </si>
  <si>
    <t>Aqt2_15_200</t>
  </si>
  <si>
    <t>Aqt2_15_250</t>
  </si>
  <si>
    <t>Aqt2_15_300</t>
  </si>
  <si>
    <t>Aqt2_15_350</t>
  </si>
  <si>
    <t>Aqt2_15_400</t>
  </si>
  <si>
    <t>Aqt2_15_450</t>
  </si>
  <si>
    <t>Aqt2_15_500</t>
  </si>
  <si>
    <t>Aqt2_15_550</t>
  </si>
  <si>
    <t>Aqt2_15_600</t>
  </si>
  <si>
    <t>Aqt2_16_75</t>
  </si>
  <si>
    <t>Aqt2_16_100</t>
  </si>
  <si>
    <t>Aqt2_16_150</t>
  </si>
  <si>
    <t>Aqt2_16_200</t>
  </si>
  <si>
    <t>Aqt2_16_250</t>
  </si>
  <si>
    <t>Aqt2_16_300</t>
  </si>
  <si>
    <t>Aqt2_16_350</t>
  </si>
  <si>
    <t>Aqt2_16_400</t>
  </si>
  <si>
    <t>Aqt2_16_450</t>
  </si>
  <si>
    <t>Aqt2_16_500</t>
  </si>
  <si>
    <t>Aqt2_16_550</t>
  </si>
  <si>
    <t>Aqt2_16_600</t>
  </si>
  <si>
    <t>Aqt2_17_75</t>
  </si>
  <si>
    <t>Aqt2_17_100</t>
  </si>
  <si>
    <t>Aqt2_17_150</t>
  </si>
  <si>
    <t>Aqt2_17_200</t>
  </si>
  <si>
    <t>Aqt2_17_250</t>
  </si>
  <si>
    <t>Aqt2_17_300</t>
  </si>
  <si>
    <t>Aqt2_17_350</t>
  </si>
  <si>
    <t>Aqt2_17_400</t>
  </si>
  <si>
    <t>Aqt2_17_450</t>
  </si>
  <si>
    <t>Aqt2_17_500</t>
  </si>
  <si>
    <t>Aqt2_17_550</t>
  </si>
  <si>
    <t>Aqt2_17_600</t>
  </si>
  <si>
    <t>Aqt2_18_75</t>
  </si>
  <si>
    <t>Aqt2_18_100</t>
  </si>
  <si>
    <t>Aqt2_18_150</t>
  </si>
  <si>
    <t>Aqt2_18_200</t>
  </si>
  <si>
    <t>Aqt2_18_250</t>
  </si>
  <si>
    <t>Aqt2_18_300</t>
  </si>
  <si>
    <t>Aqt2_18_350</t>
  </si>
  <si>
    <t>Aqt2_18_400</t>
  </si>
  <si>
    <t>Aqt2_18_450</t>
  </si>
  <si>
    <t>Aqt2_18_500</t>
  </si>
  <si>
    <t>Aqt2_18_550</t>
  </si>
  <si>
    <t>Aqt2_18_600</t>
  </si>
  <si>
    <t>Aqt2_19_75</t>
  </si>
  <si>
    <t>Aqt2_19_100</t>
  </si>
  <si>
    <t>Aqt2_19_150</t>
  </si>
  <si>
    <t>Aqt2_19_200</t>
  </si>
  <si>
    <t>Aqt2_19_250</t>
  </si>
  <si>
    <t>Aqt2_19_300</t>
  </si>
  <si>
    <t>Aqt2_19_350</t>
  </si>
  <si>
    <t>Aqt2_19_400</t>
  </si>
  <si>
    <t>Aqt2_19_450</t>
  </si>
  <si>
    <t>Aqt2_19_500</t>
  </si>
  <si>
    <t>Aqt2_19_550</t>
  </si>
  <si>
    <t>Aqt2_19_600</t>
  </si>
  <si>
    <t>Caq2_20_25</t>
  </si>
  <si>
    <t>Caq2_20_75</t>
  </si>
  <si>
    <t>Caq2_20_100</t>
  </si>
  <si>
    <t>Caq2_20_150</t>
  </si>
  <si>
    <t>Caq2_20_200</t>
  </si>
  <si>
    <t>Caq2_20_250</t>
  </si>
  <si>
    <t>Caq2_20_300</t>
  </si>
  <si>
    <t>Caq2_20_350</t>
  </si>
  <si>
    <t>Caq2_20_400</t>
  </si>
  <si>
    <t>Caq2_20_450</t>
  </si>
  <si>
    <t>Caq2_20_500</t>
  </si>
  <si>
    <t>Caq2_20_550</t>
  </si>
  <si>
    <t>Caq2_20_600</t>
  </si>
  <si>
    <t>Caq2_21_25</t>
  </si>
  <si>
    <t>Caq2_21_75</t>
  </si>
  <si>
    <t>Caq2_21_100</t>
  </si>
  <si>
    <t>Caq2_21_150</t>
  </si>
  <si>
    <t>Caq2_21_200</t>
  </si>
  <si>
    <t>Caq2_21_250</t>
  </si>
  <si>
    <t>Caq2_21_300</t>
  </si>
  <si>
    <t>Caq2_21_350</t>
  </si>
  <si>
    <t>Caq2_21_400</t>
  </si>
  <si>
    <t>Caq2_21_450</t>
  </si>
  <si>
    <t>Caq2_21_500</t>
  </si>
  <si>
    <t>Caq2_21_550</t>
  </si>
  <si>
    <t>Caq2_21_600</t>
  </si>
  <si>
    <t>Caq2_22_25</t>
  </si>
  <si>
    <t>Caq2_22_75</t>
  </si>
  <si>
    <t>Caq2_22_100</t>
  </si>
  <si>
    <t>Caq2_22_150</t>
  </si>
  <si>
    <t>Caq2_22_200</t>
  </si>
  <si>
    <t>Caq2_22_250</t>
  </si>
  <si>
    <t>Caq2_22_300</t>
  </si>
  <si>
    <t>Caq2_22_350</t>
  </si>
  <si>
    <t>Caq2_22_400</t>
  </si>
  <si>
    <t>Caq2_22_450</t>
  </si>
  <si>
    <t>Caq2_22_500</t>
  </si>
  <si>
    <t>Caq2_22_550</t>
  </si>
  <si>
    <t>Caq2_22_600</t>
  </si>
  <si>
    <t>Caq2_23_25</t>
  </si>
  <si>
    <t>Caq2_23_75</t>
  </si>
  <si>
    <t>Caq2_23_100</t>
  </si>
  <si>
    <t>Caq2_23_150</t>
  </si>
  <si>
    <t>Caq2_23_200</t>
  </si>
  <si>
    <t>Caq2_23_250</t>
  </si>
  <si>
    <t>Caq2_23_300</t>
  </si>
  <si>
    <t>Caq2_23_350</t>
  </si>
  <si>
    <t>Caq2_23_400</t>
  </si>
  <si>
    <t>Caq2_23_450</t>
  </si>
  <si>
    <t>Caq2_23_500</t>
  </si>
  <si>
    <t>Caq2_23_550</t>
  </si>
  <si>
    <t>Caq2_23_600</t>
  </si>
  <si>
    <t>Caq2_24_25</t>
  </si>
  <si>
    <t>Caq2_24_75</t>
  </si>
  <si>
    <t>Caq2_24_100</t>
  </si>
  <si>
    <t>Caq2_24_150</t>
  </si>
  <si>
    <t>Caq2_24_200</t>
  </si>
  <si>
    <t>Caq2_24_250</t>
  </si>
  <si>
    <t>Caq2_24_300</t>
  </si>
  <si>
    <t>Caq2_24_350</t>
  </si>
  <si>
    <t>Caq2_24_400</t>
  </si>
  <si>
    <t>Caq2_24_450</t>
  </si>
  <si>
    <t>Caq2_24_500</t>
  </si>
  <si>
    <t>Caq2_24_550</t>
  </si>
  <si>
    <t>Caq2_24_600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</si>
  <si>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</si>
  <si>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</si>
  <si>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</si>
  <si>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</si>
  <si>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</si>
  <si>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</si>
  <si>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</si>
  <si>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</si>
  <si>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</si>
  <si>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</si>
  <si>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</si>
  <si>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</si>
  <si>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</si>
  <si>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</t>
  </si>
  <si>
    <t>parv_00</t>
  </si>
  <si>
    <t>parv_01</t>
  </si>
  <si>
    <t>parv_02</t>
  </si>
  <si>
    <t>parv_03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</si>
  <si>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</si>
  <si>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</si>
  <si>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</si>
  <si>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</si>
  <si>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</si>
  <si>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</si>
  <si>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</si>
  <si>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</si>
  <si>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</si>
  <si>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</si>
  <si>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</si>
  <si>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</si>
  <si>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</si>
  <si>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</si>
  <si>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</si>
  <si>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</si>
  <si>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</si>
  <si>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</si>
  <si>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</si>
  <si>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</si>
  <si>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</si>
  <si>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</si>
  <si>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</si>
  <si>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</si>
  <si>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</si>
  <si>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</si>
  <si>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</si>
  <si>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</si>
  <si>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</si>
  <si>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</si>
  <si>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</si>
  <si>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</si>
  <si>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</si>
  <si>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</si>
  <si>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</si>
  <si>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</si>
  <si>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</si>
  <si>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</si>
  <si>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</si>
  <si>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</si>
  <si>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</si>
  <si>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</si>
  <si>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</si>
  <si>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</si>
  <si>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</si>
  <si>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</si>
  <si>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</si>
  <si>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</si>
  <si>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</si>
  <si>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</si>
  <si>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</si>
  <si>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</si>
  <si>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</si>
  <si>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</si>
  <si>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</si>
  <si>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</si>
  <si>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</si>
  <si>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qv_06</t>
  </si>
  <si>
    <t>qv_07</t>
  </si>
  <si>
    <t>qv_08</t>
  </si>
  <si>
    <t>qv_09</t>
  </si>
  <si>
    <t>qv_10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</si>
  <si>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</si>
  <si>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</si>
  <si>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</si>
  <si>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</si>
  <si>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</si>
  <si>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</si>
  <si>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</si>
  <si>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</si>
  <si>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</si>
  <si>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</si>
  <si>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</si>
  <si>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</si>
  <si>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</si>
  <si>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</si>
  <si>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</si>
  <si>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</si>
  <si>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</si>
  <si>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Manual refinement</t>
  </si>
  <si>
    <t>14800 BP</t>
  </si>
  <si>
    <t>14700 BP</t>
  </si>
  <si>
    <t>14600 BP</t>
  </si>
  <si>
    <t>14500 BP</t>
  </si>
  <si>
    <t>Monthly time steps for 50 years</t>
  </si>
  <si>
    <t>14400 BP</t>
  </si>
  <si>
    <t>Annual time steps for 500 years</t>
  </si>
  <si>
    <t>14300 BP</t>
  </si>
  <si>
    <t>Century time steps for 50k years</t>
  </si>
  <si>
    <t>14200 BP</t>
  </si>
  <si>
    <t>Millenia time steps for 1M years</t>
  </si>
  <si>
    <t>14100 BP</t>
  </si>
  <si>
    <t>100kyr time steps for 1M years</t>
  </si>
  <si>
    <t>14000 BP</t>
  </si>
  <si>
    <t>13900 BP</t>
  </si>
  <si>
    <t>13800 BP</t>
  </si>
  <si>
    <t>Adaptive time step</t>
  </si>
  <si>
    <t>13700 BP</t>
  </si>
  <si>
    <t>t1 (days)</t>
  </si>
  <si>
    <t>perlen (years)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</si>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</sst>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16" sqref="B16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1</v>
      </c>
      <c r="C2">
        <v>600</v>
      </c>
      <c r="D2">
        <v>1</v>
      </c>
      <c r="E2">
        <v>600000</v>
      </c>
      <c r="F2">
        <v>1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opLeftCell="B1" workbookViewId="0">
      <selection activeCell="K28" sqref="K28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17</v>
      </c>
    </row>
    <row r="2" spans="1:11" x14ac:dyDescent="0.45">
      <c r="A2" t="s">
        <v>18</v>
      </c>
      <c r="B2" t="s">
        <v>19</v>
      </c>
      <c r="C2">
        <v>100</v>
      </c>
      <c r="D2">
        <v>0</v>
      </c>
      <c r="E2">
        <v>100</v>
      </c>
      <c r="F2">
        <v>200</v>
      </c>
      <c r="G2">
        <v>300</v>
      </c>
      <c r="H2">
        <v>5</v>
      </c>
      <c r="I2">
        <v>70</v>
      </c>
      <c r="J2">
        <v>0</v>
      </c>
      <c r="K2">
        <v>1</v>
      </c>
    </row>
    <row r="3" spans="1:11" x14ac:dyDescent="0.45">
      <c r="A3" t="s">
        <v>20</v>
      </c>
      <c r="B3" t="s">
        <v>21</v>
      </c>
      <c r="C3">
        <v>150</v>
      </c>
      <c r="D3">
        <v>100</v>
      </c>
      <c r="E3">
        <v>150</v>
      </c>
      <c r="F3">
        <v>150</v>
      </c>
      <c r="G3">
        <v>250</v>
      </c>
      <c r="H3">
        <v>5</v>
      </c>
      <c r="I3">
        <v>70</v>
      </c>
      <c r="J3">
        <v>0</v>
      </c>
      <c r="K3">
        <v>2</v>
      </c>
    </row>
    <row r="4" spans="1:11" x14ac:dyDescent="0.45">
      <c r="A4" t="s">
        <v>22</v>
      </c>
      <c r="B4" t="s">
        <v>23</v>
      </c>
      <c r="C4">
        <v>200</v>
      </c>
      <c r="D4">
        <v>150</v>
      </c>
      <c r="E4">
        <v>225</v>
      </c>
      <c r="F4">
        <v>200</v>
      </c>
      <c r="G4">
        <v>150</v>
      </c>
      <c r="H4">
        <v>5</v>
      </c>
      <c r="I4">
        <v>70</v>
      </c>
      <c r="J4">
        <v>0</v>
      </c>
      <c r="K4">
        <v>3</v>
      </c>
    </row>
    <row r="5" spans="1:11" x14ac:dyDescent="0.45">
      <c r="A5" t="s">
        <v>24</v>
      </c>
      <c r="B5" t="s">
        <v>25</v>
      </c>
      <c r="C5">
        <v>250</v>
      </c>
      <c r="D5">
        <v>225</v>
      </c>
      <c r="E5">
        <v>300</v>
      </c>
      <c r="F5">
        <v>150</v>
      </c>
      <c r="G5">
        <v>100</v>
      </c>
      <c r="H5">
        <v>5</v>
      </c>
      <c r="I5">
        <v>70</v>
      </c>
      <c r="J5">
        <v>0</v>
      </c>
      <c r="K5">
        <v>4</v>
      </c>
    </row>
    <row r="6" spans="1:11" x14ac:dyDescent="0.45">
      <c r="A6" t="s">
        <v>26</v>
      </c>
      <c r="B6" t="s">
        <v>27</v>
      </c>
      <c r="C6">
        <v>350</v>
      </c>
      <c r="D6">
        <v>300</v>
      </c>
      <c r="E6">
        <v>350</v>
      </c>
      <c r="F6">
        <v>200</v>
      </c>
      <c r="G6">
        <v>0</v>
      </c>
      <c r="H6">
        <v>5</v>
      </c>
      <c r="I6">
        <v>70</v>
      </c>
      <c r="J6">
        <v>0</v>
      </c>
      <c r="K6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C12" sqref="C12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>
        <v>720000000</v>
      </c>
      <c r="C4">
        <v>200</v>
      </c>
      <c r="D4">
        <v>1.0909169999999999</v>
      </c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E26" sqref="E26"/>
    </sheetView>
  </sheetViews>
  <sheetFormatPr baseColWidth="10" defaultRowHeight="14.25" x14ac:dyDescent="0.45"/>
  <sheetData>
    <row r="1" spans="1:12" x14ac:dyDescent="0.45">
      <c r="A1" s="3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</row>
    <row r="5" spans="1:12" x14ac:dyDescent="0.45">
      <c r="B5" s="1"/>
      <c r="C5" s="1"/>
      <c r="D5" s="1"/>
      <c r="E5" s="1"/>
      <c r="F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tabSelected="1" workbookViewId="0">
      <selection activeCell="E19" sqref="E19"/>
    </sheetView>
  </sheetViews>
  <sheetFormatPr baseColWidth="10" defaultColWidth="8.73046875" defaultRowHeight="14.25" x14ac:dyDescent="0.45"/>
  <sheetData>
    <row r="1" spans="1:8" x14ac:dyDescent="0.45">
      <c r="A1" s="6" t="s">
        <v>41</v>
      </c>
      <c r="B1" s="6" t="s">
        <v>42</v>
      </c>
      <c r="C1" s="6" t="s">
        <v>43</v>
      </c>
      <c r="D1" s="6" t="s">
        <v>44</v>
      </c>
      <c r="E1" s="6" t="s">
        <v>45</v>
      </c>
      <c r="F1" s="6" t="s">
        <v>46</v>
      </c>
      <c r="G1" s="6" t="s">
        <v>47</v>
      </c>
      <c r="H1" s="6" t="s">
        <v>32</v>
      </c>
    </row>
    <row r="2" spans="1:8" x14ac:dyDescent="0.45">
      <c r="A2" s="6" t="s">
        <v>48</v>
      </c>
      <c r="B2">
        <v>0.1</v>
      </c>
      <c r="C2">
        <v>225</v>
      </c>
      <c r="D2">
        <v>275</v>
      </c>
      <c r="E2" t="s">
        <v>49</v>
      </c>
      <c r="F2" t="s">
        <v>50</v>
      </c>
      <c r="G2">
        <v>25</v>
      </c>
      <c r="H2" t="s">
        <v>51</v>
      </c>
    </row>
    <row r="3" spans="1:8" x14ac:dyDescent="0.45">
      <c r="A3" s="6" t="s">
        <v>52</v>
      </c>
      <c r="B3" s="1">
        <v>1E-8</v>
      </c>
      <c r="C3">
        <v>9.0000000000000002E-6</v>
      </c>
      <c r="D3">
        <v>1.1E-5</v>
      </c>
      <c r="E3" t="s">
        <v>49</v>
      </c>
      <c r="F3" t="s">
        <v>50</v>
      </c>
      <c r="G3">
        <v>25</v>
      </c>
      <c r="H3" t="s">
        <v>53</v>
      </c>
    </row>
    <row r="4" spans="1:8" x14ac:dyDescent="0.45">
      <c r="A4" s="6" t="s">
        <v>54</v>
      </c>
      <c r="B4">
        <v>0.1</v>
      </c>
      <c r="C4">
        <v>22.5</v>
      </c>
      <c r="D4">
        <v>27.5</v>
      </c>
      <c r="E4" t="s">
        <v>49</v>
      </c>
      <c r="F4" t="s">
        <v>50</v>
      </c>
      <c r="G4">
        <v>25</v>
      </c>
      <c r="H4" t="s">
        <v>55</v>
      </c>
    </row>
    <row r="5" spans="1:8" x14ac:dyDescent="0.45">
      <c r="A5" s="6" t="s">
        <v>56</v>
      </c>
      <c r="B5" s="1">
        <v>1E-8</v>
      </c>
      <c r="C5">
        <v>9.0000000000000002E-6</v>
      </c>
      <c r="D5">
        <v>1.1E-5</v>
      </c>
      <c r="E5" t="s">
        <v>49</v>
      </c>
      <c r="F5" t="s">
        <v>50</v>
      </c>
      <c r="G5">
        <v>25</v>
      </c>
      <c r="H5" t="s">
        <v>57</v>
      </c>
    </row>
    <row r="6" spans="1:8" x14ac:dyDescent="0.45">
      <c r="A6" s="6" t="s">
        <v>58</v>
      </c>
      <c r="B6">
        <v>0.1</v>
      </c>
      <c r="C6">
        <v>22.5</v>
      </c>
      <c r="D6">
        <v>27.5</v>
      </c>
      <c r="E6" t="s">
        <v>49</v>
      </c>
      <c r="F6" t="s">
        <v>50</v>
      </c>
      <c r="G6">
        <v>25</v>
      </c>
      <c r="H6" t="s">
        <v>59</v>
      </c>
    </row>
    <row r="7" spans="1:8" x14ac:dyDescent="0.45">
      <c r="A7" s="6" t="s">
        <v>60</v>
      </c>
      <c r="B7">
        <v>0.1</v>
      </c>
      <c r="C7">
        <v>22.5</v>
      </c>
      <c r="D7">
        <v>27.5</v>
      </c>
      <c r="E7" t="s">
        <v>49</v>
      </c>
      <c r="F7" t="s">
        <v>50</v>
      </c>
      <c r="G7">
        <v>25</v>
      </c>
      <c r="H7" t="s">
        <v>51</v>
      </c>
    </row>
    <row r="8" spans="1:8" x14ac:dyDescent="0.45">
      <c r="A8" s="6" t="s">
        <v>61</v>
      </c>
      <c r="B8" s="1">
        <v>1E-8</v>
      </c>
      <c r="C8">
        <v>9.0000000000000017E-7</v>
      </c>
      <c r="D8">
        <v>1.1000000000000001E-6</v>
      </c>
      <c r="E8" t="s">
        <v>49</v>
      </c>
      <c r="F8" t="s">
        <v>50</v>
      </c>
      <c r="G8">
        <v>25</v>
      </c>
      <c r="H8" t="s">
        <v>53</v>
      </c>
    </row>
    <row r="9" spans="1:8" x14ac:dyDescent="0.45">
      <c r="A9" s="6" t="s">
        <v>62</v>
      </c>
      <c r="B9">
        <v>0.1</v>
      </c>
      <c r="C9">
        <v>2.25</v>
      </c>
      <c r="D9">
        <v>2.75</v>
      </c>
      <c r="E9" t="s">
        <v>49</v>
      </c>
      <c r="F9" t="s">
        <v>50</v>
      </c>
      <c r="G9">
        <v>25</v>
      </c>
      <c r="H9" t="s">
        <v>55</v>
      </c>
    </row>
    <row r="10" spans="1:8" x14ac:dyDescent="0.45">
      <c r="A10" s="6" t="s">
        <v>63</v>
      </c>
      <c r="B10" s="1">
        <v>1E-8</v>
      </c>
      <c r="C10">
        <v>9.0000000000000017E-7</v>
      </c>
      <c r="D10">
        <v>1.1000000000000001E-6</v>
      </c>
      <c r="E10" t="s">
        <v>49</v>
      </c>
      <c r="F10" t="s">
        <v>50</v>
      </c>
      <c r="G10">
        <v>25</v>
      </c>
      <c r="H10" t="s">
        <v>57</v>
      </c>
    </row>
    <row r="11" spans="1:8" x14ac:dyDescent="0.45">
      <c r="A11" s="6" t="s">
        <v>64</v>
      </c>
      <c r="B11">
        <v>0.1</v>
      </c>
      <c r="C11">
        <v>2.25</v>
      </c>
      <c r="D11">
        <v>2.75</v>
      </c>
      <c r="E11" t="s">
        <v>49</v>
      </c>
      <c r="F11" t="s">
        <v>50</v>
      </c>
      <c r="G11">
        <v>25</v>
      </c>
      <c r="H11" t="s">
        <v>59</v>
      </c>
    </row>
    <row r="12" spans="1:8" x14ac:dyDescent="0.45">
      <c r="A12" s="6" t="s">
        <v>65</v>
      </c>
      <c r="B12">
        <v>0.15</v>
      </c>
      <c r="C12">
        <v>0.22500000000000001</v>
      </c>
      <c r="D12">
        <v>0.27500000000000002</v>
      </c>
      <c r="E12" t="s">
        <v>49</v>
      </c>
      <c r="F12" t="s">
        <v>66</v>
      </c>
      <c r="G12">
        <v>0</v>
      </c>
      <c r="H12" t="s">
        <v>51</v>
      </c>
    </row>
    <row r="13" spans="1:8" x14ac:dyDescent="0.45">
      <c r="A13" s="6" t="s">
        <v>67</v>
      </c>
      <c r="B13">
        <v>0.15</v>
      </c>
      <c r="C13">
        <v>0.22500000000000001</v>
      </c>
      <c r="D13">
        <v>0.27500000000000002</v>
      </c>
      <c r="E13" t="s">
        <v>49</v>
      </c>
      <c r="F13" t="s">
        <v>66</v>
      </c>
      <c r="G13">
        <v>0</v>
      </c>
      <c r="H13" t="s">
        <v>53</v>
      </c>
    </row>
    <row r="14" spans="1:8" x14ac:dyDescent="0.45">
      <c r="A14" s="6" t="s">
        <v>68</v>
      </c>
      <c r="B14">
        <v>0.15</v>
      </c>
      <c r="C14">
        <v>0.22500000000000001</v>
      </c>
      <c r="D14">
        <v>0.27500000000000002</v>
      </c>
      <c r="E14" t="s">
        <v>49</v>
      </c>
      <c r="F14" t="s">
        <v>66</v>
      </c>
      <c r="G14">
        <v>0</v>
      </c>
      <c r="H14" t="s">
        <v>55</v>
      </c>
    </row>
    <row r="15" spans="1:8" x14ac:dyDescent="0.45">
      <c r="A15" s="6" t="s">
        <v>69</v>
      </c>
      <c r="B15">
        <v>0.15</v>
      </c>
      <c r="C15">
        <v>0.22500000000000001</v>
      </c>
      <c r="D15">
        <v>0.27500000000000002</v>
      </c>
      <c r="E15" t="s">
        <v>49</v>
      </c>
      <c r="F15" t="s">
        <v>66</v>
      </c>
      <c r="G15">
        <v>0</v>
      </c>
      <c r="H15" t="s">
        <v>57</v>
      </c>
    </row>
    <row r="16" spans="1:8" x14ac:dyDescent="0.45">
      <c r="A16" s="6" t="s">
        <v>70</v>
      </c>
      <c r="B16">
        <v>0.15</v>
      </c>
      <c r="C16">
        <v>0.22500000000000001</v>
      </c>
      <c r="D16">
        <v>0.27500000000000002</v>
      </c>
      <c r="E16" t="s">
        <v>49</v>
      </c>
      <c r="F16" t="s">
        <v>66</v>
      </c>
      <c r="G16">
        <v>0</v>
      </c>
      <c r="H16" t="s">
        <v>59</v>
      </c>
    </row>
    <row r="17" spans="1:8" x14ac:dyDescent="0.45">
      <c r="A17" s="6" t="s">
        <v>71</v>
      </c>
      <c r="B17" s="1">
        <v>1.0000000000000001E-5</v>
      </c>
      <c r="C17">
        <v>9.0000000000000002E-6</v>
      </c>
      <c r="D17">
        <v>1.1E-5</v>
      </c>
      <c r="E17" t="s">
        <v>49</v>
      </c>
      <c r="F17" t="s">
        <v>66</v>
      </c>
      <c r="G17">
        <v>0</v>
      </c>
      <c r="H17" t="s">
        <v>51</v>
      </c>
    </row>
    <row r="18" spans="1:8" x14ac:dyDescent="0.45">
      <c r="A18" s="6" t="s">
        <v>72</v>
      </c>
      <c r="B18" s="1">
        <v>1.0000000000000001E-5</v>
      </c>
      <c r="C18">
        <v>9.0000000000000002E-6</v>
      </c>
      <c r="D18">
        <v>1.1E-5</v>
      </c>
      <c r="E18" t="s">
        <v>49</v>
      </c>
      <c r="F18" t="s">
        <v>66</v>
      </c>
      <c r="G18">
        <v>0</v>
      </c>
      <c r="H18" t="s">
        <v>53</v>
      </c>
    </row>
    <row r="19" spans="1:8" x14ac:dyDescent="0.45">
      <c r="A19" s="6" t="s">
        <v>73</v>
      </c>
      <c r="B19" s="1">
        <v>1.0000000000000001E-5</v>
      </c>
      <c r="C19">
        <v>9.0000000000000002E-6</v>
      </c>
      <c r="D19">
        <v>1.1E-5</v>
      </c>
      <c r="E19" t="s">
        <v>49</v>
      </c>
      <c r="F19" t="s">
        <v>66</v>
      </c>
      <c r="G19">
        <v>0</v>
      </c>
      <c r="H19" t="s">
        <v>55</v>
      </c>
    </row>
    <row r="20" spans="1:8" x14ac:dyDescent="0.45">
      <c r="A20" s="6" t="s">
        <v>74</v>
      </c>
      <c r="B20" s="1">
        <v>1.0000000000000001E-5</v>
      </c>
      <c r="C20">
        <v>9.0000000000000002E-6</v>
      </c>
      <c r="D20">
        <v>1.1E-5</v>
      </c>
      <c r="E20" t="s">
        <v>49</v>
      </c>
      <c r="F20" t="s">
        <v>66</v>
      </c>
      <c r="G20">
        <v>0</v>
      </c>
      <c r="H20" t="s">
        <v>57</v>
      </c>
    </row>
    <row r="21" spans="1:8" x14ac:dyDescent="0.45">
      <c r="A21" s="6" t="s">
        <v>75</v>
      </c>
      <c r="B21" s="1">
        <v>1.0000000000000001E-5</v>
      </c>
      <c r="C21">
        <v>9.0000000000000002E-6</v>
      </c>
      <c r="D21">
        <v>1.1E-5</v>
      </c>
      <c r="E21" t="s">
        <v>49</v>
      </c>
      <c r="F21" t="s">
        <v>66</v>
      </c>
      <c r="G21">
        <v>0</v>
      </c>
      <c r="H21" t="s">
        <v>59</v>
      </c>
    </row>
    <row r="22" spans="1:8" x14ac:dyDescent="0.45">
      <c r="A22" s="6" t="s">
        <v>36</v>
      </c>
      <c r="B22">
        <v>5.5555555555555599E-4</v>
      </c>
      <c r="C22">
        <v>3.1154231364886891E-4</v>
      </c>
      <c r="D22">
        <v>3.807739389041731E-4</v>
      </c>
      <c r="E22" t="s">
        <v>76</v>
      </c>
      <c r="F22" t="s">
        <v>66</v>
      </c>
      <c r="G22">
        <v>0</v>
      </c>
      <c r="H22" t="s">
        <v>51</v>
      </c>
    </row>
    <row r="23" spans="1:8" x14ac:dyDescent="0.45">
      <c r="A23" s="6" t="s">
        <v>37</v>
      </c>
      <c r="B23">
        <v>5.5555555555555599E-4</v>
      </c>
      <c r="C23">
        <v>3.1154231364886891E-5</v>
      </c>
      <c r="D23">
        <v>3.8077393890417307E-5</v>
      </c>
      <c r="E23" t="s">
        <v>76</v>
      </c>
      <c r="F23" t="s">
        <v>66</v>
      </c>
      <c r="G23">
        <v>0</v>
      </c>
      <c r="H23" t="s">
        <v>53</v>
      </c>
    </row>
    <row r="24" spans="1:8" x14ac:dyDescent="0.45">
      <c r="A24" s="6" t="s">
        <v>38</v>
      </c>
      <c r="B24">
        <v>5.5555555555555599E-4</v>
      </c>
      <c r="C24">
        <v>3.1154231364886891E-4</v>
      </c>
      <c r="D24">
        <v>3.807739389041731E-4</v>
      </c>
      <c r="E24" t="s">
        <v>76</v>
      </c>
      <c r="F24" t="s">
        <v>66</v>
      </c>
      <c r="G24">
        <v>0</v>
      </c>
      <c r="H24" t="s">
        <v>55</v>
      </c>
    </row>
    <row r="25" spans="1:8" x14ac:dyDescent="0.45">
      <c r="A25" s="6" t="s">
        <v>39</v>
      </c>
      <c r="B25">
        <v>5.5555555555555599E-4</v>
      </c>
      <c r="C25">
        <v>3.1154231364886891E-5</v>
      </c>
      <c r="D25">
        <v>3.8077393890417307E-5</v>
      </c>
      <c r="E25" t="s">
        <v>76</v>
      </c>
      <c r="F25" t="s">
        <v>66</v>
      </c>
      <c r="G25">
        <v>0</v>
      </c>
      <c r="H25" t="s">
        <v>57</v>
      </c>
    </row>
    <row r="26" spans="1:8" x14ac:dyDescent="0.45">
      <c r="A26" s="6" t="s">
        <v>40</v>
      </c>
      <c r="B26">
        <v>5.5555555555555599E-4</v>
      </c>
      <c r="C26">
        <v>3.1154231364886891E-4</v>
      </c>
      <c r="D26">
        <v>3.807739389041731E-4</v>
      </c>
      <c r="E26" t="s">
        <v>76</v>
      </c>
      <c r="F26" t="s">
        <v>66</v>
      </c>
      <c r="G26">
        <v>0</v>
      </c>
      <c r="H26" t="s">
        <v>59</v>
      </c>
    </row>
    <row r="27" spans="1:8" x14ac:dyDescent="0.45">
      <c r="A27" s="6" t="s">
        <v>77</v>
      </c>
      <c r="B27">
        <v>1</v>
      </c>
      <c r="C27">
        <v>3.1154231364886891E-4</v>
      </c>
      <c r="D27">
        <v>3.807739389041731E-4</v>
      </c>
      <c r="E27" t="s">
        <v>76</v>
      </c>
      <c r="F27" t="s">
        <v>66</v>
      </c>
      <c r="G27">
        <v>0</v>
      </c>
      <c r="H27" t="s">
        <v>51</v>
      </c>
    </row>
    <row r="28" spans="1:8" x14ac:dyDescent="0.45">
      <c r="A28" s="6" t="s">
        <v>78</v>
      </c>
      <c r="B28">
        <v>1</v>
      </c>
      <c r="C28">
        <v>3.1154231364886891E-4</v>
      </c>
      <c r="D28">
        <v>3.807739389041731E-4</v>
      </c>
      <c r="E28" t="s">
        <v>76</v>
      </c>
      <c r="F28" t="s">
        <v>66</v>
      </c>
      <c r="G28">
        <v>0</v>
      </c>
      <c r="H28" t="s">
        <v>53</v>
      </c>
    </row>
    <row r="29" spans="1:8" x14ac:dyDescent="0.45">
      <c r="A29" s="6" t="s">
        <v>79</v>
      </c>
      <c r="B29">
        <v>1</v>
      </c>
      <c r="C29">
        <v>3.1154231364886891E-4</v>
      </c>
      <c r="D29">
        <v>3.807739389041731E-4</v>
      </c>
      <c r="E29" t="s">
        <v>76</v>
      </c>
      <c r="F29" t="s">
        <v>66</v>
      </c>
      <c r="G29">
        <v>0</v>
      </c>
      <c r="H29" t="s">
        <v>55</v>
      </c>
    </row>
    <row r="30" spans="1:8" x14ac:dyDescent="0.45">
      <c r="A30" s="6" t="s">
        <v>80</v>
      </c>
      <c r="B30">
        <v>1</v>
      </c>
      <c r="C30">
        <v>3.1154231364886891E-4</v>
      </c>
      <c r="D30">
        <v>3.807739389041731E-4</v>
      </c>
      <c r="E30" t="s">
        <v>76</v>
      </c>
      <c r="F30" t="s">
        <v>66</v>
      </c>
      <c r="G30">
        <v>0</v>
      </c>
      <c r="H30" t="s">
        <v>57</v>
      </c>
    </row>
    <row r="31" spans="1:8" x14ac:dyDescent="0.45">
      <c r="A31" s="6" t="s">
        <v>81</v>
      </c>
      <c r="B31">
        <v>1</v>
      </c>
      <c r="C31">
        <v>3.1154231364886891E-4</v>
      </c>
      <c r="D31">
        <v>3.807739389041731E-4</v>
      </c>
      <c r="E31" t="s">
        <v>76</v>
      </c>
      <c r="F31" t="s">
        <v>66</v>
      </c>
      <c r="G31">
        <v>0</v>
      </c>
      <c r="H31" t="s">
        <v>59</v>
      </c>
    </row>
    <row r="32" spans="1:8" x14ac:dyDescent="0.45">
      <c r="A32" s="6" t="s">
        <v>82</v>
      </c>
      <c r="B32">
        <v>0</v>
      </c>
      <c r="C32">
        <v>3.1154231364886891E-4</v>
      </c>
      <c r="D32">
        <v>3.807739389041731E-4</v>
      </c>
      <c r="E32" t="s">
        <v>76</v>
      </c>
      <c r="F32" t="s">
        <v>66</v>
      </c>
      <c r="G32">
        <v>0</v>
      </c>
      <c r="H32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66"/>
  <sheetViews>
    <sheetView topLeftCell="A242" workbookViewId="0">
      <selection activeCell="G247" sqref="G247"/>
    </sheetView>
  </sheetViews>
  <sheetFormatPr baseColWidth="10" defaultRowHeight="14.25" x14ac:dyDescent="0.45"/>
  <cols>
    <col min="1" max="1" width="37" style="4" bestFit="1" customWidth="1"/>
  </cols>
  <sheetData>
    <row r="1" spans="1:5" x14ac:dyDescent="0.45">
      <c r="A1" t="s">
        <v>84</v>
      </c>
      <c r="B1" t="s">
        <v>85</v>
      </c>
      <c r="C1" t="s">
        <v>86</v>
      </c>
      <c r="D1" t="s">
        <v>87</v>
      </c>
      <c r="E1" t="s">
        <v>88</v>
      </c>
    </row>
    <row r="2" spans="1:5" x14ac:dyDescent="0.45">
      <c r="A2" t="s">
        <v>89</v>
      </c>
      <c r="B2" t="s">
        <v>90</v>
      </c>
      <c r="C2">
        <v>0</v>
      </c>
      <c r="D2">
        <v>0</v>
      </c>
      <c r="E2">
        <v>250</v>
      </c>
    </row>
    <row r="3" spans="1:5" x14ac:dyDescent="0.45">
      <c r="A3" t="s">
        <v>91</v>
      </c>
      <c r="B3" t="s">
        <v>90</v>
      </c>
      <c r="C3">
        <v>0</v>
      </c>
      <c r="D3">
        <v>0</v>
      </c>
      <c r="E3">
        <v>300</v>
      </c>
    </row>
    <row r="4" spans="1:5" x14ac:dyDescent="0.45">
      <c r="A4" t="s">
        <v>92</v>
      </c>
      <c r="B4" t="s">
        <v>90</v>
      </c>
      <c r="C4">
        <v>0</v>
      </c>
      <c r="D4">
        <v>0</v>
      </c>
      <c r="E4">
        <v>350</v>
      </c>
    </row>
    <row r="5" spans="1:5" x14ac:dyDescent="0.45">
      <c r="A5" t="s">
        <v>93</v>
      </c>
      <c r="B5" t="s">
        <v>90</v>
      </c>
      <c r="C5">
        <v>0</v>
      </c>
      <c r="D5">
        <v>0</v>
      </c>
      <c r="E5">
        <v>400</v>
      </c>
    </row>
    <row r="6" spans="1:5" x14ac:dyDescent="0.45">
      <c r="A6" t="s">
        <v>94</v>
      </c>
      <c r="B6" t="s">
        <v>90</v>
      </c>
      <c r="C6">
        <v>0</v>
      </c>
      <c r="D6">
        <v>0</v>
      </c>
      <c r="E6">
        <v>450</v>
      </c>
    </row>
    <row r="7" spans="1:5" x14ac:dyDescent="0.45">
      <c r="A7" t="s">
        <v>95</v>
      </c>
      <c r="B7" t="s">
        <v>90</v>
      </c>
      <c r="C7">
        <v>0</v>
      </c>
      <c r="D7">
        <v>0</v>
      </c>
      <c r="E7">
        <v>500</v>
      </c>
    </row>
    <row r="8" spans="1:5" x14ac:dyDescent="0.45">
      <c r="A8" t="s">
        <v>96</v>
      </c>
      <c r="B8" t="s">
        <v>90</v>
      </c>
      <c r="C8">
        <v>0</v>
      </c>
      <c r="D8">
        <v>0</v>
      </c>
      <c r="E8">
        <v>550</v>
      </c>
    </row>
    <row r="9" spans="1:5" x14ac:dyDescent="0.45">
      <c r="A9" t="s">
        <v>97</v>
      </c>
      <c r="B9" t="s">
        <v>90</v>
      </c>
      <c r="C9">
        <v>0</v>
      </c>
      <c r="D9">
        <v>0</v>
      </c>
      <c r="E9">
        <v>599</v>
      </c>
    </row>
    <row r="10" spans="1:5" x14ac:dyDescent="0.45">
      <c r="A10" t="s">
        <v>98</v>
      </c>
      <c r="B10" t="s">
        <v>90</v>
      </c>
      <c r="C10">
        <v>1</v>
      </c>
      <c r="D10">
        <v>0</v>
      </c>
      <c r="E10">
        <v>250</v>
      </c>
    </row>
    <row r="11" spans="1:5" x14ac:dyDescent="0.45">
      <c r="A11" t="s">
        <v>99</v>
      </c>
      <c r="B11" t="s">
        <v>90</v>
      </c>
      <c r="C11">
        <v>1</v>
      </c>
      <c r="D11">
        <v>0</v>
      </c>
      <c r="E11">
        <v>300</v>
      </c>
    </row>
    <row r="12" spans="1:5" x14ac:dyDescent="0.45">
      <c r="A12" t="s">
        <v>100</v>
      </c>
      <c r="B12" t="s">
        <v>90</v>
      </c>
      <c r="C12">
        <v>1</v>
      </c>
      <c r="D12">
        <v>0</v>
      </c>
      <c r="E12">
        <v>350</v>
      </c>
    </row>
    <row r="13" spans="1:5" x14ac:dyDescent="0.45">
      <c r="A13" t="s">
        <v>101</v>
      </c>
      <c r="B13" t="s">
        <v>90</v>
      </c>
      <c r="C13">
        <v>1</v>
      </c>
      <c r="D13">
        <v>0</v>
      </c>
      <c r="E13">
        <v>400</v>
      </c>
    </row>
    <row r="14" spans="1:5" x14ac:dyDescent="0.45">
      <c r="A14" t="s">
        <v>102</v>
      </c>
      <c r="B14" t="s">
        <v>90</v>
      </c>
      <c r="C14">
        <v>1</v>
      </c>
      <c r="D14">
        <v>0</v>
      </c>
      <c r="E14">
        <v>450</v>
      </c>
    </row>
    <row r="15" spans="1:5" x14ac:dyDescent="0.45">
      <c r="A15" t="s">
        <v>103</v>
      </c>
      <c r="B15" t="s">
        <v>90</v>
      </c>
      <c r="C15">
        <v>1</v>
      </c>
      <c r="D15">
        <v>0</v>
      </c>
      <c r="E15">
        <v>500</v>
      </c>
    </row>
    <row r="16" spans="1:5" x14ac:dyDescent="0.45">
      <c r="A16" t="s">
        <v>104</v>
      </c>
      <c r="B16" t="s">
        <v>90</v>
      </c>
      <c r="C16">
        <v>1</v>
      </c>
      <c r="D16">
        <v>0</v>
      </c>
      <c r="E16">
        <v>550</v>
      </c>
    </row>
    <row r="17" spans="1:5" x14ac:dyDescent="0.45">
      <c r="A17" t="s">
        <v>105</v>
      </c>
      <c r="B17" t="s">
        <v>90</v>
      </c>
      <c r="C17">
        <v>1</v>
      </c>
      <c r="D17">
        <v>0</v>
      </c>
      <c r="E17">
        <v>599</v>
      </c>
    </row>
    <row r="18" spans="1:5" x14ac:dyDescent="0.45">
      <c r="A18" t="s">
        <v>106</v>
      </c>
      <c r="B18" t="s">
        <v>90</v>
      </c>
      <c r="C18">
        <v>2</v>
      </c>
      <c r="D18">
        <v>0</v>
      </c>
      <c r="E18">
        <v>250</v>
      </c>
    </row>
    <row r="19" spans="1:5" x14ac:dyDescent="0.45">
      <c r="A19" t="s">
        <v>107</v>
      </c>
      <c r="B19" t="s">
        <v>90</v>
      </c>
      <c r="C19">
        <v>2</v>
      </c>
      <c r="D19">
        <v>0</v>
      </c>
      <c r="E19">
        <v>300</v>
      </c>
    </row>
    <row r="20" spans="1:5" x14ac:dyDescent="0.45">
      <c r="A20" t="s">
        <v>108</v>
      </c>
      <c r="B20" t="s">
        <v>90</v>
      </c>
      <c r="C20">
        <v>2</v>
      </c>
      <c r="D20">
        <v>0</v>
      </c>
      <c r="E20">
        <v>350</v>
      </c>
    </row>
    <row r="21" spans="1:5" x14ac:dyDescent="0.45">
      <c r="A21" t="s">
        <v>109</v>
      </c>
      <c r="B21" t="s">
        <v>90</v>
      </c>
      <c r="C21">
        <v>2</v>
      </c>
      <c r="D21">
        <v>0</v>
      </c>
      <c r="E21">
        <v>400</v>
      </c>
    </row>
    <row r="22" spans="1:5" x14ac:dyDescent="0.45">
      <c r="A22" t="s">
        <v>110</v>
      </c>
      <c r="B22" t="s">
        <v>90</v>
      </c>
      <c r="C22">
        <v>2</v>
      </c>
      <c r="D22">
        <v>0</v>
      </c>
      <c r="E22">
        <v>450</v>
      </c>
    </row>
    <row r="23" spans="1:5" x14ac:dyDescent="0.45">
      <c r="A23" t="s">
        <v>111</v>
      </c>
      <c r="B23" t="s">
        <v>90</v>
      </c>
      <c r="C23">
        <v>2</v>
      </c>
      <c r="D23">
        <v>0</v>
      </c>
      <c r="E23">
        <v>500</v>
      </c>
    </row>
    <row r="24" spans="1:5" x14ac:dyDescent="0.45">
      <c r="A24" t="s">
        <v>112</v>
      </c>
      <c r="B24" t="s">
        <v>90</v>
      </c>
      <c r="C24">
        <v>2</v>
      </c>
      <c r="D24">
        <v>0</v>
      </c>
      <c r="E24">
        <v>550</v>
      </c>
    </row>
    <row r="25" spans="1:5" x14ac:dyDescent="0.45">
      <c r="A25" t="s">
        <v>113</v>
      </c>
      <c r="B25" t="s">
        <v>90</v>
      </c>
      <c r="C25">
        <v>2</v>
      </c>
      <c r="D25">
        <v>0</v>
      </c>
      <c r="E25">
        <v>599</v>
      </c>
    </row>
    <row r="26" spans="1:5" x14ac:dyDescent="0.45">
      <c r="A26" t="s">
        <v>114</v>
      </c>
      <c r="B26" t="s">
        <v>90</v>
      </c>
      <c r="C26">
        <v>3</v>
      </c>
      <c r="D26">
        <v>0</v>
      </c>
      <c r="E26">
        <v>250</v>
      </c>
    </row>
    <row r="27" spans="1:5" x14ac:dyDescent="0.45">
      <c r="A27" t="s">
        <v>115</v>
      </c>
      <c r="B27" t="s">
        <v>90</v>
      </c>
      <c r="C27">
        <v>3</v>
      </c>
      <c r="D27">
        <v>0</v>
      </c>
      <c r="E27">
        <v>300</v>
      </c>
    </row>
    <row r="28" spans="1:5" x14ac:dyDescent="0.45">
      <c r="A28" t="s">
        <v>116</v>
      </c>
      <c r="B28" t="s">
        <v>90</v>
      </c>
      <c r="C28">
        <v>3</v>
      </c>
      <c r="D28">
        <v>0</v>
      </c>
      <c r="E28">
        <v>350</v>
      </c>
    </row>
    <row r="29" spans="1:5" x14ac:dyDescent="0.45">
      <c r="A29" t="s">
        <v>117</v>
      </c>
      <c r="B29" t="s">
        <v>90</v>
      </c>
      <c r="C29">
        <v>3</v>
      </c>
      <c r="D29">
        <v>0</v>
      </c>
      <c r="E29">
        <v>400</v>
      </c>
    </row>
    <row r="30" spans="1:5" x14ac:dyDescent="0.45">
      <c r="A30" t="s">
        <v>118</v>
      </c>
      <c r="B30" t="s">
        <v>90</v>
      </c>
      <c r="C30">
        <v>3</v>
      </c>
      <c r="D30">
        <v>0</v>
      </c>
      <c r="E30">
        <v>450</v>
      </c>
    </row>
    <row r="31" spans="1:5" x14ac:dyDescent="0.45">
      <c r="A31" t="s">
        <v>119</v>
      </c>
      <c r="B31" t="s">
        <v>90</v>
      </c>
      <c r="C31">
        <v>3</v>
      </c>
      <c r="D31">
        <v>0</v>
      </c>
      <c r="E31">
        <v>500</v>
      </c>
    </row>
    <row r="32" spans="1:5" x14ac:dyDescent="0.45">
      <c r="A32" t="s">
        <v>120</v>
      </c>
      <c r="B32" t="s">
        <v>90</v>
      </c>
      <c r="C32">
        <v>3</v>
      </c>
      <c r="D32">
        <v>0</v>
      </c>
      <c r="E32">
        <v>550</v>
      </c>
    </row>
    <row r="33" spans="1:5" x14ac:dyDescent="0.45">
      <c r="A33" t="s">
        <v>121</v>
      </c>
      <c r="B33" t="s">
        <v>90</v>
      </c>
      <c r="C33">
        <v>3</v>
      </c>
      <c r="D33">
        <v>0</v>
      </c>
      <c r="E33">
        <v>599</v>
      </c>
    </row>
    <row r="34" spans="1:5" x14ac:dyDescent="0.45">
      <c r="A34" t="s">
        <v>122</v>
      </c>
      <c r="B34" t="s">
        <v>90</v>
      </c>
      <c r="C34">
        <v>4</v>
      </c>
      <c r="D34">
        <v>0</v>
      </c>
      <c r="E34">
        <v>250</v>
      </c>
    </row>
    <row r="35" spans="1:5" x14ac:dyDescent="0.45">
      <c r="A35" t="s">
        <v>123</v>
      </c>
      <c r="B35" t="s">
        <v>90</v>
      </c>
      <c r="C35">
        <v>4</v>
      </c>
      <c r="D35">
        <v>0</v>
      </c>
      <c r="E35">
        <v>300</v>
      </c>
    </row>
    <row r="36" spans="1:5" x14ac:dyDescent="0.45">
      <c r="A36" t="s">
        <v>124</v>
      </c>
      <c r="B36" t="s">
        <v>90</v>
      </c>
      <c r="C36">
        <v>4</v>
      </c>
      <c r="D36">
        <v>0</v>
      </c>
      <c r="E36">
        <v>350</v>
      </c>
    </row>
    <row r="37" spans="1:5" x14ac:dyDescent="0.45">
      <c r="A37" t="s">
        <v>125</v>
      </c>
      <c r="B37" t="s">
        <v>90</v>
      </c>
      <c r="C37">
        <v>4</v>
      </c>
      <c r="D37">
        <v>0</v>
      </c>
      <c r="E37">
        <v>400</v>
      </c>
    </row>
    <row r="38" spans="1:5" x14ac:dyDescent="0.45">
      <c r="A38" t="s">
        <v>126</v>
      </c>
      <c r="B38" t="s">
        <v>90</v>
      </c>
      <c r="C38">
        <v>4</v>
      </c>
      <c r="D38">
        <v>0</v>
      </c>
      <c r="E38">
        <v>450</v>
      </c>
    </row>
    <row r="39" spans="1:5" x14ac:dyDescent="0.45">
      <c r="A39" t="s">
        <v>127</v>
      </c>
      <c r="B39" t="s">
        <v>90</v>
      </c>
      <c r="C39">
        <v>4</v>
      </c>
      <c r="D39">
        <v>0</v>
      </c>
      <c r="E39">
        <v>500</v>
      </c>
    </row>
    <row r="40" spans="1:5" x14ac:dyDescent="0.45">
      <c r="A40" t="s">
        <v>128</v>
      </c>
      <c r="B40" t="s">
        <v>90</v>
      </c>
      <c r="C40">
        <v>4</v>
      </c>
      <c r="D40">
        <v>0</v>
      </c>
      <c r="E40">
        <v>550</v>
      </c>
    </row>
    <row r="41" spans="1:5" x14ac:dyDescent="0.45">
      <c r="A41" t="s">
        <v>129</v>
      </c>
      <c r="B41" t="s">
        <v>90</v>
      </c>
      <c r="C41">
        <v>4</v>
      </c>
      <c r="D41">
        <v>0</v>
      </c>
      <c r="E41">
        <v>599</v>
      </c>
    </row>
    <row r="42" spans="1:5" x14ac:dyDescent="0.45">
      <c r="A42" t="s">
        <v>130</v>
      </c>
      <c r="B42" t="s">
        <v>90</v>
      </c>
      <c r="C42">
        <v>5</v>
      </c>
      <c r="D42">
        <v>0</v>
      </c>
      <c r="E42">
        <v>200</v>
      </c>
    </row>
    <row r="43" spans="1:5" x14ac:dyDescent="0.45">
      <c r="A43" t="s">
        <v>131</v>
      </c>
      <c r="B43" t="s">
        <v>90</v>
      </c>
      <c r="C43">
        <v>5</v>
      </c>
      <c r="D43">
        <v>0</v>
      </c>
      <c r="E43">
        <v>250</v>
      </c>
    </row>
    <row r="44" spans="1:5" x14ac:dyDescent="0.45">
      <c r="A44" t="s">
        <v>132</v>
      </c>
      <c r="B44" t="s">
        <v>90</v>
      </c>
      <c r="C44">
        <v>5</v>
      </c>
      <c r="D44">
        <v>0</v>
      </c>
      <c r="E44">
        <v>300</v>
      </c>
    </row>
    <row r="45" spans="1:5" x14ac:dyDescent="0.45">
      <c r="A45" t="s">
        <v>133</v>
      </c>
      <c r="B45" t="s">
        <v>90</v>
      </c>
      <c r="C45">
        <v>5</v>
      </c>
      <c r="D45">
        <v>0</v>
      </c>
      <c r="E45">
        <v>350</v>
      </c>
    </row>
    <row r="46" spans="1:5" x14ac:dyDescent="0.45">
      <c r="A46" t="s">
        <v>134</v>
      </c>
      <c r="B46" t="s">
        <v>90</v>
      </c>
      <c r="C46">
        <v>5</v>
      </c>
      <c r="D46">
        <v>0</v>
      </c>
      <c r="E46">
        <v>400</v>
      </c>
    </row>
    <row r="47" spans="1:5" x14ac:dyDescent="0.45">
      <c r="A47" t="s">
        <v>135</v>
      </c>
      <c r="B47" t="s">
        <v>90</v>
      </c>
      <c r="C47">
        <v>5</v>
      </c>
      <c r="D47">
        <v>0</v>
      </c>
      <c r="E47">
        <v>450</v>
      </c>
    </row>
    <row r="48" spans="1:5" x14ac:dyDescent="0.45">
      <c r="A48" t="s">
        <v>136</v>
      </c>
      <c r="B48" t="s">
        <v>90</v>
      </c>
      <c r="C48">
        <v>5</v>
      </c>
      <c r="D48">
        <v>0</v>
      </c>
      <c r="E48">
        <v>500</v>
      </c>
    </row>
    <row r="49" spans="1:5" x14ac:dyDescent="0.45">
      <c r="A49" t="s">
        <v>137</v>
      </c>
      <c r="B49" t="s">
        <v>90</v>
      </c>
      <c r="C49">
        <v>5</v>
      </c>
      <c r="D49">
        <v>0</v>
      </c>
      <c r="E49">
        <v>550</v>
      </c>
    </row>
    <row r="50" spans="1:5" x14ac:dyDescent="0.45">
      <c r="A50" t="s">
        <v>138</v>
      </c>
      <c r="B50" t="s">
        <v>90</v>
      </c>
      <c r="C50">
        <v>5</v>
      </c>
      <c r="D50">
        <v>0</v>
      </c>
      <c r="E50">
        <v>599</v>
      </c>
    </row>
    <row r="51" spans="1:5" x14ac:dyDescent="0.45">
      <c r="A51" t="s">
        <v>139</v>
      </c>
      <c r="B51" t="s">
        <v>90</v>
      </c>
      <c r="C51">
        <v>6</v>
      </c>
      <c r="D51">
        <v>0</v>
      </c>
      <c r="E51">
        <v>200</v>
      </c>
    </row>
    <row r="52" spans="1:5" x14ac:dyDescent="0.45">
      <c r="A52" t="s">
        <v>140</v>
      </c>
      <c r="B52" t="s">
        <v>90</v>
      </c>
      <c r="C52">
        <v>6</v>
      </c>
      <c r="D52">
        <v>0</v>
      </c>
      <c r="E52">
        <v>250</v>
      </c>
    </row>
    <row r="53" spans="1:5" x14ac:dyDescent="0.45">
      <c r="A53" t="s">
        <v>141</v>
      </c>
      <c r="B53" t="s">
        <v>90</v>
      </c>
      <c r="C53">
        <v>6</v>
      </c>
      <c r="D53">
        <v>0</v>
      </c>
      <c r="E53">
        <v>300</v>
      </c>
    </row>
    <row r="54" spans="1:5" x14ac:dyDescent="0.45">
      <c r="A54" t="s">
        <v>142</v>
      </c>
      <c r="B54" t="s">
        <v>90</v>
      </c>
      <c r="C54">
        <v>6</v>
      </c>
      <c r="D54">
        <v>0</v>
      </c>
      <c r="E54">
        <v>350</v>
      </c>
    </row>
    <row r="55" spans="1:5" x14ac:dyDescent="0.45">
      <c r="A55" t="s">
        <v>143</v>
      </c>
      <c r="B55" t="s">
        <v>90</v>
      </c>
      <c r="C55">
        <v>6</v>
      </c>
      <c r="D55">
        <v>0</v>
      </c>
      <c r="E55">
        <v>400</v>
      </c>
    </row>
    <row r="56" spans="1:5" x14ac:dyDescent="0.45">
      <c r="A56" t="s">
        <v>144</v>
      </c>
      <c r="B56" t="s">
        <v>90</v>
      </c>
      <c r="C56">
        <v>6</v>
      </c>
      <c r="D56">
        <v>0</v>
      </c>
      <c r="E56">
        <v>450</v>
      </c>
    </row>
    <row r="57" spans="1:5" x14ac:dyDescent="0.45">
      <c r="A57" t="s">
        <v>145</v>
      </c>
      <c r="B57" t="s">
        <v>90</v>
      </c>
      <c r="C57">
        <v>6</v>
      </c>
      <c r="D57">
        <v>0</v>
      </c>
      <c r="E57">
        <v>500</v>
      </c>
    </row>
    <row r="58" spans="1:5" x14ac:dyDescent="0.45">
      <c r="A58" t="s">
        <v>146</v>
      </c>
      <c r="B58" t="s">
        <v>90</v>
      </c>
      <c r="C58">
        <v>6</v>
      </c>
      <c r="D58">
        <v>0</v>
      </c>
      <c r="E58">
        <v>550</v>
      </c>
    </row>
    <row r="59" spans="1:5" x14ac:dyDescent="0.45">
      <c r="A59" t="s">
        <v>147</v>
      </c>
      <c r="B59" t="s">
        <v>90</v>
      </c>
      <c r="C59">
        <v>6</v>
      </c>
      <c r="D59">
        <v>0</v>
      </c>
      <c r="E59">
        <v>599</v>
      </c>
    </row>
    <row r="60" spans="1:5" x14ac:dyDescent="0.45">
      <c r="A60" t="s">
        <v>148</v>
      </c>
      <c r="B60" t="s">
        <v>90</v>
      </c>
      <c r="C60">
        <v>7</v>
      </c>
      <c r="D60">
        <v>0</v>
      </c>
      <c r="E60">
        <v>200</v>
      </c>
    </row>
    <row r="61" spans="1:5" x14ac:dyDescent="0.45">
      <c r="A61" t="s">
        <v>149</v>
      </c>
      <c r="B61" t="s">
        <v>90</v>
      </c>
      <c r="C61">
        <v>7</v>
      </c>
      <c r="D61">
        <v>0</v>
      </c>
      <c r="E61">
        <v>250</v>
      </c>
    </row>
    <row r="62" spans="1:5" x14ac:dyDescent="0.45">
      <c r="A62" t="s">
        <v>150</v>
      </c>
      <c r="B62" t="s">
        <v>90</v>
      </c>
      <c r="C62">
        <v>7</v>
      </c>
      <c r="D62">
        <v>0</v>
      </c>
      <c r="E62">
        <v>300</v>
      </c>
    </row>
    <row r="63" spans="1:5" x14ac:dyDescent="0.45">
      <c r="A63" t="s">
        <v>151</v>
      </c>
      <c r="B63" t="s">
        <v>90</v>
      </c>
      <c r="C63">
        <v>7</v>
      </c>
      <c r="D63">
        <v>0</v>
      </c>
      <c r="E63">
        <v>350</v>
      </c>
    </row>
    <row r="64" spans="1:5" x14ac:dyDescent="0.45">
      <c r="A64" t="s">
        <v>152</v>
      </c>
      <c r="B64" t="s">
        <v>90</v>
      </c>
      <c r="C64">
        <v>7</v>
      </c>
      <c r="D64">
        <v>0</v>
      </c>
      <c r="E64">
        <v>400</v>
      </c>
    </row>
    <row r="65" spans="1:5" x14ac:dyDescent="0.45">
      <c r="A65" t="s">
        <v>153</v>
      </c>
      <c r="B65" t="s">
        <v>90</v>
      </c>
      <c r="C65">
        <v>7</v>
      </c>
      <c r="D65">
        <v>0</v>
      </c>
      <c r="E65">
        <v>450</v>
      </c>
    </row>
    <row r="66" spans="1:5" x14ac:dyDescent="0.45">
      <c r="A66" t="s">
        <v>154</v>
      </c>
      <c r="B66" t="s">
        <v>90</v>
      </c>
      <c r="C66">
        <v>7</v>
      </c>
      <c r="D66">
        <v>0</v>
      </c>
      <c r="E66">
        <v>500</v>
      </c>
    </row>
    <row r="67" spans="1:5" x14ac:dyDescent="0.45">
      <c r="A67" t="s">
        <v>155</v>
      </c>
      <c r="B67" t="s">
        <v>90</v>
      </c>
      <c r="C67">
        <v>7</v>
      </c>
      <c r="D67">
        <v>0</v>
      </c>
      <c r="E67">
        <v>550</v>
      </c>
    </row>
    <row r="68" spans="1:5" x14ac:dyDescent="0.45">
      <c r="A68" t="s">
        <v>156</v>
      </c>
      <c r="B68" t="s">
        <v>90</v>
      </c>
      <c r="C68">
        <v>7</v>
      </c>
      <c r="D68">
        <v>0</v>
      </c>
      <c r="E68">
        <v>599</v>
      </c>
    </row>
    <row r="69" spans="1:5" x14ac:dyDescent="0.45">
      <c r="A69" t="s">
        <v>157</v>
      </c>
      <c r="B69" t="s">
        <v>90</v>
      </c>
      <c r="C69">
        <v>8</v>
      </c>
      <c r="D69">
        <v>0</v>
      </c>
      <c r="E69">
        <v>200</v>
      </c>
    </row>
    <row r="70" spans="1:5" x14ac:dyDescent="0.45">
      <c r="A70" t="s">
        <v>158</v>
      </c>
      <c r="B70" t="s">
        <v>90</v>
      </c>
      <c r="C70">
        <v>8</v>
      </c>
      <c r="D70">
        <v>0</v>
      </c>
      <c r="E70">
        <v>250</v>
      </c>
    </row>
    <row r="71" spans="1:5" x14ac:dyDescent="0.45">
      <c r="A71" t="s">
        <v>159</v>
      </c>
      <c r="B71" t="s">
        <v>90</v>
      </c>
      <c r="C71">
        <v>8</v>
      </c>
      <c r="D71">
        <v>0</v>
      </c>
      <c r="E71">
        <v>300</v>
      </c>
    </row>
    <row r="72" spans="1:5" x14ac:dyDescent="0.45">
      <c r="A72" t="s">
        <v>160</v>
      </c>
      <c r="B72" t="s">
        <v>90</v>
      </c>
      <c r="C72">
        <v>8</v>
      </c>
      <c r="D72">
        <v>0</v>
      </c>
      <c r="E72">
        <v>350</v>
      </c>
    </row>
    <row r="73" spans="1:5" x14ac:dyDescent="0.45">
      <c r="A73" t="s">
        <v>161</v>
      </c>
      <c r="B73" t="s">
        <v>90</v>
      </c>
      <c r="C73">
        <v>8</v>
      </c>
      <c r="D73">
        <v>0</v>
      </c>
      <c r="E73">
        <v>400</v>
      </c>
    </row>
    <row r="74" spans="1:5" x14ac:dyDescent="0.45">
      <c r="A74" t="s">
        <v>162</v>
      </c>
      <c r="B74" t="s">
        <v>90</v>
      </c>
      <c r="C74">
        <v>8</v>
      </c>
      <c r="D74">
        <v>0</v>
      </c>
      <c r="E74">
        <v>450</v>
      </c>
    </row>
    <row r="75" spans="1:5" x14ac:dyDescent="0.45">
      <c r="A75" t="s">
        <v>163</v>
      </c>
      <c r="B75" t="s">
        <v>90</v>
      </c>
      <c r="C75">
        <v>8</v>
      </c>
      <c r="D75">
        <v>0</v>
      </c>
      <c r="E75">
        <v>500</v>
      </c>
    </row>
    <row r="76" spans="1:5" x14ac:dyDescent="0.45">
      <c r="A76" t="s">
        <v>164</v>
      </c>
      <c r="B76" t="s">
        <v>90</v>
      </c>
      <c r="C76">
        <v>8</v>
      </c>
      <c r="D76">
        <v>0</v>
      </c>
      <c r="E76">
        <v>550</v>
      </c>
    </row>
    <row r="77" spans="1:5" x14ac:dyDescent="0.45">
      <c r="A77" t="s">
        <v>165</v>
      </c>
      <c r="B77" t="s">
        <v>90</v>
      </c>
      <c r="C77">
        <v>8</v>
      </c>
      <c r="D77">
        <v>0</v>
      </c>
      <c r="E77">
        <v>599</v>
      </c>
    </row>
    <row r="78" spans="1:5" x14ac:dyDescent="0.45">
      <c r="A78" t="s">
        <v>166</v>
      </c>
      <c r="B78" t="s">
        <v>90</v>
      </c>
      <c r="C78">
        <v>9</v>
      </c>
      <c r="D78">
        <v>0</v>
      </c>
      <c r="E78">
        <v>200</v>
      </c>
    </row>
    <row r="79" spans="1:5" x14ac:dyDescent="0.45">
      <c r="A79" t="s">
        <v>167</v>
      </c>
      <c r="B79" t="s">
        <v>90</v>
      </c>
      <c r="C79">
        <v>9</v>
      </c>
      <c r="D79">
        <v>0</v>
      </c>
      <c r="E79">
        <v>250</v>
      </c>
    </row>
    <row r="80" spans="1:5" x14ac:dyDescent="0.45">
      <c r="A80" t="s">
        <v>168</v>
      </c>
      <c r="B80" t="s">
        <v>90</v>
      </c>
      <c r="C80">
        <v>9</v>
      </c>
      <c r="D80">
        <v>0</v>
      </c>
      <c r="E80">
        <v>300</v>
      </c>
    </row>
    <row r="81" spans="1:5" x14ac:dyDescent="0.45">
      <c r="A81" t="s">
        <v>169</v>
      </c>
      <c r="B81" t="s">
        <v>90</v>
      </c>
      <c r="C81">
        <v>9</v>
      </c>
      <c r="D81">
        <v>0</v>
      </c>
      <c r="E81">
        <v>350</v>
      </c>
    </row>
    <row r="82" spans="1:5" x14ac:dyDescent="0.45">
      <c r="A82" t="s">
        <v>170</v>
      </c>
      <c r="B82" t="s">
        <v>90</v>
      </c>
      <c r="C82">
        <v>9</v>
      </c>
      <c r="D82">
        <v>0</v>
      </c>
      <c r="E82">
        <v>400</v>
      </c>
    </row>
    <row r="83" spans="1:5" x14ac:dyDescent="0.45">
      <c r="A83" t="s">
        <v>171</v>
      </c>
      <c r="B83" t="s">
        <v>90</v>
      </c>
      <c r="C83">
        <v>9</v>
      </c>
      <c r="D83">
        <v>0</v>
      </c>
      <c r="E83">
        <v>450</v>
      </c>
    </row>
    <row r="84" spans="1:5" x14ac:dyDescent="0.45">
      <c r="A84" t="s">
        <v>172</v>
      </c>
      <c r="B84" t="s">
        <v>90</v>
      </c>
      <c r="C84">
        <v>9</v>
      </c>
      <c r="D84">
        <v>0</v>
      </c>
      <c r="E84">
        <v>500</v>
      </c>
    </row>
    <row r="85" spans="1:5" x14ac:dyDescent="0.45">
      <c r="A85" t="s">
        <v>173</v>
      </c>
      <c r="B85" t="s">
        <v>90</v>
      </c>
      <c r="C85">
        <v>9</v>
      </c>
      <c r="D85">
        <v>0</v>
      </c>
      <c r="E85">
        <v>550</v>
      </c>
    </row>
    <row r="86" spans="1:5" x14ac:dyDescent="0.45">
      <c r="A86" t="s">
        <v>174</v>
      </c>
      <c r="B86" t="s">
        <v>90</v>
      </c>
      <c r="C86">
        <v>9</v>
      </c>
      <c r="D86">
        <v>0</v>
      </c>
      <c r="E86">
        <v>599</v>
      </c>
    </row>
    <row r="87" spans="1:5" x14ac:dyDescent="0.45">
      <c r="A87" t="s">
        <v>175</v>
      </c>
      <c r="B87" t="s">
        <v>90</v>
      </c>
      <c r="C87">
        <v>10</v>
      </c>
      <c r="D87">
        <v>0</v>
      </c>
      <c r="E87">
        <v>100</v>
      </c>
    </row>
    <row r="88" spans="1:5" x14ac:dyDescent="0.45">
      <c r="A88" t="s">
        <v>176</v>
      </c>
      <c r="B88" t="s">
        <v>90</v>
      </c>
      <c r="C88">
        <v>10</v>
      </c>
      <c r="D88">
        <v>0</v>
      </c>
      <c r="E88">
        <v>150</v>
      </c>
    </row>
    <row r="89" spans="1:5" x14ac:dyDescent="0.45">
      <c r="A89" t="s">
        <v>177</v>
      </c>
      <c r="B89" t="s">
        <v>90</v>
      </c>
      <c r="C89">
        <v>10</v>
      </c>
      <c r="D89">
        <v>0</v>
      </c>
      <c r="E89">
        <v>200</v>
      </c>
    </row>
    <row r="90" spans="1:5" x14ac:dyDescent="0.45">
      <c r="A90" t="s">
        <v>178</v>
      </c>
      <c r="B90" t="s">
        <v>90</v>
      </c>
      <c r="C90">
        <v>10</v>
      </c>
      <c r="D90">
        <v>0</v>
      </c>
      <c r="E90">
        <v>250</v>
      </c>
    </row>
    <row r="91" spans="1:5" x14ac:dyDescent="0.45">
      <c r="A91" t="s">
        <v>179</v>
      </c>
      <c r="B91" t="s">
        <v>90</v>
      </c>
      <c r="C91">
        <v>10</v>
      </c>
      <c r="D91">
        <v>0</v>
      </c>
      <c r="E91">
        <v>300</v>
      </c>
    </row>
    <row r="92" spans="1:5" x14ac:dyDescent="0.45">
      <c r="A92" t="s">
        <v>180</v>
      </c>
      <c r="B92" t="s">
        <v>90</v>
      </c>
      <c r="C92">
        <v>10</v>
      </c>
      <c r="D92">
        <v>0</v>
      </c>
      <c r="E92">
        <v>350</v>
      </c>
    </row>
    <row r="93" spans="1:5" x14ac:dyDescent="0.45">
      <c r="A93" t="s">
        <v>181</v>
      </c>
      <c r="B93" t="s">
        <v>90</v>
      </c>
      <c r="C93">
        <v>10</v>
      </c>
      <c r="D93">
        <v>0</v>
      </c>
      <c r="E93">
        <v>400</v>
      </c>
    </row>
    <row r="94" spans="1:5" x14ac:dyDescent="0.45">
      <c r="A94" t="s">
        <v>182</v>
      </c>
      <c r="B94" t="s">
        <v>90</v>
      </c>
      <c r="C94">
        <v>10</v>
      </c>
      <c r="D94">
        <v>0</v>
      </c>
      <c r="E94">
        <v>450</v>
      </c>
    </row>
    <row r="95" spans="1:5" x14ac:dyDescent="0.45">
      <c r="A95" t="s">
        <v>183</v>
      </c>
      <c r="B95" t="s">
        <v>90</v>
      </c>
      <c r="C95">
        <v>10</v>
      </c>
      <c r="D95">
        <v>0</v>
      </c>
      <c r="E95">
        <v>500</v>
      </c>
    </row>
    <row r="96" spans="1:5" x14ac:dyDescent="0.45">
      <c r="A96" t="s">
        <v>184</v>
      </c>
      <c r="B96" t="s">
        <v>90</v>
      </c>
      <c r="C96">
        <v>10</v>
      </c>
      <c r="D96">
        <v>0</v>
      </c>
      <c r="E96">
        <v>550</v>
      </c>
    </row>
    <row r="97" spans="1:5" x14ac:dyDescent="0.45">
      <c r="A97" t="s">
        <v>185</v>
      </c>
      <c r="B97" t="s">
        <v>90</v>
      </c>
      <c r="C97">
        <v>10</v>
      </c>
      <c r="D97">
        <v>0</v>
      </c>
      <c r="E97">
        <v>599</v>
      </c>
    </row>
    <row r="98" spans="1:5" x14ac:dyDescent="0.45">
      <c r="A98" t="s">
        <v>186</v>
      </c>
      <c r="B98" t="s">
        <v>90</v>
      </c>
      <c r="C98">
        <v>11</v>
      </c>
      <c r="D98">
        <v>0</v>
      </c>
      <c r="E98">
        <v>100</v>
      </c>
    </row>
    <row r="99" spans="1:5" x14ac:dyDescent="0.45">
      <c r="A99" t="s">
        <v>187</v>
      </c>
      <c r="B99" t="s">
        <v>90</v>
      </c>
      <c r="C99">
        <v>11</v>
      </c>
      <c r="D99">
        <v>0</v>
      </c>
      <c r="E99">
        <v>150</v>
      </c>
    </row>
    <row r="100" spans="1:5" x14ac:dyDescent="0.45">
      <c r="A100" t="s">
        <v>188</v>
      </c>
      <c r="B100" t="s">
        <v>90</v>
      </c>
      <c r="C100">
        <v>11</v>
      </c>
      <c r="D100">
        <v>0</v>
      </c>
      <c r="E100">
        <v>200</v>
      </c>
    </row>
    <row r="101" spans="1:5" x14ac:dyDescent="0.45">
      <c r="A101" t="s">
        <v>189</v>
      </c>
      <c r="B101" t="s">
        <v>90</v>
      </c>
      <c r="C101">
        <v>11</v>
      </c>
      <c r="D101">
        <v>0</v>
      </c>
      <c r="E101">
        <v>250</v>
      </c>
    </row>
    <row r="102" spans="1:5" x14ac:dyDescent="0.45">
      <c r="A102" t="s">
        <v>190</v>
      </c>
      <c r="B102" t="s">
        <v>90</v>
      </c>
      <c r="C102">
        <v>11</v>
      </c>
      <c r="D102">
        <v>0</v>
      </c>
      <c r="E102">
        <v>300</v>
      </c>
    </row>
    <row r="103" spans="1:5" x14ac:dyDescent="0.45">
      <c r="A103" t="s">
        <v>191</v>
      </c>
      <c r="B103" t="s">
        <v>90</v>
      </c>
      <c r="C103">
        <v>11</v>
      </c>
      <c r="D103">
        <v>0</v>
      </c>
      <c r="E103">
        <v>350</v>
      </c>
    </row>
    <row r="104" spans="1:5" x14ac:dyDescent="0.45">
      <c r="A104" t="s">
        <v>192</v>
      </c>
      <c r="B104" t="s">
        <v>90</v>
      </c>
      <c r="C104">
        <v>11</v>
      </c>
      <c r="D104">
        <v>0</v>
      </c>
      <c r="E104">
        <v>400</v>
      </c>
    </row>
    <row r="105" spans="1:5" x14ac:dyDescent="0.45">
      <c r="A105" t="s">
        <v>193</v>
      </c>
      <c r="B105" t="s">
        <v>90</v>
      </c>
      <c r="C105">
        <v>11</v>
      </c>
      <c r="D105">
        <v>0</v>
      </c>
      <c r="E105">
        <v>450</v>
      </c>
    </row>
    <row r="106" spans="1:5" x14ac:dyDescent="0.45">
      <c r="A106" t="s">
        <v>194</v>
      </c>
      <c r="B106" t="s">
        <v>90</v>
      </c>
      <c r="C106">
        <v>11</v>
      </c>
      <c r="D106">
        <v>0</v>
      </c>
      <c r="E106">
        <v>500</v>
      </c>
    </row>
    <row r="107" spans="1:5" x14ac:dyDescent="0.45">
      <c r="A107" t="s">
        <v>195</v>
      </c>
      <c r="B107" t="s">
        <v>90</v>
      </c>
      <c r="C107">
        <v>11</v>
      </c>
      <c r="D107">
        <v>0</v>
      </c>
      <c r="E107">
        <v>550</v>
      </c>
    </row>
    <row r="108" spans="1:5" x14ac:dyDescent="0.45">
      <c r="A108" t="s">
        <v>196</v>
      </c>
      <c r="B108" t="s">
        <v>90</v>
      </c>
      <c r="C108">
        <v>11</v>
      </c>
      <c r="D108">
        <v>0</v>
      </c>
      <c r="E108">
        <v>599</v>
      </c>
    </row>
    <row r="109" spans="1:5" x14ac:dyDescent="0.45">
      <c r="A109" t="s">
        <v>197</v>
      </c>
      <c r="B109" t="s">
        <v>90</v>
      </c>
      <c r="C109">
        <v>12</v>
      </c>
      <c r="D109">
        <v>0</v>
      </c>
      <c r="E109">
        <v>100</v>
      </c>
    </row>
    <row r="110" spans="1:5" x14ac:dyDescent="0.45">
      <c r="A110" t="s">
        <v>198</v>
      </c>
      <c r="B110" t="s">
        <v>90</v>
      </c>
      <c r="C110">
        <v>12</v>
      </c>
      <c r="D110">
        <v>0</v>
      </c>
      <c r="E110">
        <v>150</v>
      </c>
    </row>
    <row r="111" spans="1:5" x14ac:dyDescent="0.45">
      <c r="A111" t="s">
        <v>199</v>
      </c>
      <c r="B111" t="s">
        <v>90</v>
      </c>
      <c r="C111">
        <v>12</v>
      </c>
      <c r="D111">
        <v>0</v>
      </c>
      <c r="E111">
        <v>200</v>
      </c>
    </row>
    <row r="112" spans="1:5" x14ac:dyDescent="0.45">
      <c r="A112" t="s">
        <v>200</v>
      </c>
      <c r="B112" t="s">
        <v>90</v>
      </c>
      <c r="C112">
        <v>12</v>
      </c>
      <c r="D112">
        <v>0</v>
      </c>
      <c r="E112">
        <v>250</v>
      </c>
    </row>
    <row r="113" spans="1:5" x14ac:dyDescent="0.45">
      <c r="A113" t="s">
        <v>201</v>
      </c>
      <c r="B113" t="s">
        <v>90</v>
      </c>
      <c r="C113">
        <v>12</v>
      </c>
      <c r="D113">
        <v>0</v>
      </c>
      <c r="E113">
        <v>300</v>
      </c>
    </row>
    <row r="114" spans="1:5" x14ac:dyDescent="0.45">
      <c r="A114" t="s">
        <v>202</v>
      </c>
      <c r="B114" t="s">
        <v>90</v>
      </c>
      <c r="C114">
        <v>12</v>
      </c>
      <c r="D114">
        <v>0</v>
      </c>
      <c r="E114">
        <v>350</v>
      </c>
    </row>
    <row r="115" spans="1:5" x14ac:dyDescent="0.45">
      <c r="A115" t="s">
        <v>203</v>
      </c>
      <c r="B115" t="s">
        <v>90</v>
      </c>
      <c r="C115">
        <v>12</v>
      </c>
      <c r="D115">
        <v>0</v>
      </c>
      <c r="E115">
        <v>400</v>
      </c>
    </row>
    <row r="116" spans="1:5" x14ac:dyDescent="0.45">
      <c r="A116" t="s">
        <v>204</v>
      </c>
      <c r="B116" t="s">
        <v>90</v>
      </c>
      <c r="C116">
        <v>12</v>
      </c>
      <c r="D116">
        <v>0</v>
      </c>
      <c r="E116">
        <v>450</v>
      </c>
    </row>
    <row r="117" spans="1:5" x14ac:dyDescent="0.45">
      <c r="A117" t="s">
        <v>205</v>
      </c>
      <c r="B117" t="s">
        <v>90</v>
      </c>
      <c r="C117">
        <v>12</v>
      </c>
      <c r="D117">
        <v>0</v>
      </c>
      <c r="E117">
        <v>500</v>
      </c>
    </row>
    <row r="118" spans="1:5" x14ac:dyDescent="0.45">
      <c r="A118" t="s">
        <v>206</v>
      </c>
      <c r="B118" t="s">
        <v>90</v>
      </c>
      <c r="C118">
        <v>12</v>
      </c>
      <c r="D118">
        <v>0</v>
      </c>
      <c r="E118">
        <v>550</v>
      </c>
    </row>
    <row r="119" spans="1:5" x14ac:dyDescent="0.45">
      <c r="A119" t="s">
        <v>207</v>
      </c>
      <c r="B119" t="s">
        <v>90</v>
      </c>
      <c r="C119">
        <v>12</v>
      </c>
      <c r="D119">
        <v>0</v>
      </c>
      <c r="E119">
        <v>599</v>
      </c>
    </row>
    <row r="120" spans="1:5" x14ac:dyDescent="0.45">
      <c r="A120" t="s">
        <v>208</v>
      </c>
      <c r="B120" t="s">
        <v>90</v>
      </c>
      <c r="C120">
        <v>13</v>
      </c>
      <c r="D120">
        <v>0</v>
      </c>
      <c r="E120">
        <v>100</v>
      </c>
    </row>
    <row r="121" spans="1:5" x14ac:dyDescent="0.45">
      <c r="A121" t="s">
        <v>209</v>
      </c>
      <c r="B121" t="s">
        <v>90</v>
      </c>
      <c r="C121">
        <v>13</v>
      </c>
      <c r="D121">
        <v>0</v>
      </c>
      <c r="E121">
        <v>150</v>
      </c>
    </row>
    <row r="122" spans="1:5" x14ac:dyDescent="0.45">
      <c r="A122" t="s">
        <v>210</v>
      </c>
      <c r="B122" t="s">
        <v>90</v>
      </c>
      <c r="C122">
        <v>13</v>
      </c>
      <c r="D122">
        <v>0</v>
      </c>
      <c r="E122">
        <v>200</v>
      </c>
    </row>
    <row r="123" spans="1:5" x14ac:dyDescent="0.45">
      <c r="A123" t="s">
        <v>211</v>
      </c>
      <c r="B123" t="s">
        <v>90</v>
      </c>
      <c r="C123">
        <v>13</v>
      </c>
      <c r="D123">
        <v>0</v>
      </c>
      <c r="E123">
        <v>250</v>
      </c>
    </row>
    <row r="124" spans="1:5" x14ac:dyDescent="0.45">
      <c r="A124" t="s">
        <v>212</v>
      </c>
      <c r="B124" t="s">
        <v>90</v>
      </c>
      <c r="C124">
        <v>13</v>
      </c>
      <c r="D124">
        <v>0</v>
      </c>
      <c r="E124">
        <v>300</v>
      </c>
    </row>
    <row r="125" spans="1:5" x14ac:dyDescent="0.45">
      <c r="A125" t="s">
        <v>213</v>
      </c>
      <c r="B125" t="s">
        <v>90</v>
      </c>
      <c r="C125">
        <v>13</v>
      </c>
      <c r="D125">
        <v>0</v>
      </c>
      <c r="E125">
        <v>350</v>
      </c>
    </row>
    <row r="126" spans="1:5" x14ac:dyDescent="0.45">
      <c r="A126" t="s">
        <v>214</v>
      </c>
      <c r="B126" t="s">
        <v>90</v>
      </c>
      <c r="C126">
        <v>13</v>
      </c>
      <c r="D126">
        <v>0</v>
      </c>
      <c r="E126">
        <v>400</v>
      </c>
    </row>
    <row r="127" spans="1:5" x14ac:dyDescent="0.45">
      <c r="A127" t="s">
        <v>215</v>
      </c>
      <c r="B127" t="s">
        <v>90</v>
      </c>
      <c r="C127">
        <v>13</v>
      </c>
      <c r="D127">
        <v>0</v>
      </c>
      <c r="E127">
        <v>450</v>
      </c>
    </row>
    <row r="128" spans="1:5" x14ac:dyDescent="0.45">
      <c r="A128" t="s">
        <v>216</v>
      </c>
      <c r="B128" t="s">
        <v>90</v>
      </c>
      <c r="C128">
        <v>13</v>
      </c>
      <c r="D128">
        <v>0</v>
      </c>
      <c r="E128">
        <v>500</v>
      </c>
    </row>
    <row r="129" spans="1:5" x14ac:dyDescent="0.45">
      <c r="A129" t="s">
        <v>217</v>
      </c>
      <c r="B129" t="s">
        <v>90</v>
      </c>
      <c r="C129">
        <v>13</v>
      </c>
      <c r="D129">
        <v>0</v>
      </c>
      <c r="E129">
        <v>550</v>
      </c>
    </row>
    <row r="130" spans="1:5" x14ac:dyDescent="0.45">
      <c r="A130" t="s">
        <v>218</v>
      </c>
      <c r="B130" t="s">
        <v>90</v>
      </c>
      <c r="C130">
        <v>13</v>
      </c>
      <c r="D130">
        <v>0</v>
      </c>
      <c r="E130">
        <v>599</v>
      </c>
    </row>
    <row r="131" spans="1:5" x14ac:dyDescent="0.45">
      <c r="A131" t="s">
        <v>219</v>
      </c>
      <c r="B131" t="s">
        <v>90</v>
      </c>
      <c r="C131">
        <v>14</v>
      </c>
      <c r="D131">
        <v>0</v>
      </c>
      <c r="E131">
        <v>100</v>
      </c>
    </row>
    <row r="132" spans="1:5" x14ac:dyDescent="0.45">
      <c r="A132" t="s">
        <v>220</v>
      </c>
      <c r="B132" t="s">
        <v>90</v>
      </c>
      <c r="C132">
        <v>14</v>
      </c>
      <c r="D132">
        <v>0</v>
      </c>
      <c r="E132">
        <v>150</v>
      </c>
    </row>
    <row r="133" spans="1:5" x14ac:dyDescent="0.45">
      <c r="A133" t="s">
        <v>221</v>
      </c>
      <c r="B133" t="s">
        <v>90</v>
      </c>
      <c r="C133">
        <v>14</v>
      </c>
      <c r="D133">
        <v>0</v>
      </c>
      <c r="E133">
        <v>200</v>
      </c>
    </row>
    <row r="134" spans="1:5" x14ac:dyDescent="0.45">
      <c r="A134" t="s">
        <v>222</v>
      </c>
      <c r="B134" t="s">
        <v>90</v>
      </c>
      <c r="C134">
        <v>14</v>
      </c>
      <c r="D134">
        <v>0</v>
      </c>
      <c r="E134">
        <v>250</v>
      </c>
    </row>
    <row r="135" spans="1:5" x14ac:dyDescent="0.45">
      <c r="A135" t="s">
        <v>223</v>
      </c>
      <c r="B135" t="s">
        <v>90</v>
      </c>
      <c r="C135">
        <v>14</v>
      </c>
      <c r="D135">
        <v>0</v>
      </c>
      <c r="E135">
        <v>300</v>
      </c>
    </row>
    <row r="136" spans="1:5" x14ac:dyDescent="0.45">
      <c r="A136" t="s">
        <v>224</v>
      </c>
      <c r="B136" t="s">
        <v>90</v>
      </c>
      <c r="C136">
        <v>14</v>
      </c>
      <c r="D136">
        <v>0</v>
      </c>
      <c r="E136">
        <v>350</v>
      </c>
    </row>
    <row r="137" spans="1:5" x14ac:dyDescent="0.45">
      <c r="A137" t="s">
        <v>225</v>
      </c>
      <c r="B137" t="s">
        <v>90</v>
      </c>
      <c r="C137">
        <v>14</v>
      </c>
      <c r="D137">
        <v>0</v>
      </c>
      <c r="E137">
        <v>400</v>
      </c>
    </row>
    <row r="138" spans="1:5" x14ac:dyDescent="0.45">
      <c r="A138" t="s">
        <v>226</v>
      </c>
      <c r="B138" t="s">
        <v>90</v>
      </c>
      <c r="C138">
        <v>14</v>
      </c>
      <c r="D138">
        <v>0</v>
      </c>
      <c r="E138">
        <v>450</v>
      </c>
    </row>
    <row r="139" spans="1:5" x14ac:dyDescent="0.45">
      <c r="A139" t="s">
        <v>227</v>
      </c>
      <c r="B139" t="s">
        <v>90</v>
      </c>
      <c r="C139">
        <v>14</v>
      </c>
      <c r="D139">
        <v>0</v>
      </c>
      <c r="E139">
        <v>500</v>
      </c>
    </row>
    <row r="140" spans="1:5" x14ac:dyDescent="0.45">
      <c r="A140" t="s">
        <v>228</v>
      </c>
      <c r="B140" t="s">
        <v>90</v>
      </c>
      <c r="C140">
        <v>14</v>
      </c>
      <c r="D140">
        <v>0</v>
      </c>
      <c r="E140">
        <v>550</v>
      </c>
    </row>
    <row r="141" spans="1:5" x14ac:dyDescent="0.45">
      <c r="A141" t="s">
        <v>229</v>
      </c>
      <c r="B141" t="s">
        <v>90</v>
      </c>
      <c r="C141">
        <v>14</v>
      </c>
      <c r="D141">
        <v>0</v>
      </c>
      <c r="E141">
        <v>599</v>
      </c>
    </row>
    <row r="142" spans="1:5" x14ac:dyDescent="0.45">
      <c r="A142" t="s">
        <v>230</v>
      </c>
      <c r="B142" t="s">
        <v>90</v>
      </c>
      <c r="C142">
        <v>15</v>
      </c>
      <c r="D142">
        <v>0</v>
      </c>
      <c r="E142">
        <v>75</v>
      </c>
    </row>
    <row r="143" spans="1:5" x14ac:dyDescent="0.45">
      <c r="A143" t="s">
        <v>231</v>
      </c>
      <c r="B143" t="s">
        <v>90</v>
      </c>
      <c r="C143">
        <v>15</v>
      </c>
      <c r="D143">
        <v>0</v>
      </c>
      <c r="E143">
        <v>100</v>
      </c>
    </row>
    <row r="144" spans="1:5" x14ac:dyDescent="0.45">
      <c r="A144" t="s">
        <v>232</v>
      </c>
      <c r="B144" t="s">
        <v>90</v>
      </c>
      <c r="C144">
        <v>15</v>
      </c>
      <c r="D144">
        <v>0</v>
      </c>
      <c r="E144">
        <v>150</v>
      </c>
    </row>
    <row r="145" spans="1:5" x14ac:dyDescent="0.45">
      <c r="A145" t="s">
        <v>233</v>
      </c>
      <c r="B145" t="s">
        <v>90</v>
      </c>
      <c r="C145">
        <v>15</v>
      </c>
      <c r="D145">
        <v>0</v>
      </c>
      <c r="E145">
        <v>200</v>
      </c>
    </row>
    <row r="146" spans="1:5" x14ac:dyDescent="0.45">
      <c r="A146" t="s">
        <v>234</v>
      </c>
      <c r="B146" t="s">
        <v>90</v>
      </c>
      <c r="C146">
        <v>15</v>
      </c>
      <c r="D146">
        <v>0</v>
      </c>
      <c r="E146">
        <v>250</v>
      </c>
    </row>
    <row r="147" spans="1:5" x14ac:dyDescent="0.45">
      <c r="A147" t="s">
        <v>235</v>
      </c>
      <c r="B147" t="s">
        <v>90</v>
      </c>
      <c r="C147">
        <v>15</v>
      </c>
      <c r="D147">
        <v>0</v>
      </c>
      <c r="E147">
        <v>300</v>
      </c>
    </row>
    <row r="148" spans="1:5" x14ac:dyDescent="0.45">
      <c r="A148" t="s">
        <v>236</v>
      </c>
      <c r="B148" t="s">
        <v>90</v>
      </c>
      <c r="C148">
        <v>15</v>
      </c>
      <c r="D148">
        <v>0</v>
      </c>
      <c r="E148">
        <v>350</v>
      </c>
    </row>
    <row r="149" spans="1:5" x14ac:dyDescent="0.45">
      <c r="A149" t="s">
        <v>237</v>
      </c>
      <c r="B149" t="s">
        <v>90</v>
      </c>
      <c r="C149">
        <v>15</v>
      </c>
      <c r="D149">
        <v>0</v>
      </c>
      <c r="E149">
        <v>400</v>
      </c>
    </row>
    <row r="150" spans="1:5" x14ac:dyDescent="0.45">
      <c r="A150" t="s">
        <v>238</v>
      </c>
      <c r="B150" t="s">
        <v>90</v>
      </c>
      <c r="C150">
        <v>15</v>
      </c>
      <c r="D150">
        <v>0</v>
      </c>
      <c r="E150">
        <v>450</v>
      </c>
    </row>
    <row r="151" spans="1:5" x14ac:dyDescent="0.45">
      <c r="A151" t="s">
        <v>239</v>
      </c>
      <c r="B151" t="s">
        <v>90</v>
      </c>
      <c r="C151">
        <v>15</v>
      </c>
      <c r="D151">
        <v>0</v>
      </c>
      <c r="E151">
        <v>500</v>
      </c>
    </row>
    <row r="152" spans="1:5" x14ac:dyDescent="0.45">
      <c r="A152" t="s">
        <v>240</v>
      </c>
      <c r="B152" t="s">
        <v>90</v>
      </c>
      <c r="C152">
        <v>15</v>
      </c>
      <c r="D152">
        <v>0</v>
      </c>
      <c r="E152">
        <v>550</v>
      </c>
    </row>
    <row r="153" spans="1:5" x14ac:dyDescent="0.45">
      <c r="A153" t="s">
        <v>241</v>
      </c>
      <c r="B153" t="s">
        <v>90</v>
      </c>
      <c r="C153">
        <v>15</v>
      </c>
      <c r="D153">
        <v>0</v>
      </c>
      <c r="E153">
        <v>599</v>
      </c>
    </row>
    <row r="154" spans="1:5" x14ac:dyDescent="0.45">
      <c r="A154" t="s">
        <v>242</v>
      </c>
      <c r="B154" t="s">
        <v>90</v>
      </c>
      <c r="C154">
        <v>16</v>
      </c>
      <c r="D154">
        <v>0</v>
      </c>
      <c r="E154">
        <v>75</v>
      </c>
    </row>
    <row r="155" spans="1:5" x14ac:dyDescent="0.45">
      <c r="A155" t="s">
        <v>243</v>
      </c>
      <c r="B155" t="s">
        <v>90</v>
      </c>
      <c r="C155">
        <v>16</v>
      </c>
      <c r="D155">
        <v>0</v>
      </c>
      <c r="E155">
        <v>100</v>
      </c>
    </row>
    <row r="156" spans="1:5" x14ac:dyDescent="0.45">
      <c r="A156" t="s">
        <v>244</v>
      </c>
      <c r="B156" t="s">
        <v>90</v>
      </c>
      <c r="C156">
        <v>16</v>
      </c>
      <c r="D156">
        <v>0</v>
      </c>
      <c r="E156">
        <v>150</v>
      </c>
    </row>
    <row r="157" spans="1:5" x14ac:dyDescent="0.45">
      <c r="A157" t="s">
        <v>245</v>
      </c>
      <c r="B157" t="s">
        <v>90</v>
      </c>
      <c r="C157">
        <v>16</v>
      </c>
      <c r="D157">
        <v>0</v>
      </c>
      <c r="E157">
        <v>200</v>
      </c>
    </row>
    <row r="158" spans="1:5" x14ac:dyDescent="0.45">
      <c r="A158" t="s">
        <v>246</v>
      </c>
      <c r="B158" t="s">
        <v>90</v>
      </c>
      <c r="C158">
        <v>16</v>
      </c>
      <c r="D158">
        <v>0</v>
      </c>
      <c r="E158">
        <v>250</v>
      </c>
    </row>
    <row r="159" spans="1:5" x14ac:dyDescent="0.45">
      <c r="A159" t="s">
        <v>247</v>
      </c>
      <c r="B159" t="s">
        <v>90</v>
      </c>
      <c r="C159">
        <v>16</v>
      </c>
      <c r="D159">
        <v>0</v>
      </c>
      <c r="E159">
        <v>300</v>
      </c>
    </row>
    <row r="160" spans="1:5" x14ac:dyDescent="0.45">
      <c r="A160" t="s">
        <v>248</v>
      </c>
      <c r="B160" t="s">
        <v>90</v>
      </c>
      <c r="C160">
        <v>16</v>
      </c>
      <c r="D160">
        <v>0</v>
      </c>
      <c r="E160">
        <v>350</v>
      </c>
    </row>
    <row r="161" spans="1:5" x14ac:dyDescent="0.45">
      <c r="A161" t="s">
        <v>249</v>
      </c>
      <c r="B161" t="s">
        <v>90</v>
      </c>
      <c r="C161">
        <v>16</v>
      </c>
      <c r="D161">
        <v>0</v>
      </c>
      <c r="E161">
        <v>400</v>
      </c>
    </row>
    <row r="162" spans="1:5" x14ac:dyDescent="0.45">
      <c r="A162" t="s">
        <v>250</v>
      </c>
      <c r="B162" t="s">
        <v>90</v>
      </c>
      <c r="C162">
        <v>16</v>
      </c>
      <c r="D162">
        <v>0</v>
      </c>
      <c r="E162">
        <v>450</v>
      </c>
    </row>
    <row r="163" spans="1:5" x14ac:dyDescent="0.45">
      <c r="A163" t="s">
        <v>251</v>
      </c>
      <c r="B163" t="s">
        <v>90</v>
      </c>
      <c r="C163">
        <v>16</v>
      </c>
      <c r="D163">
        <v>0</v>
      </c>
      <c r="E163">
        <v>500</v>
      </c>
    </row>
    <row r="164" spans="1:5" x14ac:dyDescent="0.45">
      <c r="A164" t="s">
        <v>252</v>
      </c>
      <c r="B164" t="s">
        <v>90</v>
      </c>
      <c r="C164">
        <v>16</v>
      </c>
      <c r="D164">
        <v>0</v>
      </c>
      <c r="E164">
        <v>550</v>
      </c>
    </row>
    <row r="165" spans="1:5" x14ac:dyDescent="0.45">
      <c r="A165" t="s">
        <v>253</v>
      </c>
      <c r="B165" t="s">
        <v>90</v>
      </c>
      <c r="C165">
        <v>16</v>
      </c>
      <c r="D165">
        <v>0</v>
      </c>
      <c r="E165">
        <v>599</v>
      </c>
    </row>
    <row r="166" spans="1:5" x14ac:dyDescent="0.45">
      <c r="A166" t="s">
        <v>254</v>
      </c>
      <c r="B166" t="s">
        <v>90</v>
      </c>
      <c r="C166">
        <v>17</v>
      </c>
      <c r="D166">
        <v>0</v>
      </c>
      <c r="E166">
        <v>75</v>
      </c>
    </row>
    <row r="167" spans="1:5" x14ac:dyDescent="0.45">
      <c r="A167" t="s">
        <v>255</v>
      </c>
      <c r="B167" t="s">
        <v>90</v>
      </c>
      <c r="C167">
        <v>17</v>
      </c>
      <c r="D167">
        <v>0</v>
      </c>
      <c r="E167">
        <v>100</v>
      </c>
    </row>
    <row r="168" spans="1:5" x14ac:dyDescent="0.45">
      <c r="A168" t="s">
        <v>256</v>
      </c>
      <c r="B168" t="s">
        <v>90</v>
      </c>
      <c r="C168">
        <v>17</v>
      </c>
      <c r="D168">
        <v>0</v>
      </c>
      <c r="E168">
        <v>150</v>
      </c>
    </row>
    <row r="169" spans="1:5" x14ac:dyDescent="0.45">
      <c r="A169" t="s">
        <v>257</v>
      </c>
      <c r="B169" t="s">
        <v>90</v>
      </c>
      <c r="C169">
        <v>17</v>
      </c>
      <c r="D169">
        <v>0</v>
      </c>
      <c r="E169">
        <v>200</v>
      </c>
    </row>
    <row r="170" spans="1:5" x14ac:dyDescent="0.45">
      <c r="A170" t="s">
        <v>258</v>
      </c>
      <c r="B170" t="s">
        <v>90</v>
      </c>
      <c r="C170">
        <v>17</v>
      </c>
      <c r="D170">
        <v>0</v>
      </c>
      <c r="E170">
        <v>250</v>
      </c>
    </row>
    <row r="171" spans="1:5" x14ac:dyDescent="0.45">
      <c r="A171" t="s">
        <v>259</v>
      </c>
      <c r="B171" t="s">
        <v>90</v>
      </c>
      <c r="C171">
        <v>17</v>
      </c>
      <c r="D171">
        <v>0</v>
      </c>
      <c r="E171">
        <v>300</v>
      </c>
    </row>
    <row r="172" spans="1:5" x14ac:dyDescent="0.45">
      <c r="A172" t="s">
        <v>260</v>
      </c>
      <c r="B172" t="s">
        <v>90</v>
      </c>
      <c r="C172">
        <v>17</v>
      </c>
      <c r="D172">
        <v>0</v>
      </c>
      <c r="E172">
        <v>350</v>
      </c>
    </row>
    <row r="173" spans="1:5" x14ac:dyDescent="0.45">
      <c r="A173" t="s">
        <v>261</v>
      </c>
      <c r="B173" t="s">
        <v>90</v>
      </c>
      <c r="C173">
        <v>17</v>
      </c>
      <c r="D173">
        <v>0</v>
      </c>
      <c r="E173">
        <v>400</v>
      </c>
    </row>
    <row r="174" spans="1:5" x14ac:dyDescent="0.45">
      <c r="A174" t="s">
        <v>262</v>
      </c>
      <c r="B174" t="s">
        <v>90</v>
      </c>
      <c r="C174">
        <v>17</v>
      </c>
      <c r="D174">
        <v>0</v>
      </c>
      <c r="E174">
        <v>450</v>
      </c>
    </row>
    <row r="175" spans="1:5" x14ac:dyDescent="0.45">
      <c r="A175" t="s">
        <v>263</v>
      </c>
      <c r="B175" t="s">
        <v>90</v>
      </c>
      <c r="C175">
        <v>17</v>
      </c>
      <c r="D175">
        <v>0</v>
      </c>
      <c r="E175">
        <v>500</v>
      </c>
    </row>
    <row r="176" spans="1:5" x14ac:dyDescent="0.45">
      <c r="A176" t="s">
        <v>264</v>
      </c>
      <c r="B176" t="s">
        <v>90</v>
      </c>
      <c r="C176">
        <v>17</v>
      </c>
      <c r="D176">
        <v>0</v>
      </c>
      <c r="E176">
        <v>550</v>
      </c>
    </row>
    <row r="177" spans="1:5" x14ac:dyDescent="0.45">
      <c r="A177" t="s">
        <v>265</v>
      </c>
      <c r="B177" t="s">
        <v>90</v>
      </c>
      <c r="C177">
        <v>17</v>
      </c>
      <c r="D177">
        <v>0</v>
      </c>
      <c r="E177">
        <v>599</v>
      </c>
    </row>
    <row r="178" spans="1:5" x14ac:dyDescent="0.45">
      <c r="A178" t="s">
        <v>266</v>
      </c>
      <c r="B178" t="s">
        <v>90</v>
      </c>
      <c r="C178">
        <v>18</v>
      </c>
      <c r="D178">
        <v>0</v>
      </c>
      <c r="E178">
        <v>75</v>
      </c>
    </row>
    <row r="179" spans="1:5" x14ac:dyDescent="0.45">
      <c r="A179" t="s">
        <v>267</v>
      </c>
      <c r="B179" t="s">
        <v>90</v>
      </c>
      <c r="C179">
        <v>18</v>
      </c>
      <c r="D179">
        <v>0</v>
      </c>
      <c r="E179">
        <v>100</v>
      </c>
    </row>
    <row r="180" spans="1:5" x14ac:dyDescent="0.45">
      <c r="A180" t="s">
        <v>268</v>
      </c>
      <c r="B180" t="s">
        <v>90</v>
      </c>
      <c r="C180">
        <v>18</v>
      </c>
      <c r="D180">
        <v>0</v>
      </c>
      <c r="E180">
        <v>150</v>
      </c>
    </row>
    <row r="181" spans="1:5" x14ac:dyDescent="0.45">
      <c r="A181" t="s">
        <v>269</v>
      </c>
      <c r="B181" t="s">
        <v>90</v>
      </c>
      <c r="C181">
        <v>18</v>
      </c>
      <c r="D181">
        <v>0</v>
      </c>
      <c r="E181">
        <v>200</v>
      </c>
    </row>
    <row r="182" spans="1:5" x14ac:dyDescent="0.45">
      <c r="A182" t="s">
        <v>270</v>
      </c>
      <c r="B182" t="s">
        <v>90</v>
      </c>
      <c r="C182">
        <v>18</v>
      </c>
      <c r="D182">
        <v>0</v>
      </c>
      <c r="E182">
        <v>250</v>
      </c>
    </row>
    <row r="183" spans="1:5" x14ac:dyDescent="0.45">
      <c r="A183" t="s">
        <v>271</v>
      </c>
      <c r="B183" t="s">
        <v>90</v>
      </c>
      <c r="C183">
        <v>18</v>
      </c>
      <c r="D183">
        <v>0</v>
      </c>
      <c r="E183">
        <v>300</v>
      </c>
    </row>
    <row r="184" spans="1:5" x14ac:dyDescent="0.45">
      <c r="A184" t="s">
        <v>272</v>
      </c>
      <c r="B184" t="s">
        <v>90</v>
      </c>
      <c r="C184">
        <v>18</v>
      </c>
      <c r="D184">
        <v>0</v>
      </c>
      <c r="E184">
        <v>350</v>
      </c>
    </row>
    <row r="185" spans="1:5" x14ac:dyDescent="0.45">
      <c r="A185" t="s">
        <v>273</v>
      </c>
      <c r="B185" t="s">
        <v>90</v>
      </c>
      <c r="C185">
        <v>18</v>
      </c>
      <c r="D185">
        <v>0</v>
      </c>
      <c r="E185">
        <v>400</v>
      </c>
    </row>
    <row r="186" spans="1:5" x14ac:dyDescent="0.45">
      <c r="A186" t="s">
        <v>274</v>
      </c>
      <c r="B186" t="s">
        <v>90</v>
      </c>
      <c r="C186">
        <v>18</v>
      </c>
      <c r="D186">
        <v>0</v>
      </c>
      <c r="E186">
        <v>450</v>
      </c>
    </row>
    <row r="187" spans="1:5" x14ac:dyDescent="0.45">
      <c r="A187" t="s">
        <v>275</v>
      </c>
      <c r="B187" t="s">
        <v>90</v>
      </c>
      <c r="C187">
        <v>18</v>
      </c>
      <c r="D187">
        <v>0</v>
      </c>
      <c r="E187">
        <v>500</v>
      </c>
    </row>
    <row r="188" spans="1:5" x14ac:dyDescent="0.45">
      <c r="A188" t="s">
        <v>276</v>
      </c>
      <c r="B188" t="s">
        <v>90</v>
      </c>
      <c r="C188">
        <v>18</v>
      </c>
      <c r="D188">
        <v>0</v>
      </c>
      <c r="E188">
        <v>550</v>
      </c>
    </row>
    <row r="189" spans="1:5" x14ac:dyDescent="0.45">
      <c r="A189" t="s">
        <v>277</v>
      </c>
      <c r="B189" t="s">
        <v>90</v>
      </c>
      <c r="C189">
        <v>18</v>
      </c>
      <c r="D189">
        <v>0</v>
      </c>
      <c r="E189">
        <v>599</v>
      </c>
    </row>
    <row r="190" spans="1:5" x14ac:dyDescent="0.45">
      <c r="A190" t="s">
        <v>278</v>
      </c>
      <c r="B190" t="s">
        <v>90</v>
      </c>
      <c r="C190">
        <v>19</v>
      </c>
      <c r="D190">
        <v>0</v>
      </c>
      <c r="E190">
        <v>75</v>
      </c>
    </row>
    <row r="191" spans="1:5" x14ac:dyDescent="0.45">
      <c r="A191" t="s">
        <v>279</v>
      </c>
      <c r="B191" t="s">
        <v>90</v>
      </c>
      <c r="C191">
        <v>19</v>
      </c>
      <c r="D191">
        <v>0</v>
      </c>
      <c r="E191">
        <v>100</v>
      </c>
    </row>
    <row r="192" spans="1:5" x14ac:dyDescent="0.45">
      <c r="A192" t="s">
        <v>280</v>
      </c>
      <c r="B192" t="s">
        <v>90</v>
      </c>
      <c r="C192">
        <v>19</v>
      </c>
      <c r="D192">
        <v>0</v>
      </c>
      <c r="E192">
        <v>150</v>
      </c>
    </row>
    <row r="193" spans="1:5" x14ac:dyDescent="0.45">
      <c r="A193" t="s">
        <v>281</v>
      </c>
      <c r="B193" t="s">
        <v>90</v>
      </c>
      <c r="C193">
        <v>19</v>
      </c>
      <c r="D193">
        <v>0</v>
      </c>
      <c r="E193">
        <v>200</v>
      </c>
    </row>
    <row r="194" spans="1:5" x14ac:dyDescent="0.45">
      <c r="A194" t="s">
        <v>282</v>
      </c>
      <c r="B194" t="s">
        <v>90</v>
      </c>
      <c r="C194">
        <v>19</v>
      </c>
      <c r="D194">
        <v>0</v>
      </c>
      <c r="E194">
        <v>250</v>
      </c>
    </row>
    <row r="195" spans="1:5" x14ac:dyDescent="0.45">
      <c r="A195" t="s">
        <v>283</v>
      </c>
      <c r="B195" t="s">
        <v>90</v>
      </c>
      <c r="C195">
        <v>19</v>
      </c>
      <c r="D195">
        <v>0</v>
      </c>
      <c r="E195">
        <v>300</v>
      </c>
    </row>
    <row r="196" spans="1:5" x14ac:dyDescent="0.45">
      <c r="A196" t="s">
        <v>284</v>
      </c>
      <c r="B196" t="s">
        <v>90</v>
      </c>
      <c r="C196">
        <v>19</v>
      </c>
      <c r="D196">
        <v>0</v>
      </c>
      <c r="E196">
        <v>350</v>
      </c>
    </row>
    <row r="197" spans="1:5" x14ac:dyDescent="0.45">
      <c r="A197" t="s">
        <v>285</v>
      </c>
      <c r="B197" t="s">
        <v>90</v>
      </c>
      <c r="C197">
        <v>19</v>
      </c>
      <c r="D197">
        <v>0</v>
      </c>
      <c r="E197">
        <v>400</v>
      </c>
    </row>
    <row r="198" spans="1:5" x14ac:dyDescent="0.45">
      <c r="A198" t="s">
        <v>286</v>
      </c>
      <c r="B198" t="s">
        <v>90</v>
      </c>
      <c r="C198">
        <v>19</v>
      </c>
      <c r="D198">
        <v>0</v>
      </c>
      <c r="E198">
        <v>450</v>
      </c>
    </row>
    <row r="199" spans="1:5" x14ac:dyDescent="0.45">
      <c r="A199" t="s">
        <v>287</v>
      </c>
      <c r="B199" t="s">
        <v>90</v>
      </c>
      <c r="C199">
        <v>19</v>
      </c>
      <c r="D199">
        <v>0</v>
      </c>
      <c r="E199">
        <v>500</v>
      </c>
    </row>
    <row r="200" spans="1:5" x14ac:dyDescent="0.45">
      <c r="A200" t="s">
        <v>288</v>
      </c>
      <c r="B200" t="s">
        <v>90</v>
      </c>
      <c r="C200">
        <v>19</v>
      </c>
      <c r="D200">
        <v>0</v>
      </c>
      <c r="E200">
        <v>550</v>
      </c>
    </row>
    <row r="201" spans="1:5" x14ac:dyDescent="0.45">
      <c r="A201" t="s">
        <v>289</v>
      </c>
      <c r="B201" t="s">
        <v>90</v>
      </c>
      <c r="C201">
        <v>19</v>
      </c>
      <c r="D201">
        <v>0</v>
      </c>
      <c r="E201">
        <v>599</v>
      </c>
    </row>
    <row r="202" spans="1:5" x14ac:dyDescent="0.45">
      <c r="A202" t="s">
        <v>290</v>
      </c>
      <c r="B202" t="s">
        <v>90</v>
      </c>
      <c r="C202">
        <v>20</v>
      </c>
      <c r="D202">
        <v>0</v>
      </c>
      <c r="E202">
        <v>25</v>
      </c>
    </row>
    <row r="203" spans="1:5" x14ac:dyDescent="0.45">
      <c r="A203" t="s">
        <v>291</v>
      </c>
      <c r="B203" t="s">
        <v>90</v>
      </c>
      <c r="C203">
        <v>20</v>
      </c>
      <c r="D203">
        <v>0</v>
      </c>
      <c r="E203">
        <v>75</v>
      </c>
    </row>
    <row r="204" spans="1:5" x14ac:dyDescent="0.45">
      <c r="A204" t="s">
        <v>292</v>
      </c>
      <c r="B204" t="s">
        <v>90</v>
      </c>
      <c r="C204">
        <v>20</v>
      </c>
      <c r="D204">
        <v>0</v>
      </c>
      <c r="E204">
        <v>100</v>
      </c>
    </row>
    <row r="205" spans="1:5" x14ac:dyDescent="0.45">
      <c r="A205" t="s">
        <v>293</v>
      </c>
      <c r="B205" t="s">
        <v>90</v>
      </c>
      <c r="C205">
        <v>20</v>
      </c>
      <c r="D205">
        <v>0</v>
      </c>
      <c r="E205">
        <v>150</v>
      </c>
    </row>
    <row r="206" spans="1:5" x14ac:dyDescent="0.45">
      <c r="A206" t="s">
        <v>294</v>
      </c>
      <c r="B206" t="s">
        <v>90</v>
      </c>
      <c r="C206">
        <v>20</v>
      </c>
      <c r="D206">
        <v>0</v>
      </c>
      <c r="E206">
        <v>200</v>
      </c>
    </row>
    <row r="207" spans="1:5" x14ac:dyDescent="0.45">
      <c r="A207" t="s">
        <v>295</v>
      </c>
      <c r="B207" t="s">
        <v>90</v>
      </c>
      <c r="C207">
        <v>20</v>
      </c>
      <c r="D207">
        <v>0</v>
      </c>
      <c r="E207">
        <v>250</v>
      </c>
    </row>
    <row r="208" spans="1:5" x14ac:dyDescent="0.45">
      <c r="A208" t="s">
        <v>296</v>
      </c>
      <c r="B208" t="s">
        <v>90</v>
      </c>
      <c r="C208">
        <v>20</v>
      </c>
      <c r="D208">
        <v>0</v>
      </c>
      <c r="E208">
        <v>300</v>
      </c>
    </row>
    <row r="209" spans="1:5" x14ac:dyDescent="0.45">
      <c r="A209" t="s">
        <v>297</v>
      </c>
      <c r="B209" t="s">
        <v>90</v>
      </c>
      <c r="C209">
        <v>20</v>
      </c>
      <c r="D209">
        <v>0</v>
      </c>
      <c r="E209">
        <v>350</v>
      </c>
    </row>
    <row r="210" spans="1:5" x14ac:dyDescent="0.45">
      <c r="A210" t="s">
        <v>298</v>
      </c>
      <c r="B210" t="s">
        <v>90</v>
      </c>
      <c r="C210">
        <v>20</v>
      </c>
      <c r="D210">
        <v>0</v>
      </c>
      <c r="E210">
        <v>400</v>
      </c>
    </row>
    <row r="211" spans="1:5" x14ac:dyDescent="0.45">
      <c r="A211" t="s">
        <v>299</v>
      </c>
      <c r="B211" t="s">
        <v>90</v>
      </c>
      <c r="C211">
        <v>20</v>
      </c>
      <c r="D211">
        <v>0</v>
      </c>
      <c r="E211">
        <v>450</v>
      </c>
    </row>
    <row r="212" spans="1:5" x14ac:dyDescent="0.45">
      <c r="A212" t="s">
        <v>300</v>
      </c>
      <c r="B212" t="s">
        <v>90</v>
      </c>
      <c r="C212">
        <v>20</v>
      </c>
      <c r="D212">
        <v>0</v>
      </c>
      <c r="E212">
        <v>500</v>
      </c>
    </row>
    <row r="213" spans="1:5" x14ac:dyDescent="0.45">
      <c r="A213" t="s">
        <v>301</v>
      </c>
      <c r="B213" t="s">
        <v>90</v>
      </c>
      <c r="C213">
        <v>20</v>
      </c>
      <c r="D213">
        <v>0</v>
      </c>
      <c r="E213">
        <v>550</v>
      </c>
    </row>
    <row r="214" spans="1:5" x14ac:dyDescent="0.45">
      <c r="A214" t="s">
        <v>302</v>
      </c>
      <c r="B214" t="s">
        <v>90</v>
      </c>
      <c r="C214">
        <v>20</v>
      </c>
      <c r="D214">
        <v>0</v>
      </c>
      <c r="E214">
        <v>599</v>
      </c>
    </row>
    <row r="215" spans="1:5" x14ac:dyDescent="0.45">
      <c r="A215" t="s">
        <v>303</v>
      </c>
      <c r="B215" t="s">
        <v>90</v>
      </c>
      <c r="C215">
        <v>21</v>
      </c>
      <c r="D215">
        <v>0</v>
      </c>
      <c r="E215">
        <v>25</v>
      </c>
    </row>
    <row r="216" spans="1:5" x14ac:dyDescent="0.45">
      <c r="A216" t="s">
        <v>304</v>
      </c>
      <c r="B216" t="s">
        <v>90</v>
      </c>
      <c r="C216">
        <v>21</v>
      </c>
      <c r="D216">
        <v>0</v>
      </c>
      <c r="E216">
        <v>75</v>
      </c>
    </row>
    <row r="217" spans="1:5" x14ac:dyDescent="0.45">
      <c r="A217" t="s">
        <v>305</v>
      </c>
      <c r="B217" t="s">
        <v>90</v>
      </c>
      <c r="C217">
        <v>21</v>
      </c>
      <c r="D217">
        <v>0</v>
      </c>
      <c r="E217">
        <v>100</v>
      </c>
    </row>
    <row r="218" spans="1:5" x14ac:dyDescent="0.45">
      <c r="A218" t="s">
        <v>306</v>
      </c>
      <c r="B218" t="s">
        <v>90</v>
      </c>
      <c r="C218">
        <v>21</v>
      </c>
      <c r="D218">
        <v>0</v>
      </c>
      <c r="E218">
        <v>150</v>
      </c>
    </row>
    <row r="219" spans="1:5" x14ac:dyDescent="0.45">
      <c r="A219" t="s">
        <v>307</v>
      </c>
      <c r="B219" t="s">
        <v>90</v>
      </c>
      <c r="C219">
        <v>21</v>
      </c>
      <c r="D219">
        <v>0</v>
      </c>
      <c r="E219">
        <v>200</v>
      </c>
    </row>
    <row r="220" spans="1:5" x14ac:dyDescent="0.45">
      <c r="A220" t="s">
        <v>308</v>
      </c>
      <c r="B220" t="s">
        <v>90</v>
      </c>
      <c r="C220">
        <v>21</v>
      </c>
      <c r="D220">
        <v>0</v>
      </c>
      <c r="E220">
        <v>250</v>
      </c>
    </row>
    <row r="221" spans="1:5" x14ac:dyDescent="0.45">
      <c r="A221" t="s">
        <v>309</v>
      </c>
      <c r="B221" t="s">
        <v>90</v>
      </c>
      <c r="C221">
        <v>21</v>
      </c>
      <c r="D221">
        <v>0</v>
      </c>
      <c r="E221">
        <v>300</v>
      </c>
    </row>
    <row r="222" spans="1:5" x14ac:dyDescent="0.45">
      <c r="A222" t="s">
        <v>310</v>
      </c>
      <c r="B222" t="s">
        <v>90</v>
      </c>
      <c r="C222">
        <v>21</v>
      </c>
      <c r="D222">
        <v>0</v>
      </c>
      <c r="E222">
        <v>350</v>
      </c>
    </row>
    <row r="223" spans="1:5" x14ac:dyDescent="0.45">
      <c r="A223" t="s">
        <v>311</v>
      </c>
      <c r="B223" t="s">
        <v>90</v>
      </c>
      <c r="C223">
        <v>21</v>
      </c>
      <c r="D223">
        <v>0</v>
      </c>
      <c r="E223">
        <v>400</v>
      </c>
    </row>
    <row r="224" spans="1:5" x14ac:dyDescent="0.45">
      <c r="A224" t="s">
        <v>312</v>
      </c>
      <c r="B224" t="s">
        <v>90</v>
      </c>
      <c r="C224">
        <v>21</v>
      </c>
      <c r="D224">
        <v>0</v>
      </c>
      <c r="E224">
        <v>450</v>
      </c>
    </row>
    <row r="225" spans="1:5" x14ac:dyDescent="0.45">
      <c r="A225" t="s">
        <v>313</v>
      </c>
      <c r="B225" t="s">
        <v>90</v>
      </c>
      <c r="C225">
        <v>21</v>
      </c>
      <c r="D225">
        <v>0</v>
      </c>
      <c r="E225">
        <v>500</v>
      </c>
    </row>
    <row r="226" spans="1:5" x14ac:dyDescent="0.45">
      <c r="A226" t="s">
        <v>314</v>
      </c>
      <c r="B226" t="s">
        <v>90</v>
      </c>
      <c r="C226">
        <v>21</v>
      </c>
      <c r="D226">
        <v>0</v>
      </c>
      <c r="E226">
        <v>550</v>
      </c>
    </row>
    <row r="227" spans="1:5" x14ac:dyDescent="0.45">
      <c r="A227" t="s">
        <v>315</v>
      </c>
      <c r="B227" t="s">
        <v>90</v>
      </c>
      <c r="C227">
        <v>21</v>
      </c>
      <c r="D227">
        <v>0</v>
      </c>
      <c r="E227">
        <v>599</v>
      </c>
    </row>
    <row r="228" spans="1:5" x14ac:dyDescent="0.45">
      <c r="A228" t="s">
        <v>316</v>
      </c>
      <c r="B228" t="s">
        <v>90</v>
      </c>
      <c r="C228">
        <v>22</v>
      </c>
      <c r="D228">
        <v>0</v>
      </c>
      <c r="E228">
        <v>25</v>
      </c>
    </row>
    <row r="229" spans="1:5" x14ac:dyDescent="0.45">
      <c r="A229" t="s">
        <v>317</v>
      </c>
      <c r="B229" t="s">
        <v>90</v>
      </c>
      <c r="C229">
        <v>22</v>
      </c>
      <c r="D229">
        <v>0</v>
      </c>
      <c r="E229">
        <v>75</v>
      </c>
    </row>
    <row r="230" spans="1:5" x14ac:dyDescent="0.45">
      <c r="A230" t="s">
        <v>318</v>
      </c>
      <c r="B230" t="s">
        <v>90</v>
      </c>
      <c r="C230">
        <v>22</v>
      </c>
      <c r="D230">
        <v>0</v>
      </c>
      <c r="E230">
        <v>100</v>
      </c>
    </row>
    <row r="231" spans="1:5" x14ac:dyDescent="0.45">
      <c r="A231" t="s">
        <v>319</v>
      </c>
      <c r="B231" t="s">
        <v>90</v>
      </c>
      <c r="C231">
        <v>22</v>
      </c>
      <c r="D231">
        <v>0</v>
      </c>
      <c r="E231">
        <v>150</v>
      </c>
    </row>
    <row r="232" spans="1:5" x14ac:dyDescent="0.45">
      <c r="A232" t="s">
        <v>320</v>
      </c>
      <c r="B232" t="s">
        <v>90</v>
      </c>
      <c r="C232">
        <v>22</v>
      </c>
      <c r="D232">
        <v>0</v>
      </c>
      <c r="E232">
        <v>200</v>
      </c>
    </row>
    <row r="233" spans="1:5" x14ac:dyDescent="0.45">
      <c r="A233" t="s">
        <v>321</v>
      </c>
      <c r="B233" t="s">
        <v>90</v>
      </c>
      <c r="C233">
        <v>22</v>
      </c>
      <c r="D233">
        <v>0</v>
      </c>
      <c r="E233">
        <v>250</v>
      </c>
    </row>
    <row r="234" spans="1:5" x14ac:dyDescent="0.45">
      <c r="A234" t="s">
        <v>322</v>
      </c>
      <c r="B234" t="s">
        <v>90</v>
      </c>
      <c r="C234">
        <v>22</v>
      </c>
      <c r="D234">
        <v>0</v>
      </c>
      <c r="E234">
        <v>300</v>
      </c>
    </row>
    <row r="235" spans="1:5" x14ac:dyDescent="0.45">
      <c r="A235" t="s">
        <v>323</v>
      </c>
      <c r="B235" t="s">
        <v>90</v>
      </c>
      <c r="C235">
        <v>22</v>
      </c>
      <c r="D235">
        <v>0</v>
      </c>
      <c r="E235">
        <v>350</v>
      </c>
    </row>
    <row r="236" spans="1:5" x14ac:dyDescent="0.45">
      <c r="A236" t="s">
        <v>324</v>
      </c>
      <c r="B236" t="s">
        <v>90</v>
      </c>
      <c r="C236">
        <v>22</v>
      </c>
      <c r="D236">
        <v>0</v>
      </c>
      <c r="E236">
        <v>400</v>
      </c>
    </row>
    <row r="237" spans="1:5" x14ac:dyDescent="0.45">
      <c r="A237" t="s">
        <v>325</v>
      </c>
      <c r="B237" t="s">
        <v>90</v>
      </c>
      <c r="C237">
        <v>22</v>
      </c>
      <c r="D237">
        <v>0</v>
      </c>
      <c r="E237">
        <v>450</v>
      </c>
    </row>
    <row r="238" spans="1:5" x14ac:dyDescent="0.45">
      <c r="A238" t="s">
        <v>326</v>
      </c>
      <c r="B238" t="s">
        <v>90</v>
      </c>
      <c r="C238">
        <v>22</v>
      </c>
      <c r="D238">
        <v>0</v>
      </c>
      <c r="E238">
        <v>500</v>
      </c>
    </row>
    <row r="239" spans="1:5" x14ac:dyDescent="0.45">
      <c r="A239" t="s">
        <v>327</v>
      </c>
      <c r="B239" t="s">
        <v>90</v>
      </c>
      <c r="C239">
        <v>22</v>
      </c>
      <c r="D239">
        <v>0</v>
      </c>
      <c r="E239">
        <v>550</v>
      </c>
    </row>
    <row r="240" spans="1:5" x14ac:dyDescent="0.45">
      <c r="A240" t="s">
        <v>328</v>
      </c>
      <c r="B240" t="s">
        <v>90</v>
      </c>
      <c r="C240">
        <v>22</v>
      </c>
      <c r="D240">
        <v>0</v>
      </c>
      <c r="E240">
        <v>599</v>
      </c>
    </row>
    <row r="241" spans="1:5" x14ac:dyDescent="0.45">
      <c r="A241" t="s">
        <v>329</v>
      </c>
      <c r="B241" t="s">
        <v>90</v>
      </c>
      <c r="C241">
        <v>23</v>
      </c>
      <c r="D241">
        <v>0</v>
      </c>
      <c r="E241">
        <v>25</v>
      </c>
    </row>
    <row r="242" spans="1:5" x14ac:dyDescent="0.45">
      <c r="A242" t="s">
        <v>330</v>
      </c>
      <c r="B242" t="s">
        <v>90</v>
      </c>
      <c r="C242">
        <v>23</v>
      </c>
      <c r="D242">
        <v>0</v>
      </c>
      <c r="E242">
        <v>75</v>
      </c>
    </row>
    <row r="243" spans="1:5" x14ac:dyDescent="0.45">
      <c r="A243" t="s">
        <v>331</v>
      </c>
      <c r="B243" t="s">
        <v>90</v>
      </c>
      <c r="C243">
        <v>23</v>
      </c>
      <c r="D243">
        <v>0</v>
      </c>
      <c r="E243">
        <v>100</v>
      </c>
    </row>
    <row r="244" spans="1:5" x14ac:dyDescent="0.45">
      <c r="A244" t="s">
        <v>332</v>
      </c>
      <c r="B244" t="s">
        <v>90</v>
      </c>
      <c r="C244">
        <v>23</v>
      </c>
      <c r="D244">
        <v>0</v>
      </c>
      <c r="E244">
        <v>150</v>
      </c>
    </row>
    <row r="245" spans="1:5" x14ac:dyDescent="0.45">
      <c r="A245" t="s">
        <v>333</v>
      </c>
      <c r="B245" t="s">
        <v>90</v>
      </c>
      <c r="C245">
        <v>23</v>
      </c>
      <c r="D245">
        <v>0</v>
      </c>
      <c r="E245">
        <v>200</v>
      </c>
    </row>
    <row r="246" spans="1:5" x14ac:dyDescent="0.45">
      <c r="A246" t="s">
        <v>334</v>
      </c>
      <c r="B246" t="s">
        <v>90</v>
      </c>
      <c r="C246">
        <v>23</v>
      </c>
      <c r="D246">
        <v>0</v>
      </c>
      <c r="E246">
        <v>250</v>
      </c>
    </row>
    <row r="247" spans="1:5" x14ac:dyDescent="0.45">
      <c r="A247" t="s">
        <v>335</v>
      </c>
      <c r="B247" t="s">
        <v>90</v>
      </c>
      <c r="C247">
        <v>23</v>
      </c>
      <c r="D247">
        <v>0</v>
      </c>
      <c r="E247">
        <v>300</v>
      </c>
    </row>
    <row r="248" spans="1:5" x14ac:dyDescent="0.45">
      <c r="A248" t="s">
        <v>336</v>
      </c>
      <c r="B248" t="s">
        <v>90</v>
      </c>
      <c r="C248">
        <v>23</v>
      </c>
      <c r="D248">
        <v>0</v>
      </c>
      <c r="E248">
        <v>350</v>
      </c>
    </row>
    <row r="249" spans="1:5" x14ac:dyDescent="0.45">
      <c r="A249" t="s">
        <v>337</v>
      </c>
      <c r="B249" t="s">
        <v>90</v>
      </c>
      <c r="C249">
        <v>23</v>
      </c>
      <c r="D249">
        <v>0</v>
      </c>
      <c r="E249">
        <v>400</v>
      </c>
    </row>
    <row r="250" spans="1:5" x14ac:dyDescent="0.45">
      <c r="A250" t="s">
        <v>338</v>
      </c>
      <c r="B250" t="s">
        <v>90</v>
      </c>
      <c r="C250">
        <v>23</v>
      </c>
      <c r="D250">
        <v>0</v>
      </c>
      <c r="E250">
        <v>450</v>
      </c>
    </row>
    <row r="251" spans="1:5" x14ac:dyDescent="0.45">
      <c r="A251" t="s">
        <v>339</v>
      </c>
      <c r="B251" t="s">
        <v>90</v>
      </c>
      <c r="C251">
        <v>23</v>
      </c>
      <c r="D251">
        <v>0</v>
      </c>
      <c r="E251">
        <v>500</v>
      </c>
    </row>
    <row r="252" spans="1:5" x14ac:dyDescent="0.45">
      <c r="A252" t="s">
        <v>340</v>
      </c>
      <c r="B252" t="s">
        <v>90</v>
      </c>
      <c r="C252">
        <v>23</v>
      </c>
      <c r="D252">
        <v>0</v>
      </c>
      <c r="E252">
        <v>550</v>
      </c>
    </row>
    <row r="253" spans="1:5" x14ac:dyDescent="0.45">
      <c r="A253" t="s">
        <v>341</v>
      </c>
      <c r="B253" t="s">
        <v>90</v>
      </c>
      <c r="C253">
        <v>23</v>
      </c>
      <c r="D253">
        <v>0</v>
      </c>
      <c r="E253">
        <v>599</v>
      </c>
    </row>
    <row r="254" spans="1:5" x14ac:dyDescent="0.45">
      <c r="A254" t="s">
        <v>342</v>
      </c>
      <c r="B254" t="s">
        <v>90</v>
      </c>
      <c r="C254">
        <v>24</v>
      </c>
      <c r="D254">
        <v>0</v>
      </c>
      <c r="E254">
        <v>25</v>
      </c>
    </row>
    <row r="255" spans="1:5" x14ac:dyDescent="0.45">
      <c r="A255" t="s">
        <v>343</v>
      </c>
      <c r="B255" t="s">
        <v>90</v>
      </c>
      <c r="C255">
        <v>24</v>
      </c>
      <c r="D255">
        <v>0</v>
      </c>
      <c r="E255">
        <v>75</v>
      </c>
    </row>
    <row r="256" spans="1:5" x14ac:dyDescent="0.45">
      <c r="A256" t="s">
        <v>344</v>
      </c>
      <c r="B256" t="s">
        <v>90</v>
      </c>
      <c r="C256">
        <v>24</v>
      </c>
      <c r="D256">
        <v>0</v>
      </c>
      <c r="E256">
        <v>100</v>
      </c>
    </row>
    <row r="257" spans="1:5" x14ac:dyDescent="0.45">
      <c r="A257" t="s">
        <v>345</v>
      </c>
      <c r="B257" t="s">
        <v>90</v>
      </c>
      <c r="C257">
        <v>24</v>
      </c>
      <c r="D257">
        <v>0</v>
      </c>
      <c r="E257">
        <v>150</v>
      </c>
    </row>
    <row r="258" spans="1:5" x14ac:dyDescent="0.45">
      <c r="A258" t="s">
        <v>346</v>
      </c>
      <c r="B258" t="s">
        <v>90</v>
      </c>
      <c r="C258">
        <v>24</v>
      </c>
      <c r="D258">
        <v>0</v>
      </c>
      <c r="E258">
        <v>200</v>
      </c>
    </row>
    <row r="259" spans="1:5" x14ac:dyDescent="0.45">
      <c r="A259" t="s">
        <v>347</v>
      </c>
      <c r="B259" t="s">
        <v>90</v>
      </c>
      <c r="C259">
        <v>24</v>
      </c>
      <c r="D259">
        <v>0</v>
      </c>
      <c r="E259">
        <v>250</v>
      </c>
    </row>
    <row r="260" spans="1:5" x14ac:dyDescent="0.45">
      <c r="A260" t="s">
        <v>348</v>
      </c>
      <c r="B260" t="s">
        <v>90</v>
      </c>
      <c r="C260">
        <v>24</v>
      </c>
      <c r="D260">
        <v>0</v>
      </c>
      <c r="E260">
        <v>300</v>
      </c>
    </row>
    <row r="261" spans="1:5" x14ac:dyDescent="0.45">
      <c r="A261" t="s">
        <v>349</v>
      </c>
      <c r="B261" t="s">
        <v>90</v>
      </c>
      <c r="C261">
        <v>24</v>
      </c>
      <c r="D261">
        <v>0</v>
      </c>
      <c r="E261">
        <v>350</v>
      </c>
    </row>
    <row r="262" spans="1:5" x14ac:dyDescent="0.45">
      <c r="A262" t="s">
        <v>350</v>
      </c>
      <c r="B262" t="s">
        <v>90</v>
      </c>
      <c r="C262">
        <v>24</v>
      </c>
      <c r="D262">
        <v>0</v>
      </c>
      <c r="E262">
        <v>400</v>
      </c>
    </row>
    <row r="263" spans="1:5" x14ac:dyDescent="0.45">
      <c r="A263" t="s">
        <v>351</v>
      </c>
      <c r="B263" t="s">
        <v>90</v>
      </c>
      <c r="C263">
        <v>24</v>
      </c>
      <c r="D263">
        <v>0</v>
      </c>
      <c r="E263">
        <v>450</v>
      </c>
    </row>
    <row r="264" spans="1:5" x14ac:dyDescent="0.45">
      <c r="A264" t="s">
        <v>352</v>
      </c>
      <c r="B264" t="s">
        <v>90</v>
      </c>
      <c r="C264">
        <v>24</v>
      </c>
      <c r="D264">
        <v>0</v>
      </c>
      <c r="E264">
        <v>500</v>
      </c>
    </row>
    <row r="265" spans="1:5" x14ac:dyDescent="0.45">
      <c r="A265" t="s">
        <v>353</v>
      </c>
      <c r="B265" t="s">
        <v>90</v>
      </c>
      <c r="C265">
        <v>24</v>
      </c>
      <c r="D265">
        <v>0</v>
      </c>
      <c r="E265">
        <v>550</v>
      </c>
    </row>
    <row r="266" spans="1:5" x14ac:dyDescent="0.45">
      <c r="A266" t="s">
        <v>354</v>
      </c>
      <c r="B266" t="s">
        <v>90</v>
      </c>
      <c r="C266">
        <v>24</v>
      </c>
      <c r="D266">
        <v>0</v>
      </c>
      <c r="E266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workbookViewId="0">
      <selection activeCell="L12" sqref="L12"/>
    </sheetView>
  </sheetViews>
  <sheetFormatPr baseColWidth="10" defaultColWidth="9.06640625" defaultRowHeight="14.25" x14ac:dyDescent="0.45"/>
  <sheetData>
    <row r="1" spans="1:6" x14ac:dyDescent="0.45">
      <c r="A1" s="7" t="s">
        <v>355</v>
      </c>
      <c r="B1" s="7" t="s">
        <v>35</v>
      </c>
      <c r="C1" s="7" t="s">
        <v>86</v>
      </c>
      <c r="D1" s="7" t="s">
        <v>87</v>
      </c>
      <c r="E1" s="7" t="s">
        <v>88</v>
      </c>
      <c r="F1" s="7" t="s">
        <v>356</v>
      </c>
    </row>
    <row r="2" spans="1:6" x14ac:dyDescent="0.45">
      <c r="A2" t="s">
        <v>357</v>
      </c>
      <c r="B2">
        <v>0</v>
      </c>
      <c r="C2">
        <v>12</v>
      </c>
      <c r="D2">
        <v>0</v>
      </c>
      <c r="E2">
        <v>400</v>
      </c>
      <c r="F2" s="4">
        <v>0</v>
      </c>
    </row>
    <row r="3" spans="1:6" x14ac:dyDescent="0.45">
      <c r="A3" t="s">
        <v>357</v>
      </c>
      <c r="B3">
        <v>3600000</v>
      </c>
      <c r="C3">
        <v>12</v>
      </c>
      <c r="D3">
        <v>0</v>
      </c>
      <c r="E3">
        <v>400</v>
      </c>
      <c r="F3" s="4">
        <v>-0.02</v>
      </c>
    </row>
    <row r="4" spans="1:6" x14ac:dyDescent="0.45">
      <c r="A4" t="s">
        <v>357</v>
      </c>
      <c r="B4">
        <v>800000000</v>
      </c>
      <c r="C4">
        <v>12</v>
      </c>
      <c r="D4">
        <v>0</v>
      </c>
      <c r="E4">
        <v>400</v>
      </c>
      <c r="F4" s="4">
        <v>-0.02</v>
      </c>
    </row>
    <row r="5" spans="1:6" x14ac:dyDescent="0.45">
      <c r="A5" t="s">
        <v>358</v>
      </c>
      <c r="B5">
        <v>0</v>
      </c>
      <c r="C5">
        <v>12</v>
      </c>
      <c r="D5">
        <v>0</v>
      </c>
      <c r="E5">
        <v>399</v>
      </c>
      <c r="F5" s="4">
        <v>0</v>
      </c>
    </row>
    <row r="6" spans="1:6" x14ac:dyDescent="0.45">
      <c r="A6" t="s">
        <v>358</v>
      </c>
      <c r="B6">
        <v>3600000</v>
      </c>
      <c r="C6">
        <v>12</v>
      </c>
      <c r="D6">
        <v>0</v>
      </c>
      <c r="E6">
        <v>399</v>
      </c>
      <c r="F6" s="4">
        <v>-0.02</v>
      </c>
    </row>
    <row r="7" spans="1:6" x14ac:dyDescent="0.45">
      <c r="A7" t="s">
        <v>358</v>
      </c>
      <c r="B7">
        <v>800000000</v>
      </c>
      <c r="C7">
        <v>12</v>
      </c>
      <c r="D7">
        <v>0</v>
      </c>
      <c r="E7">
        <v>399</v>
      </c>
      <c r="F7" s="4">
        <v>-0.02</v>
      </c>
    </row>
    <row r="8" spans="1:6" x14ac:dyDescent="0.45">
      <c r="A8" t="s">
        <v>359</v>
      </c>
      <c r="B8">
        <v>0</v>
      </c>
      <c r="C8">
        <v>12</v>
      </c>
      <c r="D8">
        <v>0</v>
      </c>
      <c r="E8">
        <v>401</v>
      </c>
      <c r="F8" s="4">
        <v>0</v>
      </c>
    </row>
    <row r="9" spans="1:6" x14ac:dyDescent="0.45">
      <c r="A9" t="s">
        <v>359</v>
      </c>
      <c r="B9">
        <v>3600000</v>
      </c>
      <c r="C9">
        <v>12</v>
      </c>
      <c r="D9">
        <v>0</v>
      </c>
      <c r="E9">
        <v>401</v>
      </c>
      <c r="F9" s="4">
        <v>-0.02</v>
      </c>
    </row>
    <row r="10" spans="1:6" x14ac:dyDescent="0.45">
      <c r="A10" t="s">
        <v>359</v>
      </c>
      <c r="B10">
        <v>800000000</v>
      </c>
      <c r="C10">
        <v>12</v>
      </c>
      <c r="D10">
        <v>0</v>
      </c>
      <c r="E10">
        <v>401</v>
      </c>
      <c r="F10" s="4">
        <v>-0.02</v>
      </c>
    </row>
    <row r="11" spans="1:6" x14ac:dyDescent="0.45">
      <c r="A11" t="s">
        <v>360</v>
      </c>
      <c r="B11">
        <v>0</v>
      </c>
      <c r="C11">
        <v>12</v>
      </c>
      <c r="D11">
        <v>0</v>
      </c>
      <c r="E11">
        <v>402</v>
      </c>
      <c r="F11" s="4">
        <v>0</v>
      </c>
    </row>
    <row r="12" spans="1:6" x14ac:dyDescent="0.45">
      <c r="A12" t="s">
        <v>360</v>
      </c>
      <c r="B12">
        <v>3600000</v>
      </c>
      <c r="C12">
        <v>12</v>
      </c>
      <c r="D12">
        <v>0</v>
      </c>
      <c r="E12">
        <v>402</v>
      </c>
      <c r="F12" s="4">
        <v>-0.02</v>
      </c>
    </row>
    <row r="13" spans="1:6" x14ac:dyDescent="0.45">
      <c r="A13" t="s">
        <v>360</v>
      </c>
      <c r="B13">
        <v>800000000</v>
      </c>
      <c r="C13">
        <v>12</v>
      </c>
      <c r="D13">
        <v>0</v>
      </c>
      <c r="E13">
        <v>402</v>
      </c>
      <c r="F13" s="4">
        <v>-0.02</v>
      </c>
    </row>
    <row r="14" spans="1:6" x14ac:dyDescent="0.45">
      <c r="A14" t="s">
        <v>361</v>
      </c>
      <c r="B14">
        <v>0</v>
      </c>
      <c r="C14">
        <v>12</v>
      </c>
      <c r="D14">
        <v>0</v>
      </c>
      <c r="E14">
        <v>398</v>
      </c>
      <c r="F14" s="4">
        <v>0</v>
      </c>
    </row>
    <row r="15" spans="1:6" x14ac:dyDescent="0.45">
      <c r="A15" t="s">
        <v>361</v>
      </c>
      <c r="B15">
        <v>3600000</v>
      </c>
      <c r="C15">
        <v>12</v>
      </c>
      <c r="D15">
        <v>0</v>
      </c>
      <c r="E15">
        <v>398</v>
      </c>
      <c r="F15" s="4">
        <v>-0.02</v>
      </c>
    </row>
    <row r="16" spans="1:6" x14ac:dyDescent="0.45">
      <c r="A16" t="s">
        <v>361</v>
      </c>
      <c r="B16">
        <v>800000000</v>
      </c>
      <c r="C16">
        <v>12</v>
      </c>
      <c r="D16">
        <v>0</v>
      </c>
      <c r="E16">
        <v>398</v>
      </c>
      <c r="F16" s="4">
        <v>-0.02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6"/>
  <sheetViews>
    <sheetView workbookViewId="0">
      <selection activeCell="G21" sqref="G21"/>
    </sheetView>
  </sheetViews>
  <sheetFormatPr baseColWidth="10" defaultRowHeight="14.25" x14ac:dyDescent="0.45"/>
  <sheetData>
    <row r="1" spans="1:7" x14ac:dyDescent="0.45">
      <c r="A1" t="s">
        <v>355</v>
      </c>
      <c r="B1" t="s">
        <v>362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</row>
    <row r="2" spans="1:7" x14ac:dyDescent="0.45">
      <c r="A2" t="s">
        <v>357</v>
      </c>
      <c r="B2">
        <v>0</v>
      </c>
      <c r="C2">
        <v>-0.02</v>
      </c>
      <c r="D2">
        <v>-0.2</v>
      </c>
      <c r="E2">
        <v>-1</v>
      </c>
      <c r="F2">
        <v>-2</v>
      </c>
      <c r="G2">
        <v>-3</v>
      </c>
    </row>
    <row r="3" spans="1:7" x14ac:dyDescent="0.45">
      <c r="A3" t="s">
        <v>358</v>
      </c>
      <c r="B3">
        <v>0</v>
      </c>
      <c r="C3">
        <v>-0.02</v>
      </c>
      <c r="D3">
        <v>-0.2</v>
      </c>
      <c r="E3">
        <v>-1</v>
      </c>
      <c r="F3">
        <v>-2</v>
      </c>
      <c r="G3">
        <v>-3</v>
      </c>
    </row>
    <row r="4" spans="1:7" x14ac:dyDescent="0.45">
      <c r="A4" t="s">
        <v>359</v>
      </c>
      <c r="B4">
        <v>0</v>
      </c>
      <c r="C4">
        <v>-0.02</v>
      </c>
      <c r="D4">
        <v>-0.2</v>
      </c>
      <c r="E4">
        <v>-1</v>
      </c>
      <c r="F4">
        <v>-2</v>
      </c>
      <c r="G4">
        <v>-3</v>
      </c>
    </row>
    <row r="5" spans="1:7" x14ac:dyDescent="0.45">
      <c r="A5" t="s">
        <v>360</v>
      </c>
      <c r="B5">
        <v>0</v>
      </c>
      <c r="C5">
        <v>-0.02</v>
      </c>
      <c r="D5">
        <v>-0.2</v>
      </c>
      <c r="E5">
        <v>-1</v>
      </c>
      <c r="F5">
        <v>-2</v>
      </c>
      <c r="G5">
        <v>-3</v>
      </c>
    </row>
    <row r="6" spans="1:7" x14ac:dyDescent="0.45">
      <c r="A6" t="s">
        <v>361</v>
      </c>
      <c r="B6">
        <v>0</v>
      </c>
      <c r="C6">
        <v>-0.02</v>
      </c>
      <c r="D6">
        <v>-0.2</v>
      </c>
      <c r="E6">
        <v>-1</v>
      </c>
      <c r="F6">
        <v>-2</v>
      </c>
      <c r="G6">
        <v>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7"/>
  <sheetViews>
    <sheetView workbookViewId="0">
      <selection activeCell="D2" sqref="D2:D16"/>
    </sheetView>
  </sheetViews>
  <sheetFormatPr baseColWidth="10" defaultRowHeight="14.25" x14ac:dyDescent="0.45"/>
  <cols>
    <col min="3" max="3" width="10.9296875" style="4" customWidth="1"/>
    <col min="9" max="9" width="10.9296875" style="4" customWidth="1"/>
  </cols>
  <sheetData>
    <row r="1" spans="1:6" x14ac:dyDescent="0.45">
      <c r="A1" t="s">
        <v>355</v>
      </c>
      <c r="B1" t="s">
        <v>35</v>
      </c>
      <c r="C1" t="s">
        <v>368</v>
      </c>
      <c r="D1" t="s">
        <v>363</v>
      </c>
      <c r="E1" t="s">
        <v>364</v>
      </c>
      <c r="F1" t="s">
        <v>365</v>
      </c>
    </row>
    <row r="2" spans="1:6" x14ac:dyDescent="0.45">
      <c r="A2" t="s">
        <v>357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45">
      <c r="A3" t="s">
        <v>357</v>
      </c>
      <c r="B3">
        <v>3600000</v>
      </c>
      <c r="C3">
        <v>0</v>
      </c>
      <c r="D3">
        <v>-0.02</v>
      </c>
      <c r="E3">
        <v>-0.2</v>
      </c>
      <c r="F3">
        <v>-1</v>
      </c>
    </row>
    <row r="4" spans="1:6" x14ac:dyDescent="0.45">
      <c r="A4" t="s">
        <v>357</v>
      </c>
      <c r="B4">
        <v>800000000</v>
      </c>
      <c r="C4">
        <v>0</v>
      </c>
      <c r="D4">
        <v>-0.02</v>
      </c>
      <c r="E4">
        <v>-0.2</v>
      </c>
      <c r="F4">
        <v>-1</v>
      </c>
    </row>
    <row r="5" spans="1:6" x14ac:dyDescent="0.45">
      <c r="A5" t="s">
        <v>358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45">
      <c r="A6" t="s">
        <v>358</v>
      </c>
      <c r="B6">
        <v>3600000</v>
      </c>
      <c r="C6">
        <v>0</v>
      </c>
      <c r="D6">
        <v>-0.02</v>
      </c>
      <c r="E6">
        <v>-0.2</v>
      </c>
      <c r="F6">
        <v>-1</v>
      </c>
    </row>
    <row r="7" spans="1:6" x14ac:dyDescent="0.45">
      <c r="A7" t="s">
        <v>358</v>
      </c>
      <c r="B7">
        <v>800000000</v>
      </c>
      <c r="C7">
        <v>0</v>
      </c>
      <c r="D7">
        <v>-0.02</v>
      </c>
      <c r="E7">
        <v>-0.2</v>
      </c>
      <c r="F7">
        <v>-1</v>
      </c>
    </row>
    <row r="8" spans="1:6" x14ac:dyDescent="0.45">
      <c r="A8" t="s">
        <v>359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45">
      <c r="A9" t="s">
        <v>359</v>
      </c>
      <c r="B9">
        <v>3600000</v>
      </c>
      <c r="C9">
        <v>0</v>
      </c>
      <c r="D9">
        <v>-0.02</v>
      </c>
      <c r="E9">
        <v>-0.2</v>
      </c>
      <c r="F9">
        <v>-1</v>
      </c>
    </row>
    <row r="10" spans="1:6" x14ac:dyDescent="0.45">
      <c r="A10" t="s">
        <v>359</v>
      </c>
      <c r="B10">
        <v>800000000</v>
      </c>
      <c r="C10">
        <v>0</v>
      </c>
      <c r="D10">
        <v>-0.02</v>
      </c>
      <c r="E10">
        <v>-0.2</v>
      </c>
      <c r="F10">
        <v>-1</v>
      </c>
    </row>
    <row r="11" spans="1:6" x14ac:dyDescent="0.45">
      <c r="A11" t="s">
        <v>360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45">
      <c r="A12" t="s">
        <v>360</v>
      </c>
      <c r="B12">
        <v>3600000</v>
      </c>
      <c r="C12">
        <v>0</v>
      </c>
      <c r="D12">
        <v>-0.02</v>
      </c>
      <c r="E12">
        <v>-0.2</v>
      </c>
      <c r="F12">
        <v>-1</v>
      </c>
    </row>
    <row r="13" spans="1:6" x14ac:dyDescent="0.45">
      <c r="A13" t="s">
        <v>360</v>
      </c>
      <c r="B13">
        <v>800000000</v>
      </c>
      <c r="C13">
        <v>0</v>
      </c>
      <c r="D13">
        <v>-0.02</v>
      </c>
      <c r="E13">
        <v>-0.2</v>
      </c>
      <c r="F13">
        <v>-1</v>
      </c>
    </row>
    <row r="14" spans="1:6" x14ac:dyDescent="0.45">
      <c r="A14" t="s">
        <v>361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45">
      <c r="A15" t="s">
        <v>361</v>
      </c>
      <c r="B15">
        <v>3600000</v>
      </c>
      <c r="C15">
        <v>0</v>
      </c>
      <c r="D15">
        <v>-0.02</v>
      </c>
      <c r="E15">
        <v>-0.2</v>
      </c>
      <c r="F15">
        <v>-1</v>
      </c>
    </row>
    <row r="16" spans="1:6" x14ac:dyDescent="0.45">
      <c r="A16" t="s">
        <v>361</v>
      </c>
      <c r="B16">
        <v>800000000</v>
      </c>
      <c r="C16">
        <v>0</v>
      </c>
      <c r="D16">
        <v>-0.02</v>
      </c>
      <c r="E16">
        <v>-0.2</v>
      </c>
      <c r="F16">
        <v>-1</v>
      </c>
    </row>
    <row r="18" spans="2:17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21" spans="2:17" x14ac:dyDescent="0.45">
      <c r="B21" s="3"/>
      <c r="C21" s="3"/>
    </row>
    <row r="24" spans="2:17" x14ac:dyDescent="0.45">
      <c r="B24" s="3"/>
      <c r="C24" s="3"/>
    </row>
    <row r="27" spans="2:17" x14ac:dyDescent="0.45">
      <c r="B27" s="3"/>
      <c r="C27" s="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7"/>
  <sheetViews>
    <sheetView workbookViewId="0">
      <selection activeCell="F16" sqref="F16"/>
    </sheetView>
  </sheetViews>
  <sheetFormatPr baseColWidth="10" defaultRowHeight="14.25" x14ac:dyDescent="0.45"/>
  <sheetData>
    <row r="1" spans="1:6" x14ac:dyDescent="0.45">
      <c r="A1" t="s">
        <v>41</v>
      </c>
      <c r="B1" t="s">
        <v>369</v>
      </c>
      <c r="C1" t="s">
        <v>370</v>
      </c>
      <c r="D1" t="s">
        <v>371</v>
      </c>
      <c r="E1" t="s">
        <v>372</v>
      </c>
    </row>
    <row r="2" spans="1:6" x14ac:dyDescent="0.45">
      <c r="A2" s="5" t="s">
        <v>48</v>
      </c>
      <c r="B2" s="2">
        <v>0.1</v>
      </c>
      <c r="C2" s="2">
        <v>1</v>
      </c>
      <c r="D2" s="2">
        <v>10</v>
      </c>
      <c r="E2" s="2">
        <v>100</v>
      </c>
      <c r="F2" s="1"/>
    </row>
    <row r="3" spans="1:6" x14ac:dyDescent="0.45">
      <c r="A3" s="5" t="s">
        <v>54</v>
      </c>
      <c r="B3" s="2">
        <v>0.1</v>
      </c>
      <c r="C3" s="2">
        <v>1</v>
      </c>
      <c r="D3" s="2">
        <v>10</v>
      </c>
      <c r="E3" s="2">
        <v>100</v>
      </c>
      <c r="F3" s="1"/>
    </row>
    <row r="4" spans="1:6" x14ac:dyDescent="0.45">
      <c r="A4" s="5" t="s">
        <v>58</v>
      </c>
      <c r="B4" s="2">
        <v>0.1</v>
      </c>
      <c r="C4" s="2">
        <v>1</v>
      </c>
      <c r="D4" s="2">
        <v>10</v>
      </c>
      <c r="E4" s="2">
        <v>100</v>
      </c>
      <c r="F4" s="1"/>
    </row>
    <row r="5" spans="1:6" x14ac:dyDescent="0.45">
      <c r="A5" s="5" t="s">
        <v>60</v>
      </c>
      <c r="B5" s="2">
        <v>0.1</v>
      </c>
      <c r="C5" s="2">
        <v>1</v>
      </c>
      <c r="D5" s="2">
        <v>10</v>
      </c>
      <c r="E5" s="2">
        <v>100</v>
      </c>
      <c r="F5" s="1"/>
    </row>
    <row r="6" spans="1:6" x14ac:dyDescent="0.45">
      <c r="A6" s="5" t="s">
        <v>62</v>
      </c>
      <c r="B6" s="2">
        <v>0.1</v>
      </c>
      <c r="C6" s="2">
        <v>1</v>
      </c>
      <c r="D6" s="2">
        <v>10</v>
      </c>
      <c r="E6" s="2">
        <v>100</v>
      </c>
    </row>
    <row r="7" spans="1:6" x14ac:dyDescent="0.45">
      <c r="A7" s="5" t="s">
        <v>64</v>
      </c>
      <c r="B7" s="2">
        <v>0.1</v>
      </c>
      <c r="C7" s="2">
        <v>1</v>
      </c>
      <c r="D7" s="2">
        <v>10</v>
      </c>
      <c r="E7" s="2">
        <v>100</v>
      </c>
    </row>
  </sheetData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P364"/>
  <sheetViews>
    <sheetView topLeftCell="Z68" workbookViewId="0">
      <selection activeCell="AD78" sqref="AD78"/>
    </sheetView>
  </sheetViews>
  <sheetFormatPr baseColWidth="10" defaultRowHeight="14.25" x14ac:dyDescent="0.45"/>
  <cols>
    <col min="1" max="1" width="15.46484375" style="4" bestFit="1" customWidth="1"/>
  </cols>
  <sheetData>
    <row r="1" spans="1:37" x14ac:dyDescent="0.45">
      <c r="A1" t="s">
        <v>373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357</v>
      </c>
      <c r="S1">
        <v>0</v>
      </c>
      <c r="U1" t="s">
        <v>373</v>
      </c>
      <c r="V1" t="s">
        <v>35</v>
      </c>
      <c r="W1" t="s">
        <v>36</v>
      </c>
      <c r="X1" t="s">
        <v>37</v>
      </c>
      <c r="Y1" t="s">
        <v>38</v>
      </c>
      <c r="Z1" t="s">
        <v>39</v>
      </c>
      <c r="AA1" t="s">
        <v>40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357</v>
      </c>
      <c r="AK1">
        <v>0</v>
      </c>
    </row>
    <row r="2" spans="1:37" x14ac:dyDescent="0.45">
      <c r="A2" t="s">
        <v>374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357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357</v>
      </c>
      <c r="AK2">
        <v>27000</v>
      </c>
    </row>
    <row r="3" spans="1:37" x14ac:dyDescent="0.45">
      <c r="A3" t="s">
        <v>375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376</v>
      </c>
      <c r="R3" t="s">
        <v>357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377</v>
      </c>
      <c r="AJ3" t="s">
        <v>357</v>
      </c>
      <c r="AK3">
        <v>20000000</v>
      </c>
    </row>
    <row r="4" spans="1:37" x14ac:dyDescent="0.45">
      <c r="A4" t="s">
        <v>378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377</v>
      </c>
      <c r="R4" t="s">
        <v>358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379</v>
      </c>
      <c r="AJ4" t="s">
        <v>358</v>
      </c>
      <c r="AK4">
        <v>0</v>
      </c>
    </row>
    <row r="5" spans="1:37" x14ac:dyDescent="0.45">
      <c r="A5" t="s">
        <v>380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379</v>
      </c>
      <c r="R5" t="s">
        <v>358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381</v>
      </c>
      <c r="AJ5" t="s">
        <v>358</v>
      </c>
      <c r="AK5">
        <v>27000</v>
      </c>
    </row>
    <row r="6" spans="1:37" x14ac:dyDescent="0.45">
      <c r="A6" t="s">
        <v>382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381</v>
      </c>
      <c r="R6" t="s">
        <v>358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358</v>
      </c>
      <c r="AK6">
        <v>20000000</v>
      </c>
    </row>
    <row r="7" spans="1:37" x14ac:dyDescent="0.45">
      <c r="A7" t="s">
        <v>383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359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359</v>
      </c>
      <c r="AK7">
        <v>0</v>
      </c>
    </row>
    <row r="8" spans="1:37" x14ac:dyDescent="0.45">
      <c r="A8" t="s">
        <v>384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359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359</v>
      </c>
      <c r="AK8">
        <v>27000</v>
      </c>
    </row>
    <row r="9" spans="1:37" x14ac:dyDescent="0.45">
      <c r="A9" t="s">
        <v>385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359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359</v>
      </c>
      <c r="AK9">
        <v>20000000</v>
      </c>
    </row>
    <row r="10" spans="1:37" x14ac:dyDescent="0.45">
      <c r="A10" t="s">
        <v>386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360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360</v>
      </c>
      <c r="AK10">
        <v>0</v>
      </c>
    </row>
    <row r="11" spans="1:37" x14ac:dyDescent="0.45">
      <c r="A11" t="s">
        <v>387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360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360</v>
      </c>
      <c r="AK11">
        <v>27000</v>
      </c>
    </row>
    <row r="12" spans="1:37" x14ac:dyDescent="0.45">
      <c r="A12" t="s">
        <v>388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360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360</v>
      </c>
      <c r="AK12">
        <v>20000000</v>
      </c>
    </row>
    <row r="13" spans="1:37" x14ac:dyDescent="0.45">
      <c r="A13" t="s">
        <v>389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361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361</v>
      </c>
      <c r="AK13">
        <v>0</v>
      </c>
    </row>
    <row r="14" spans="1:37" x14ac:dyDescent="0.45">
      <c r="A14" t="s">
        <v>390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361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361</v>
      </c>
      <c r="AK14">
        <v>27000</v>
      </c>
    </row>
    <row r="15" spans="1:37" x14ac:dyDescent="0.45">
      <c r="A15" t="s">
        <v>391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361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361</v>
      </c>
      <c r="AK15">
        <v>20000000</v>
      </c>
    </row>
    <row r="16" spans="1:37" x14ac:dyDescent="0.45">
      <c r="A16" t="s">
        <v>392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393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393</v>
      </c>
      <c r="AK16">
        <v>0</v>
      </c>
    </row>
    <row r="17" spans="1:37" x14ac:dyDescent="0.45">
      <c r="A17" t="s">
        <v>394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393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393</v>
      </c>
      <c r="AK17">
        <v>27000</v>
      </c>
    </row>
    <row r="18" spans="1:37" x14ac:dyDescent="0.45">
      <c r="A18" t="s">
        <v>395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396</v>
      </c>
      <c r="R18" t="s">
        <v>393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393</v>
      </c>
      <c r="AK18">
        <v>20000000</v>
      </c>
    </row>
    <row r="19" spans="1:37" x14ac:dyDescent="0.45">
      <c r="A19" t="s">
        <v>397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398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35</v>
      </c>
      <c r="L20" s="3" t="s">
        <v>36</v>
      </c>
      <c r="M20" s="3" t="s">
        <v>37</v>
      </c>
      <c r="N20" s="3" t="s">
        <v>38</v>
      </c>
      <c r="O20" s="3" t="s">
        <v>39</v>
      </c>
      <c r="P20" s="3" t="s">
        <v>40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399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400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401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402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403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404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405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406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407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408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409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410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411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412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413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414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415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42" x14ac:dyDescent="0.45">
      <c r="A33" t="s">
        <v>416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42" x14ac:dyDescent="0.45">
      <c r="A34" t="s">
        <v>417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42" x14ac:dyDescent="0.45">
      <c r="A35" t="s">
        <v>418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42" x14ac:dyDescent="0.45">
      <c r="A36" t="s">
        <v>419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42" x14ac:dyDescent="0.45">
      <c r="A37" t="s">
        <v>420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42" x14ac:dyDescent="0.45">
      <c r="A38" t="s">
        <v>421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42" x14ac:dyDescent="0.45">
      <c r="A39" t="s">
        <v>422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42" x14ac:dyDescent="0.45">
      <c r="A40" t="s">
        <v>423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42" x14ac:dyDescent="0.45">
      <c r="A41" t="s">
        <v>424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42" x14ac:dyDescent="0.45">
      <c r="A42" t="s">
        <v>425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42" x14ac:dyDescent="0.45">
      <c r="A43" t="s">
        <v>426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42" x14ac:dyDescent="0.45">
      <c r="A44" t="s">
        <v>427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42" x14ac:dyDescent="0.45">
      <c r="A45" t="s">
        <v>428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42" x14ac:dyDescent="0.45">
      <c r="A46" t="s">
        <v>429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355</v>
      </c>
      <c r="AE46" t="s">
        <v>35</v>
      </c>
      <c r="AF46" t="s">
        <v>368</v>
      </c>
      <c r="AG46" t="s">
        <v>363</v>
      </c>
      <c r="AH46" t="s">
        <v>364</v>
      </c>
      <c r="AI46" t="s">
        <v>365</v>
      </c>
      <c r="AJ46" t="s">
        <v>366</v>
      </c>
      <c r="AK46" t="s">
        <v>367</v>
      </c>
      <c r="AL46" t="s">
        <v>430</v>
      </c>
      <c r="AM46" t="s">
        <v>431</v>
      </c>
      <c r="AN46" t="s">
        <v>432</v>
      </c>
      <c r="AO46" t="s">
        <v>433</v>
      </c>
      <c r="AP46" t="s">
        <v>434</v>
      </c>
    </row>
    <row r="47" spans="1:42" x14ac:dyDescent="0.45">
      <c r="A47" t="s">
        <v>435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357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45">
      <c r="A48" t="s">
        <v>436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357</v>
      </c>
      <c r="AE48" s="3">
        <v>3600000</v>
      </c>
      <c r="AF48">
        <v>0</v>
      </c>
      <c r="AG48">
        <v>-0.02</v>
      </c>
      <c r="AH48">
        <v>-0.2</v>
      </c>
      <c r="AI48">
        <v>-1</v>
      </c>
      <c r="AJ48">
        <v>-2</v>
      </c>
      <c r="AK48">
        <v>-3</v>
      </c>
      <c r="AL48">
        <v>-5</v>
      </c>
      <c r="AM48">
        <v>-10</v>
      </c>
      <c r="AN48">
        <v>-20</v>
      </c>
      <c r="AO48">
        <v>-40</v>
      </c>
      <c r="AP48">
        <v>-60</v>
      </c>
    </row>
    <row r="49" spans="1:42" x14ac:dyDescent="0.45">
      <c r="A49" t="s">
        <v>437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357</v>
      </c>
      <c r="AE49">
        <v>400000000</v>
      </c>
      <c r="AF49">
        <v>0</v>
      </c>
      <c r="AG49">
        <v>-0.02</v>
      </c>
      <c r="AH49">
        <v>-0.2</v>
      </c>
      <c r="AI49">
        <v>-1</v>
      </c>
      <c r="AJ49">
        <v>-2</v>
      </c>
      <c r="AK49">
        <v>-3</v>
      </c>
      <c r="AL49">
        <v>-5</v>
      </c>
      <c r="AM49">
        <v>-10</v>
      </c>
      <c r="AN49">
        <v>-20</v>
      </c>
      <c r="AO49">
        <v>-40</v>
      </c>
      <c r="AP49">
        <v>-60</v>
      </c>
    </row>
    <row r="50" spans="1:42" x14ac:dyDescent="0.45">
      <c r="A50" t="s">
        <v>438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358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45">
      <c r="A51" t="s">
        <v>439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358</v>
      </c>
      <c r="AE51" s="3">
        <v>3600000</v>
      </c>
      <c r="AF51">
        <v>0</v>
      </c>
      <c r="AG51">
        <v>-0.02</v>
      </c>
      <c r="AH51">
        <v>-0.2</v>
      </c>
      <c r="AI51">
        <v>-1</v>
      </c>
      <c r="AJ51">
        <v>-2</v>
      </c>
      <c r="AK51">
        <v>-3</v>
      </c>
      <c r="AL51">
        <v>-5</v>
      </c>
      <c r="AM51">
        <v>-10</v>
      </c>
      <c r="AN51">
        <v>-20</v>
      </c>
      <c r="AO51">
        <v>-40</v>
      </c>
      <c r="AP51">
        <v>-60</v>
      </c>
    </row>
    <row r="52" spans="1:42" x14ac:dyDescent="0.45">
      <c r="A52" t="s">
        <v>440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358</v>
      </c>
      <c r="AE52">
        <v>400000000</v>
      </c>
      <c r="AF52">
        <v>0</v>
      </c>
      <c r="AG52">
        <v>-0.02</v>
      </c>
      <c r="AH52">
        <v>-0.2</v>
      </c>
      <c r="AI52">
        <v>-1</v>
      </c>
      <c r="AJ52">
        <v>-2</v>
      </c>
      <c r="AK52">
        <v>-3</v>
      </c>
      <c r="AL52">
        <v>-5</v>
      </c>
      <c r="AM52">
        <v>-10</v>
      </c>
      <c r="AN52">
        <v>-20</v>
      </c>
      <c r="AO52">
        <v>-40</v>
      </c>
      <c r="AP52">
        <v>-60</v>
      </c>
    </row>
    <row r="53" spans="1:42" x14ac:dyDescent="0.45">
      <c r="A53" t="s">
        <v>441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359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45">
      <c r="A54" t="s">
        <v>442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359</v>
      </c>
      <c r="AE54" s="3">
        <v>3600000</v>
      </c>
      <c r="AF54">
        <v>0</v>
      </c>
      <c r="AG54">
        <v>-0.02</v>
      </c>
      <c r="AH54">
        <v>-0.2</v>
      </c>
      <c r="AI54">
        <v>-1</v>
      </c>
      <c r="AJ54">
        <v>-2</v>
      </c>
      <c r="AK54">
        <v>-3</v>
      </c>
      <c r="AL54">
        <v>-5</v>
      </c>
      <c r="AM54">
        <v>-10</v>
      </c>
      <c r="AN54">
        <v>-20</v>
      </c>
      <c r="AO54">
        <v>-40</v>
      </c>
      <c r="AP54">
        <v>-60</v>
      </c>
    </row>
    <row r="55" spans="1:42" x14ac:dyDescent="0.45">
      <c r="A55" t="s">
        <v>443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359</v>
      </c>
      <c r="AE55">
        <v>400000000</v>
      </c>
      <c r="AF55">
        <v>0</v>
      </c>
      <c r="AG55">
        <v>-0.02</v>
      </c>
      <c r="AH55">
        <v>-0.2</v>
      </c>
      <c r="AI55">
        <v>-1</v>
      </c>
      <c r="AJ55">
        <v>-2</v>
      </c>
      <c r="AK55">
        <v>-3</v>
      </c>
      <c r="AL55">
        <v>-5</v>
      </c>
      <c r="AM55">
        <v>-10</v>
      </c>
      <c r="AN55">
        <v>-20</v>
      </c>
      <c r="AO55">
        <v>-40</v>
      </c>
      <c r="AP55">
        <v>-60</v>
      </c>
    </row>
    <row r="56" spans="1:42" x14ac:dyDescent="0.45">
      <c r="A56" t="s">
        <v>444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360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45">
      <c r="A57" t="s">
        <v>445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360</v>
      </c>
      <c r="AE57" s="3">
        <v>3600000</v>
      </c>
      <c r="AF57">
        <v>0</v>
      </c>
      <c r="AG57">
        <v>-0.02</v>
      </c>
      <c r="AH57">
        <v>-0.2</v>
      </c>
      <c r="AI57">
        <v>-1</v>
      </c>
      <c r="AJ57">
        <v>-2</v>
      </c>
      <c r="AK57">
        <v>-3</v>
      </c>
      <c r="AL57">
        <v>-5</v>
      </c>
      <c r="AM57">
        <v>-10</v>
      </c>
      <c r="AN57">
        <v>-20</v>
      </c>
      <c r="AO57">
        <v>-40</v>
      </c>
      <c r="AP57">
        <v>-60</v>
      </c>
    </row>
    <row r="58" spans="1:42" x14ac:dyDescent="0.45">
      <c r="A58" t="s">
        <v>446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360</v>
      </c>
      <c r="AE58">
        <v>400000000</v>
      </c>
      <c r="AF58">
        <v>0</v>
      </c>
      <c r="AG58">
        <v>-0.02</v>
      </c>
      <c r="AH58">
        <v>-0.2</v>
      </c>
      <c r="AI58">
        <v>-1</v>
      </c>
      <c r="AJ58">
        <v>-2</v>
      </c>
      <c r="AK58">
        <v>-3</v>
      </c>
      <c r="AL58">
        <v>-5</v>
      </c>
      <c r="AM58">
        <v>-10</v>
      </c>
      <c r="AN58">
        <v>-20</v>
      </c>
      <c r="AO58">
        <v>-40</v>
      </c>
      <c r="AP58">
        <v>-60</v>
      </c>
    </row>
    <row r="59" spans="1:42" x14ac:dyDescent="0.45">
      <c r="A59" t="s">
        <v>447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361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45">
      <c r="A60" t="s">
        <v>448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361</v>
      </c>
      <c r="AE60" s="3">
        <v>3600000</v>
      </c>
      <c r="AF60">
        <v>0</v>
      </c>
      <c r="AG60">
        <v>-0.02</v>
      </c>
      <c r="AH60">
        <v>-0.2</v>
      </c>
      <c r="AI60">
        <v>-1</v>
      </c>
      <c r="AJ60">
        <v>-2</v>
      </c>
      <c r="AK60">
        <v>-3</v>
      </c>
      <c r="AL60">
        <v>-5</v>
      </c>
      <c r="AM60">
        <v>-10</v>
      </c>
      <c r="AN60">
        <v>-20</v>
      </c>
      <c r="AO60">
        <v>-40</v>
      </c>
      <c r="AP60">
        <v>-60</v>
      </c>
    </row>
    <row r="61" spans="1:42" x14ac:dyDescent="0.45">
      <c r="A61" t="s">
        <v>449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361</v>
      </c>
      <c r="AE61">
        <v>400000000</v>
      </c>
      <c r="AF61">
        <v>0</v>
      </c>
      <c r="AG61">
        <v>-0.02</v>
      </c>
      <c r="AH61">
        <v>-0.2</v>
      </c>
      <c r="AI61">
        <v>-1</v>
      </c>
      <c r="AJ61">
        <v>-2</v>
      </c>
      <c r="AK61">
        <v>-3</v>
      </c>
      <c r="AL61">
        <v>-5</v>
      </c>
      <c r="AM61">
        <v>-10</v>
      </c>
      <c r="AN61">
        <v>-20</v>
      </c>
      <c r="AO61">
        <v>-40</v>
      </c>
      <c r="AP61">
        <v>-60</v>
      </c>
    </row>
    <row r="62" spans="1:42" x14ac:dyDescent="0.45">
      <c r="A62" t="s">
        <v>450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42" x14ac:dyDescent="0.45">
      <c r="A63" t="s">
        <v>451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  <c r="AD63" t="s">
        <v>452</v>
      </c>
    </row>
    <row r="64" spans="1:42" x14ac:dyDescent="0.45">
      <c r="A64" t="s">
        <v>453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  <c r="AD64" t="s">
        <v>28</v>
      </c>
      <c r="AE64" t="s">
        <v>29</v>
      </c>
      <c r="AF64" t="s">
        <v>30</v>
      </c>
      <c r="AG64" t="s">
        <v>31</v>
      </c>
      <c r="AH64" t="s">
        <v>32</v>
      </c>
    </row>
    <row r="65" spans="1:35" x14ac:dyDescent="0.45">
      <c r="A65" t="s">
        <v>454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>
        <v>0</v>
      </c>
      <c r="AE65">
        <v>0</v>
      </c>
      <c r="AF65">
        <v>1</v>
      </c>
      <c r="AG65">
        <v>1</v>
      </c>
      <c r="AH65" t="s">
        <v>33</v>
      </c>
    </row>
    <row r="66" spans="1:35" x14ac:dyDescent="0.45">
      <c r="A66" t="s">
        <v>455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>
        <v>1</v>
      </c>
      <c r="AE66">
        <v>3600000</v>
      </c>
      <c r="AF66">
        <v>1</v>
      </c>
      <c r="AG66">
        <v>1</v>
      </c>
      <c r="AH66" t="s">
        <v>34</v>
      </c>
    </row>
    <row r="67" spans="1:35" x14ac:dyDescent="0.45">
      <c r="A67" t="s">
        <v>456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>
        <v>2</v>
      </c>
      <c r="AE67">
        <v>18000</v>
      </c>
      <c r="AF67">
        <v>600</v>
      </c>
      <c r="AG67">
        <v>1</v>
      </c>
      <c r="AH67" t="s">
        <v>457</v>
      </c>
    </row>
    <row r="68" spans="1:35" x14ac:dyDescent="0.45">
      <c r="A68" t="s">
        <v>458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>
        <v>3</v>
      </c>
      <c r="AE68">
        <v>180000</v>
      </c>
      <c r="AF68">
        <v>500</v>
      </c>
      <c r="AG68">
        <v>1</v>
      </c>
      <c r="AH68" t="s">
        <v>459</v>
      </c>
    </row>
    <row r="69" spans="1:35" x14ac:dyDescent="0.45">
      <c r="A69" t="s">
        <v>460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>
        <v>4</v>
      </c>
      <c r="AE69">
        <v>18000000</v>
      </c>
      <c r="AF69">
        <v>500</v>
      </c>
      <c r="AG69">
        <v>1</v>
      </c>
      <c r="AH69" t="s">
        <v>461</v>
      </c>
    </row>
    <row r="70" spans="1:35" x14ac:dyDescent="0.45">
      <c r="A70" t="s">
        <v>462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>
        <v>5</v>
      </c>
      <c r="AE70">
        <v>360000000</v>
      </c>
      <c r="AF70">
        <v>1000</v>
      </c>
      <c r="AG70">
        <v>1</v>
      </c>
      <c r="AH70" t="s">
        <v>463</v>
      </c>
    </row>
    <row r="71" spans="1:35" x14ac:dyDescent="0.45">
      <c r="A71" t="s">
        <v>464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>
        <v>6</v>
      </c>
      <c r="AE71">
        <v>360000000</v>
      </c>
      <c r="AF71">
        <v>10</v>
      </c>
      <c r="AG71">
        <v>1</v>
      </c>
      <c r="AH71" t="s">
        <v>465</v>
      </c>
    </row>
    <row r="72" spans="1:35" x14ac:dyDescent="0.45">
      <c r="A72" t="s">
        <v>466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</row>
    <row r="73" spans="1:35" x14ac:dyDescent="0.45">
      <c r="A73" t="s">
        <v>467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</row>
    <row r="74" spans="1:35" x14ac:dyDescent="0.45">
      <c r="A74" t="s">
        <v>468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t="s">
        <v>469</v>
      </c>
    </row>
    <row r="75" spans="1:35" x14ac:dyDescent="0.45">
      <c r="A75" t="s">
        <v>470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t="s">
        <v>28</v>
      </c>
      <c r="AE75" t="s">
        <v>29</v>
      </c>
      <c r="AF75" t="s">
        <v>30</v>
      </c>
      <c r="AG75" t="s">
        <v>31</v>
      </c>
      <c r="AH75" t="s">
        <v>471</v>
      </c>
      <c r="AI75" t="s">
        <v>472</v>
      </c>
    </row>
    <row r="76" spans="1:35" x14ac:dyDescent="0.45">
      <c r="A76" t="s">
        <v>473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>
        <v>1</v>
      </c>
      <c r="AE76">
        <v>180000</v>
      </c>
      <c r="AF76">
        <v>200</v>
      </c>
      <c r="AG76">
        <v>1.0255057211429901</v>
      </c>
      <c r="AH76">
        <v>30</v>
      </c>
      <c r="AI76">
        <f>AE76/360</f>
        <v>500</v>
      </c>
    </row>
    <row r="77" spans="1:35" x14ac:dyDescent="0.45">
      <c r="A77" t="s">
        <v>474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>
        <v>2</v>
      </c>
      <c r="AE77">
        <v>1800000</v>
      </c>
      <c r="AF77">
        <v>200</v>
      </c>
      <c r="AG77">
        <v>1.0396382277644101</v>
      </c>
      <c r="AH77">
        <v>30</v>
      </c>
      <c r="AI77">
        <f>AE77/360</f>
        <v>5000</v>
      </c>
    </row>
    <row r="78" spans="1:35" x14ac:dyDescent="0.45">
      <c r="A78" t="s">
        <v>475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>
        <v>3</v>
      </c>
      <c r="AE78">
        <v>18000000</v>
      </c>
      <c r="AF78">
        <v>200</v>
      </c>
      <c r="AG78">
        <v>1.0532256549825301</v>
      </c>
      <c r="AH78">
        <v>30</v>
      </c>
      <c r="AI78">
        <f>AE78/360</f>
        <v>50000</v>
      </c>
    </row>
    <row r="79" spans="1:35" x14ac:dyDescent="0.45">
      <c r="A79" t="s">
        <v>476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>
        <v>4</v>
      </c>
      <c r="AE79">
        <v>180000000</v>
      </c>
      <c r="AF79">
        <v>200</v>
      </c>
      <c r="AG79">
        <v>1.0666174958886401</v>
      </c>
      <c r="AH79">
        <v>30</v>
      </c>
      <c r="AI79">
        <f>AE79/360</f>
        <v>500000</v>
      </c>
    </row>
    <row r="80" spans="1:35" x14ac:dyDescent="0.45">
      <c r="A80" t="s">
        <v>477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>
        <v>5</v>
      </c>
      <c r="AE80">
        <v>720000000</v>
      </c>
      <c r="AF80">
        <v>200</v>
      </c>
      <c r="AG80">
        <v>1.0746477694404</v>
      </c>
      <c r="AH80">
        <v>30</v>
      </c>
      <c r="AI80">
        <f>AE80/360</f>
        <v>2000000</v>
      </c>
    </row>
    <row r="81" spans="1:35" x14ac:dyDescent="0.45">
      <c r="A81" t="s">
        <v>478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</row>
    <row r="82" spans="1:35" x14ac:dyDescent="0.45">
      <c r="A82" t="s">
        <v>479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471</v>
      </c>
      <c r="AI82" s="4" t="s">
        <v>472</v>
      </c>
    </row>
    <row r="83" spans="1:35" x14ac:dyDescent="0.45">
      <c r="A83" t="s">
        <v>480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8">
        <v>1</v>
      </c>
      <c r="AE83" s="4">
        <v>180000</v>
      </c>
      <c r="AF83" s="8">
        <v>200</v>
      </c>
      <c r="AG83" s="8">
        <v>1.0373939999999999</v>
      </c>
      <c r="AH83" s="9">
        <v>1</v>
      </c>
      <c r="AI83" s="4">
        <f>AE83/360</f>
        <v>500</v>
      </c>
    </row>
    <row r="84" spans="1:35" x14ac:dyDescent="0.45">
      <c r="A84" t="s">
        <v>481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8">
        <v>2</v>
      </c>
      <c r="AE84" s="4">
        <v>1800000</v>
      </c>
      <c r="AF84" s="8">
        <v>200</v>
      </c>
      <c r="AG84" s="8">
        <v>1.052738</v>
      </c>
      <c r="AH84" s="9">
        <v>1</v>
      </c>
      <c r="AI84" s="4">
        <f>AE84/360</f>
        <v>5000</v>
      </c>
    </row>
    <row r="85" spans="1:35" x14ac:dyDescent="0.45">
      <c r="A85" t="s">
        <v>482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8">
        <v>3</v>
      </c>
      <c r="AE85" s="4">
        <v>18000000</v>
      </c>
      <c r="AF85" s="8">
        <v>200</v>
      </c>
      <c r="AG85" s="8">
        <v>1.0680700000000001</v>
      </c>
      <c r="AH85" s="9">
        <v>1</v>
      </c>
      <c r="AI85" s="4">
        <f>AE85/360</f>
        <v>50000</v>
      </c>
    </row>
    <row r="86" spans="1:35" x14ac:dyDescent="0.45">
      <c r="A86" t="s">
        <v>483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8">
        <v>4</v>
      </c>
      <c r="AE86" s="4">
        <v>180000000</v>
      </c>
      <c r="AF86" s="8">
        <v>200</v>
      </c>
      <c r="AG86" s="8">
        <v>1.0834010000000001</v>
      </c>
      <c r="AH86" s="9">
        <v>1</v>
      </c>
      <c r="AI86" s="4">
        <f>AE86/360</f>
        <v>500000</v>
      </c>
    </row>
    <row r="87" spans="1:35" x14ac:dyDescent="0.45">
      <c r="A87" t="s">
        <v>484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8">
        <v>5</v>
      </c>
      <c r="AE87" s="4">
        <v>720000000</v>
      </c>
      <c r="AF87" s="8">
        <v>200</v>
      </c>
      <c r="AG87" s="8">
        <v>1.0909169999999999</v>
      </c>
      <c r="AH87" s="9">
        <v>1</v>
      </c>
      <c r="AI87" s="4">
        <f>AE87/360</f>
        <v>2000000</v>
      </c>
    </row>
    <row r="88" spans="1:35" x14ac:dyDescent="0.45">
      <c r="A88" t="s">
        <v>485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35" x14ac:dyDescent="0.45">
      <c r="A89" t="s">
        <v>486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</row>
    <row r="90" spans="1:35" x14ac:dyDescent="0.45">
      <c r="A90" t="s">
        <v>487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</row>
    <row r="91" spans="1:35" x14ac:dyDescent="0.45">
      <c r="A91" t="s">
        <v>488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</row>
    <row r="92" spans="1:35" x14ac:dyDescent="0.45">
      <c r="A92" t="s">
        <v>489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</row>
    <row r="93" spans="1:35" x14ac:dyDescent="0.45">
      <c r="A93" t="s">
        <v>490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</row>
    <row r="94" spans="1:35" x14ac:dyDescent="0.45">
      <c r="A94" t="s">
        <v>491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</row>
    <row r="95" spans="1:35" x14ac:dyDescent="0.45">
      <c r="A95" t="s">
        <v>492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</row>
    <row r="96" spans="1:35" x14ac:dyDescent="0.45">
      <c r="A96" t="s">
        <v>493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</row>
    <row r="97" spans="1:27" x14ac:dyDescent="0.45">
      <c r="A97" t="s">
        <v>494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</row>
    <row r="98" spans="1:27" x14ac:dyDescent="0.45">
      <c r="A98" t="s">
        <v>495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</row>
    <row r="99" spans="1:27" x14ac:dyDescent="0.45">
      <c r="A99" t="s">
        <v>496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</row>
    <row r="100" spans="1:27" x14ac:dyDescent="0.45">
      <c r="A100" t="s">
        <v>497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</row>
    <row r="101" spans="1:27" x14ac:dyDescent="0.45">
      <c r="A101" t="s">
        <v>498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</row>
    <row r="102" spans="1:27" x14ac:dyDescent="0.45">
      <c r="A102" t="s">
        <v>499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</row>
    <row r="103" spans="1:27" x14ac:dyDescent="0.45">
      <c r="A103" t="s">
        <v>500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</row>
    <row r="104" spans="1:27" x14ac:dyDescent="0.45">
      <c r="A104" t="s">
        <v>501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</row>
    <row r="105" spans="1:27" x14ac:dyDescent="0.45">
      <c r="A105" t="s">
        <v>502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</row>
    <row r="106" spans="1:27" x14ac:dyDescent="0.45">
      <c r="A106" t="s">
        <v>503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</row>
    <row r="107" spans="1:27" x14ac:dyDescent="0.45">
      <c r="A107" t="s">
        <v>504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</row>
    <row r="108" spans="1:27" x14ac:dyDescent="0.45">
      <c r="A108" t="s">
        <v>505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</row>
    <row r="109" spans="1:27" x14ac:dyDescent="0.45">
      <c r="A109" t="s">
        <v>506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</row>
    <row r="110" spans="1:27" x14ac:dyDescent="0.45">
      <c r="A110" t="s">
        <v>507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</row>
    <row r="111" spans="1:27" x14ac:dyDescent="0.45">
      <c r="A111" t="s">
        <v>508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</row>
    <row r="112" spans="1:27" x14ac:dyDescent="0.45">
      <c r="A112" t="s">
        <v>509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</row>
    <row r="113" spans="1:27" x14ac:dyDescent="0.45">
      <c r="A113" t="s">
        <v>510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</row>
    <row r="114" spans="1:27" x14ac:dyDescent="0.45">
      <c r="A114" t="s">
        <v>511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</row>
    <row r="115" spans="1:27" x14ac:dyDescent="0.45">
      <c r="A115" t="s">
        <v>512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</row>
    <row r="116" spans="1:27" x14ac:dyDescent="0.45">
      <c r="A116" t="s">
        <v>513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</row>
    <row r="117" spans="1:27" x14ac:dyDescent="0.45">
      <c r="A117" t="s">
        <v>514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</row>
    <row r="118" spans="1:27" x14ac:dyDescent="0.45">
      <c r="A118" t="s">
        <v>515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</row>
    <row r="119" spans="1:27" x14ac:dyDescent="0.45">
      <c r="A119" t="s">
        <v>516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</row>
    <row r="120" spans="1:27" x14ac:dyDescent="0.45">
      <c r="A120" t="s">
        <v>517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</row>
    <row r="121" spans="1:27" x14ac:dyDescent="0.45">
      <c r="A121" t="s">
        <v>518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</row>
    <row r="122" spans="1:27" x14ac:dyDescent="0.45">
      <c r="A122" t="s">
        <v>519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</row>
    <row r="123" spans="1:27" x14ac:dyDescent="0.45">
      <c r="A123" t="s">
        <v>520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</row>
    <row r="124" spans="1:27" x14ac:dyDescent="0.45">
      <c r="A124" t="s">
        <v>521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</row>
    <row r="125" spans="1:27" x14ac:dyDescent="0.45">
      <c r="A125" t="s">
        <v>522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</row>
    <row r="126" spans="1:27" x14ac:dyDescent="0.45">
      <c r="A126" t="s">
        <v>523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</row>
    <row r="127" spans="1:27" x14ac:dyDescent="0.45">
      <c r="A127" t="s">
        <v>524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</row>
    <row r="128" spans="1:27" x14ac:dyDescent="0.45">
      <c r="A128" t="s">
        <v>525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</row>
    <row r="129" spans="1:27" x14ac:dyDescent="0.45">
      <c r="A129" t="s">
        <v>526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</row>
    <row r="130" spans="1:27" x14ac:dyDescent="0.45">
      <c r="A130" t="s">
        <v>527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</row>
    <row r="131" spans="1:27" x14ac:dyDescent="0.45">
      <c r="A131" t="s">
        <v>528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</row>
    <row r="132" spans="1:27" x14ac:dyDescent="0.45">
      <c r="A132" t="s">
        <v>529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</row>
    <row r="133" spans="1:27" x14ac:dyDescent="0.45">
      <c r="A133" t="s">
        <v>530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</row>
    <row r="134" spans="1:27" x14ac:dyDescent="0.45">
      <c r="A134" t="s">
        <v>531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</row>
    <row r="135" spans="1:27" x14ac:dyDescent="0.45">
      <c r="A135" t="s">
        <v>532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</row>
    <row r="136" spans="1:27" x14ac:dyDescent="0.45">
      <c r="A136" t="s">
        <v>533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</row>
    <row r="137" spans="1:27" x14ac:dyDescent="0.45">
      <c r="A137" t="s">
        <v>534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</row>
    <row r="138" spans="1:27" x14ac:dyDescent="0.45">
      <c r="A138" t="s">
        <v>535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</row>
    <row r="139" spans="1:27" x14ac:dyDescent="0.45">
      <c r="A139" t="s">
        <v>536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</row>
    <row r="140" spans="1:27" x14ac:dyDescent="0.45">
      <c r="A140" t="s">
        <v>537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</row>
    <row r="141" spans="1:27" x14ac:dyDescent="0.45">
      <c r="A141" t="s">
        <v>538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</row>
    <row r="142" spans="1:27" x14ac:dyDescent="0.45">
      <c r="A142" t="s">
        <v>539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</row>
    <row r="143" spans="1:27" x14ac:dyDescent="0.45">
      <c r="A143" t="s">
        <v>540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</row>
    <row r="144" spans="1:27" x14ac:dyDescent="0.45">
      <c r="A144" t="s">
        <v>541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27" x14ac:dyDescent="0.45">
      <c r="A145" t="s">
        <v>542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27" x14ac:dyDescent="0.45">
      <c r="A146" t="s">
        <v>543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</row>
    <row r="147" spans="1:27" x14ac:dyDescent="0.45">
      <c r="A147" t="s">
        <v>544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</row>
    <row r="148" spans="1:27" x14ac:dyDescent="0.45">
      <c r="A148" t="s">
        <v>545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</row>
    <row r="149" spans="1:27" x14ac:dyDescent="0.45">
      <c r="A149" t="s">
        <v>546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</row>
    <row r="150" spans="1:27" x14ac:dyDescent="0.45">
      <c r="A150" t="s">
        <v>547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</row>
    <row r="151" spans="1:27" x14ac:dyDescent="0.45">
      <c r="A151" t="s">
        <v>548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</row>
    <row r="152" spans="1:27" x14ac:dyDescent="0.45">
      <c r="A152" t="s">
        <v>549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</row>
    <row r="153" spans="1:27" x14ac:dyDescent="0.45">
      <c r="A153" t="s">
        <v>550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</row>
    <row r="154" spans="1:27" x14ac:dyDescent="0.45">
      <c r="A154" t="s">
        <v>551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</row>
    <row r="155" spans="1:27" x14ac:dyDescent="0.45">
      <c r="A155" t="s">
        <v>552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</row>
    <row r="156" spans="1:27" x14ac:dyDescent="0.45">
      <c r="A156" t="s">
        <v>553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</row>
    <row r="157" spans="1:27" x14ac:dyDescent="0.45">
      <c r="A157" t="s">
        <v>554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</row>
    <row r="158" spans="1:27" x14ac:dyDescent="0.45">
      <c r="A158" t="s">
        <v>555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</row>
    <row r="159" spans="1:27" x14ac:dyDescent="0.45">
      <c r="A159" t="s">
        <v>556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</row>
    <row r="160" spans="1:27" x14ac:dyDescent="0.45">
      <c r="A160" t="s">
        <v>557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</row>
    <row r="161" spans="1:9" x14ac:dyDescent="0.45">
      <c r="A161" t="s">
        <v>558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</row>
    <row r="162" spans="1:9" x14ac:dyDescent="0.45">
      <c r="A162" t="s">
        <v>559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</row>
    <row r="163" spans="1:9" x14ac:dyDescent="0.45">
      <c r="A163" t="s">
        <v>560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9" x14ac:dyDescent="0.45">
      <c r="A164" t="s">
        <v>561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9" x14ac:dyDescent="0.45">
      <c r="A165" t="s">
        <v>562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9" x14ac:dyDescent="0.45">
      <c r="A166" t="s">
        <v>563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9" x14ac:dyDescent="0.45">
      <c r="A167" t="s">
        <v>564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9" x14ac:dyDescent="0.45">
      <c r="A168" t="s">
        <v>565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9" x14ac:dyDescent="0.45">
      <c r="A169" t="s">
        <v>566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9" x14ac:dyDescent="0.45">
      <c r="A170" t="s">
        <v>567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9" x14ac:dyDescent="0.45">
      <c r="A171" t="s">
        <v>568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9" x14ac:dyDescent="0.45">
      <c r="A172" t="s">
        <v>569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9" x14ac:dyDescent="0.45">
      <c r="A173" t="s">
        <v>570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9" x14ac:dyDescent="0.45">
      <c r="A174" t="s">
        <v>571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9" x14ac:dyDescent="0.45">
      <c r="A175" t="s">
        <v>572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9" x14ac:dyDescent="0.45">
      <c r="A176" t="s">
        <v>573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574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575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576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577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578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579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580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581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582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583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584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585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586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587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588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589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590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591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592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593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594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595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596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597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598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599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600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601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602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603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604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605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606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607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608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609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grid</vt:lpstr>
      <vt:lpstr>geometry</vt:lpstr>
      <vt:lpstr>tdis</vt:lpstr>
      <vt:lpstr>transient_recharge</vt:lpstr>
      <vt:lpstr>parameters</vt:lpstr>
      <vt:lpstr>observations</vt:lpstr>
      <vt:lpstr>wells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2025-11-13T12:03:13Z</dcterms:modified>
</cp:coreProperties>
</file>