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"/>
    </mc:Choice>
  </mc:AlternateContent>
  <xr:revisionPtr revIDLastSave="0" documentId="13_ncr:1_{BC2ED8D6-9F64-4364-8E29-86BA27B7F423}" xr6:coauthVersionLast="47" xr6:coauthVersionMax="47" xr10:uidLastSave="{00000000-0000-0000-0000-000000000000}"/>
  <bookViews>
    <workbookView xWindow="735" yWindow="735" windowWidth="21600" windowHeight="11422" firstSheet="6" activeTab="10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<sst xmlns="http://schemas.openxmlformats.org/spreadsheetml/2006/main" count="617" uniqueCount="352">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</sst>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3" sqref="F3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F8" sqref="F8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 s="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 s="4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 s="4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B11" sqref="B11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28" sqref="D28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R5" sqref="R5"/>
    </sheetView>
  </sheetViews>
  <sheetFormatPr baseColWidth="10" defaultColWidth="9.06640625" defaultRowHeight="14.25" x14ac:dyDescent="0.45"/>
  <sheetData>
    <row r="1" spans="1:8" x14ac:dyDescent="0.45">
      <c r="A1" s="7" t="s">
        <v>43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32</v>
      </c>
    </row>
    <row r="2" spans="1:8" x14ac:dyDescent="0.45">
      <c r="A2" s="7" t="s">
        <v>50</v>
      </c>
      <c r="B2">
        <v>0.1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7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7" t="s">
        <v>56</v>
      </c>
      <c r="B4">
        <v>0.1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7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7" t="s">
        <v>60</v>
      </c>
      <c r="B6">
        <v>0.1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7" t="s">
        <v>62</v>
      </c>
      <c r="B7" s="4">
        <v>0.1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7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7" t="s">
        <v>64</v>
      </c>
      <c r="B9" s="4">
        <v>0.1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7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7" t="s">
        <v>66</v>
      </c>
      <c r="B11" s="4">
        <v>0.1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7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7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7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7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7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7" t="s">
        <v>73</v>
      </c>
      <c r="B17">
        <v>1E-4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7" t="s">
        <v>74</v>
      </c>
      <c r="B18">
        <v>1E-4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7" t="s">
        <v>75</v>
      </c>
      <c r="B19">
        <v>1E-4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7" t="s">
        <v>76</v>
      </c>
      <c r="B20">
        <v>1E-4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7" t="s">
        <v>77</v>
      </c>
      <c r="B21">
        <v>1E-4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7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7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7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7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7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7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7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7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7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7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  <row r="32" spans="1:8" x14ac:dyDescent="0.45">
      <c r="A32" s="7" t="s">
        <v>85</v>
      </c>
      <c r="B32">
        <v>0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F17" sqref="F17"/>
    </sheetView>
  </sheetViews>
  <sheetFormatPr baseColWidth="10" defaultRowHeight="14.25" x14ac:dyDescent="0.45"/>
  <cols>
    <col min="1" max="1" width="37" style="4" bestFit="1" customWidth="1"/>
  </cols>
  <sheetData>
    <row r="1" spans="1:5" x14ac:dyDescent="0.45">
      <c r="A1" t="s">
        <v>87</v>
      </c>
      <c r="B1" t="s">
        <v>88</v>
      </c>
      <c r="C1" t="s">
        <v>89</v>
      </c>
      <c r="D1" t="s">
        <v>90</v>
      </c>
      <c r="E1" t="s">
        <v>91</v>
      </c>
    </row>
    <row r="2" spans="1:5" x14ac:dyDescent="0.45">
      <c r="A2" t="s">
        <v>92</v>
      </c>
      <c r="B2" t="s">
        <v>93</v>
      </c>
      <c r="C2">
        <v>1</v>
      </c>
      <c r="D2">
        <v>100</v>
      </c>
      <c r="E2">
        <v>400</v>
      </c>
    </row>
    <row r="3" spans="1:5" x14ac:dyDescent="0.45">
      <c r="A3" t="s">
        <v>94</v>
      </c>
      <c r="B3" t="s">
        <v>93</v>
      </c>
      <c r="C3">
        <v>7</v>
      </c>
      <c r="D3">
        <v>100</v>
      </c>
      <c r="E3">
        <v>400</v>
      </c>
    </row>
    <row r="4" spans="1:5" x14ac:dyDescent="0.45">
      <c r="A4" t="s">
        <v>95</v>
      </c>
      <c r="B4" t="s">
        <v>93</v>
      </c>
      <c r="C4">
        <v>12</v>
      </c>
      <c r="D4">
        <v>100</v>
      </c>
      <c r="E4">
        <v>400</v>
      </c>
    </row>
    <row r="5" spans="1:5" x14ac:dyDescent="0.45">
      <c r="A5" t="s">
        <v>96</v>
      </c>
      <c r="B5" t="s">
        <v>93</v>
      </c>
      <c r="C5">
        <v>17</v>
      </c>
      <c r="D5">
        <v>100</v>
      </c>
      <c r="E5">
        <v>400</v>
      </c>
    </row>
    <row r="6" spans="1:5" x14ac:dyDescent="0.45">
      <c r="A6" t="s">
        <v>97</v>
      </c>
      <c r="B6" t="s">
        <v>93</v>
      </c>
      <c r="C6">
        <v>22</v>
      </c>
      <c r="D6">
        <v>100</v>
      </c>
      <c r="E6">
        <v>400</v>
      </c>
    </row>
    <row r="7" spans="1:5" x14ac:dyDescent="0.45">
      <c r="A7" t="s">
        <v>98</v>
      </c>
      <c r="B7" t="s">
        <v>99</v>
      </c>
      <c r="C7">
        <v>12</v>
      </c>
      <c r="D7">
        <v>100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D23" sqref="D23"/>
    </sheetView>
  </sheetViews>
  <sheetFormatPr baseColWidth="10" defaultColWidth="9.06640625" defaultRowHeight="14.25" x14ac:dyDescent="0.45"/>
  <sheetData>
    <row r="1" spans="1:6" x14ac:dyDescent="0.45">
      <c r="A1" s="6" t="s">
        <v>100</v>
      </c>
      <c r="B1" s="6" t="s">
        <v>37</v>
      </c>
      <c r="C1" s="6" t="s">
        <v>89</v>
      </c>
      <c r="D1" s="6" t="s">
        <v>90</v>
      </c>
      <c r="E1" s="6" t="s">
        <v>91</v>
      </c>
      <c r="F1" s="6" t="s">
        <v>101</v>
      </c>
    </row>
    <row r="2" spans="1:6" x14ac:dyDescent="0.45">
      <c r="A2" t="s">
        <v>102</v>
      </c>
      <c r="B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102</v>
      </c>
      <c r="B3">
        <v>3600000</v>
      </c>
      <c r="C3">
        <v>12</v>
      </c>
      <c r="D3" s="4">
        <v>100</v>
      </c>
      <c r="E3">
        <v>400</v>
      </c>
      <c r="F3" s="4">
        <v>-200</v>
      </c>
    </row>
    <row r="4" spans="1:6" x14ac:dyDescent="0.45">
      <c r="A4" t="s">
        <v>102</v>
      </c>
      <c r="B4" s="3">
        <v>800000000</v>
      </c>
      <c r="C4">
        <v>12</v>
      </c>
      <c r="D4" s="4">
        <v>100</v>
      </c>
      <c r="E4">
        <v>400</v>
      </c>
      <c r="F4" s="4">
        <v>-200</v>
      </c>
    </row>
    <row r="5" spans="1:6" x14ac:dyDescent="0.45">
      <c r="A5" t="s">
        <v>103</v>
      </c>
      <c r="B5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103</v>
      </c>
      <c r="B6">
        <v>3600000</v>
      </c>
      <c r="C6">
        <v>12</v>
      </c>
      <c r="D6" s="4">
        <v>100</v>
      </c>
      <c r="E6">
        <v>399</v>
      </c>
      <c r="F6" s="4">
        <v>-200</v>
      </c>
    </row>
    <row r="7" spans="1:6" x14ac:dyDescent="0.45">
      <c r="A7" t="s">
        <v>103</v>
      </c>
      <c r="B7" s="3">
        <v>800000000</v>
      </c>
      <c r="C7">
        <v>12</v>
      </c>
      <c r="D7" s="4">
        <v>100</v>
      </c>
      <c r="E7">
        <v>399</v>
      </c>
      <c r="F7" s="4">
        <v>-200</v>
      </c>
    </row>
    <row r="8" spans="1:6" x14ac:dyDescent="0.45">
      <c r="A8" t="s">
        <v>104</v>
      </c>
      <c r="B8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104</v>
      </c>
      <c r="B9">
        <v>3600000</v>
      </c>
      <c r="C9">
        <v>12</v>
      </c>
      <c r="D9" s="4">
        <v>100</v>
      </c>
      <c r="E9">
        <v>401</v>
      </c>
      <c r="F9" s="4">
        <v>-200</v>
      </c>
    </row>
    <row r="10" spans="1:6" x14ac:dyDescent="0.45">
      <c r="A10" t="s">
        <v>104</v>
      </c>
      <c r="B10" s="3">
        <v>800000000</v>
      </c>
      <c r="C10">
        <v>12</v>
      </c>
      <c r="D10" s="4">
        <v>100</v>
      </c>
      <c r="E10">
        <v>401</v>
      </c>
      <c r="F10" s="4">
        <v>-200</v>
      </c>
    </row>
    <row r="11" spans="1:6" x14ac:dyDescent="0.45">
      <c r="A11" t="s">
        <v>105</v>
      </c>
      <c r="B11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105</v>
      </c>
      <c r="B12">
        <v>3600000</v>
      </c>
      <c r="C12">
        <v>12</v>
      </c>
      <c r="D12" s="4">
        <v>100</v>
      </c>
      <c r="E12">
        <v>402</v>
      </c>
      <c r="F12" s="4">
        <v>-200</v>
      </c>
    </row>
    <row r="13" spans="1:6" x14ac:dyDescent="0.45">
      <c r="A13" t="s">
        <v>105</v>
      </c>
      <c r="B13" s="3">
        <v>800000000</v>
      </c>
      <c r="C13">
        <v>12</v>
      </c>
      <c r="D13" s="4">
        <v>100</v>
      </c>
      <c r="E13">
        <v>402</v>
      </c>
      <c r="F13" s="4">
        <v>-200</v>
      </c>
    </row>
    <row r="14" spans="1:6" x14ac:dyDescent="0.45">
      <c r="A14" t="s">
        <v>106</v>
      </c>
      <c r="B14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106</v>
      </c>
      <c r="B15">
        <v>3600000</v>
      </c>
      <c r="C15">
        <v>12</v>
      </c>
      <c r="D15" s="4">
        <v>100</v>
      </c>
      <c r="E15">
        <v>398</v>
      </c>
      <c r="F15" s="4">
        <v>-200</v>
      </c>
    </row>
    <row r="16" spans="1:6" x14ac:dyDescent="0.45">
      <c r="A16" t="s">
        <v>106</v>
      </c>
      <c r="B16" s="3">
        <v>800000000</v>
      </c>
      <c r="C16">
        <v>12</v>
      </c>
      <c r="D16" s="4">
        <v>100</v>
      </c>
      <c r="E16">
        <v>398</v>
      </c>
      <c r="F16" s="4">
        <v>-200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topLeftCell="B1" workbookViewId="0">
      <selection activeCell="H8" sqref="H8"/>
    </sheetView>
  </sheetViews>
  <sheetFormatPr baseColWidth="10" defaultRowHeight="14.25" x14ac:dyDescent="0.45"/>
  <sheetData>
    <row r="1" spans="1:12" x14ac:dyDescent="0.45">
      <c r="A1" t="s">
        <v>100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</row>
    <row r="2" spans="1:12" x14ac:dyDescent="0.45">
      <c r="A2" t="s">
        <v>102</v>
      </c>
      <c r="B2" s="4">
        <v>0</v>
      </c>
      <c r="C2" s="4">
        <v>-200</v>
      </c>
      <c r="D2" s="4">
        <v>-2000</v>
      </c>
      <c r="E2" s="4">
        <v>-10000</v>
      </c>
      <c r="F2" s="4">
        <v>-20000</v>
      </c>
      <c r="G2" s="4">
        <v>-100000</v>
      </c>
      <c r="H2" s="4">
        <v>-200000</v>
      </c>
      <c r="I2" s="4">
        <v>-600000</v>
      </c>
      <c r="J2" s="4">
        <v>-1200000</v>
      </c>
      <c r="K2" s="4">
        <v>-2400000</v>
      </c>
      <c r="L2" s="4">
        <v>-4800000</v>
      </c>
    </row>
    <row r="3" spans="1:12" x14ac:dyDescent="0.45">
      <c r="A3" t="s">
        <v>103</v>
      </c>
      <c r="B3" s="4">
        <v>0</v>
      </c>
      <c r="C3" s="4">
        <v>-200</v>
      </c>
      <c r="D3" s="4">
        <v>-2000</v>
      </c>
      <c r="E3" s="4">
        <v>-10000</v>
      </c>
      <c r="F3" s="4">
        <v>-20000</v>
      </c>
      <c r="G3" s="4">
        <v>-100000</v>
      </c>
      <c r="H3" s="4">
        <v>-200000</v>
      </c>
      <c r="I3" s="4">
        <v>-600000</v>
      </c>
      <c r="J3" s="4">
        <v>-1200000</v>
      </c>
      <c r="K3" s="4">
        <v>-2400000</v>
      </c>
      <c r="L3" s="4">
        <v>-4800000</v>
      </c>
    </row>
    <row r="4" spans="1:12" x14ac:dyDescent="0.45">
      <c r="A4" t="s">
        <v>104</v>
      </c>
      <c r="B4" s="4">
        <v>0</v>
      </c>
      <c r="C4" s="4">
        <v>-200</v>
      </c>
      <c r="D4" s="4">
        <v>-2000</v>
      </c>
      <c r="E4" s="4">
        <v>-10000</v>
      </c>
      <c r="F4" s="4">
        <v>-20000</v>
      </c>
      <c r="G4" s="4">
        <v>-100000</v>
      </c>
      <c r="H4" s="4">
        <v>-200000</v>
      </c>
      <c r="I4" s="4">
        <v>-600000</v>
      </c>
      <c r="J4" s="4">
        <v>-1200000</v>
      </c>
      <c r="K4" s="4">
        <v>-2400000</v>
      </c>
      <c r="L4" s="4">
        <v>-4800000</v>
      </c>
    </row>
    <row r="5" spans="1:12" x14ac:dyDescent="0.45">
      <c r="A5" t="s">
        <v>105</v>
      </c>
      <c r="B5" s="4">
        <v>0</v>
      </c>
      <c r="C5" s="4">
        <v>-200</v>
      </c>
      <c r="D5" s="4">
        <v>-2000</v>
      </c>
      <c r="E5" s="4">
        <v>-10000</v>
      </c>
      <c r="F5" s="4">
        <v>-20000</v>
      </c>
      <c r="G5" s="4">
        <v>-100000</v>
      </c>
      <c r="H5" s="4">
        <v>-200000</v>
      </c>
      <c r="I5" s="4">
        <v>-600000</v>
      </c>
      <c r="J5" s="4">
        <v>-1200000</v>
      </c>
      <c r="K5" s="4">
        <v>-2400000</v>
      </c>
      <c r="L5" s="4">
        <v>-4800000</v>
      </c>
    </row>
    <row r="6" spans="1:12" x14ac:dyDescent="0.45">
      <c r="A6" t="s">
        <v>106</v>
      </c>
      <c r="B6" s="4">
        <v>0</v>
      </c>
      <c r="C6" s="4">
        <v>-200</v>
      </c>
      <c r="D6" s="4">
        <v>-2000</v>
      </c>
      <c r="E6" s="4">
        <v>-10000</v>
      </c>
      <c r="F6" s="4">
        <v>-20000</v>
      </c>
      <c r="G6" s="4">
        <v>-100000</v>
      </c>
      <c r="H6" s="4">
        <v>-200000</v>
      </c>
      <c r="I6" s="4">
        <v>-600000</v>
      </c>
      <c r="J6" s="4">
        <v>-1200000</v>
      </c>
      <c r="K6" s="4">
        <v>-2400000</v>
      </c>
      <c r="L6" s="4">
        <v>-4800000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>
      <selection activeCell="C14" sqref="C14"/>
    </sheetView>
  </sheetViews>
  <sheetFormatPr baseColWidth="10" defaultRowHeight="14.25" x14ac:dyDescent="0.45"/>
  <cols>
    <col min="3" max="3" width="10.9296875" style="4" customWidth="1"/>
    <col min="9" max="9" width="10.9296875" style="4" customWidth="1"/>
  </cols>
  <sheetData>
    <row r="1" spans="1:14" x14ac:dyDescent="0.45">
      <c r="A1" t="s">
        <v>100</v>
      </c>
      <c r="B1" t="s">
        <v>37</v>
      </c>
      <c r="C1" t="s">
        <v>118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  <c r="N1" s="4"/>
    </row>
    <row r="2" spans="1:14" x14ac:dyDescent="0.45">
      <c r="A2" t="s">
        <v>102</v>
      </c>
      <c r="B2">
        <v>0</v>
      </c>
      <c r="C2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</row>
    <row r="3" spans="1:14" x14ac:dyDescent="0.45">
      <c r="A3" t="s">
        <v>102</v>
      </c>
      <c r="B3" s="3">
        <v>3600000</v>
      </c>
      <c r="C3">
        <v>0</v>
      </c>
      <c r="D3" s="4">
        <v>-200</v>
      </c>
      <c r="E3" s="4">
        <v>-2000</v>
      </c>
      <c r="F3" s="4">
        <v>-10000</v>
      </c>
      <c r="G3" s="4">
        <v>-20000</v>
      </c>
      <c r="H3" s="4">
        <v>-100000</v>
      </c>
      <c r="I3" s="4">
        <v>-200000</v>
      </c>
      <c r="J3" s="4">
        <v>-600000</v>
      </c>
      <c r="K3" s="4">
        <v>-1200000</v>
      </c>
      <c r="L3" s="4">
        <v>-2400000</v>
      </c>
      <c r="M3" s="4">
        <v>-4800000</v>
      </c>
      <c r="N3" s="4"/>
    </row>
    <row r="4" spans="1:14" x14ac:dyDescent="0.45">
      <c r="A4" t="s">
        <v>102</v>
      </c>
      <c r="B4" s="3">
        <v>800000000</v>
      </c>
      <c r="C4">
        <v>0</v>
      </c>
      <c r="D4" s="4">
        <v>-200</v>
      </c>
      <c r="E4" s="4">
        <v>-2000</v>
      </c>
      <c r="F4" s="4">
        <v>-10000</v>
      </c>
      <c r="G4" s="4">
        <v>-20000</v>
      </c>
      <c r="H4" s="4">
        <v>-100000</v>
      </c>
      <c r="I4" s="4">
        <v>-200000</v>
      </c>
      <c r="J4" s="4">
        <v>-600000</v>
      </c>
      <c r="K4" s="4">
        <v>-1200000</v>
      </c>
      <c r="L4" s="4">
        <v>-2400000</v>
      </c>
      <c r="M4" s="4">
        <v>-4800000</v>
      </c>
      <c r="N4" s="4"/>
    </row>
    <row r="5" spans="1:14" x14ac:dyDescent="0.45">
      <c r="A5" t="s">
        <v>103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/>
    </row>
    <row r="6" spans="1:14" x14ac:dyDescent="0.45">
      <c r="A6" t="s">
        <v>103</v>
      </c>
      <c r="B6" s="3">
        <v>3600000</v>
      </c>
      <c r="C6">
        <v>0</v>
      </c>
      <c r="D6" s="4">
        <v>-200</v>
      </c>
      <c r="E6" s="4">
        <v>-2000</v>
      </c>
      <c r="F6" s="4">
        <v>-10000</v>
      </c>
      <c r="G6" s="4">
        <v>-20000</v>
      </c>
      <c r="H6" s="4">
        <v>-100000</v>
      </c>
      <c r="I6" s="4">
        <v>-200000</v>
      </c>
      <c r="J6" s="4">
        <v>-600000</v>
      </c>
      <c r="K6" s="4">
        <v>-1200000</v>
      </c>
      <c r="L6" s="4">
        <v>-2400000</v>
      </c>
      <c r="M6" s="4">
        <v>-4800000</v>
      </c>
      <c r="N6" s="4"/>
    </row>
    <row r="7" spans="1:14" x14ac:dyDescent="0.45">
      <c r="A7" t="s">
        <v>103</v>
      </c>
      <c r="B7" s="3">
        <v>800000000</v>
      </c>
      <c r="C7">
        <v>0</v>
      </c>
      <c r="D7" s="4">
        <v>-200</v>
      </c>
      <c r="E7" s="4">
        <v>-2000</v>
      </c>
      <c r="F7" s="4">
        <v>-10000</v>
      </c>
      <c r="G7" s="4">
        <v>-20000</v>
      </c>
      <c r="H7" s="4">
        <v>-100000</v>
      </c>
      <c r="I7" s="4">
        <v>-200000</v>
      </c>
      <c r="J7" s="4">
        <v>-600000</v>
      </c>
      <c r="K7" s="4">
        <v>-1200000</v>
      </c>
      <c r="L7" s="4">
        <v>-2400000</v>
      </c>
      <c r="M7" s="4">
        <v>-4800000</v>
      </c>
      <c r="N7" s="4"/>
    </row>
    <row r="8" spans="1:14" x14ac:dyDescent="0.45">
      <c r="A8" t="s">
        <v>104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/>
    </row>
    <row r="9" spans="1:14" x14ac:dyDescent="0.45">
      <c r="A9" t="s">
        <v>104</v>
      </c>
      <c r="B9" s="3">
        <v>3600000</v>
      </c>
      <c r="C9">
        <v>0</v>
      </c>
      <c r="D9" s="4">
        <v>-200</v>
      </c>
      <c r="E9" s="4">
        <v>-2000</v>
      </c>
      <c r="F9" s="4">
        <v>-10000</v>
      </c>
      <c r="G9" s="4">
        <v>-20000</v>
      </c>
      <c r="H9" s="4">
        <v>-100000</v>
      </c>
      <c r="I9" s="4">
        <v>-200000</v>
      </c>
      <c r="J9" s="4">
        <v>-600000</v>
      </c>
      <c r="K9" s="4">
        <v>-1200000</v>
      </c>
      <c r="L9" s="4">
        <v>-2400000</v>
      </c>
      <c r="M9" s="4">
        <v>-4800000</v>
      </c>
      <c r="N9" s="4"/>
    </row>
    <row r="10" spans="1:14" x14ac:dyDescent="0.45">
      <c r="A10" t="s">
        <v>104</v>
      </c>
      <c r="B10" s="3">
        <v>800000000</v>
      </c>
      <c r="C10">
        <v>0</v>
      </c>
      <c r="D10" s="4">
        <v>-200</v>
      </c>
      <c r="E10" s="4">
        <v>-2000</v>
      </c>
      <c r="F10" s="4">
        <v>-10000</v>
      </c>
      <c r="G10" s="4">
        <v>-20000</v>
      </c>
      <c r="H10" s="4">
        <v>-100000</v>
      </c>
      <c r="I10" s="4">
        <v>-200000</v>
      </c>
      <c r="J10" s="4">
        <v>-600000</v>
      </c>
      <c r="K10" s="4">
        <v>-1200000</v>
      </c>
      <c r="L10" s="4">
        <v>-2400000</v>
      </c>
      <c r="M10" s="4">
        <v>-4800000</v>
      </c>
      <c r="N10" s="4"/>
    </row>
    <row r="11" spans="1:14" x14ac:dyDescent="0.45">
      <c r="A11" t="s">
        <v>105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/>
    </row>
    <row r="12" spans="1:14" x14ac:dyDescent="0.45">
      <c r="A12" t="s">
        <v>105</v>
      </c>
      <c r="B12" s="3">
        <v>3600000</v>
      </c>
      <c r="C12">
        <v>0</v>
      </c>
      <c r="D12" s="4">
        <v>-200</v>
      </c>
      <c r="E12" s="4">
        <v>-2000</v>
      </c>
      <c r="F12" s="4">
        <v>-10000</v>
      </c>
      <c r="G12" s="4">
        <v>-20000</v>
      </c>
      <c r="H12" s="4">
        <v>-100000</v>
      </c>
      <c r="I12" s="4">
        <v>-200000</v>
      </c>
      <c r="J12" s="4">
        <v>-600000</v>
      </c>
      <c r="K12" s="4">
        <v>-1200000</v>
      </c>
      <c r="L12" s="4">
        <v>-2400000</v>
      </c>
      <c r="M12" s="4">
        <v>-4800000</v>
      </c>
      <c r="N12" s="4"/>
    </row>
    <row r="13" spans="1:14" x14ac:dyDescent="0.45">
      <c r="A13" t="s">
        <v>105</v>
      </c>
      <c r="B13" s="3">
        <v>800000000</v>
      </c>
      <c r="C13">
        <v>0</v>
      </c>
      <c r="D13" s="4">
        <v>-200</v>
      </c>
      <c r="E13" s="4">
        <v>-2000</v>
      </c>
      <c r="F13" s="4">
        <v>-10000</v>
      </c>
      <c r="G13" s="4">
        <v>-20000</v>
      </c>
      <c r="H13" s="4">
        <v>-100000</v>
      </c>
      <c r="I13" s="4">
        <v>-200000</v>
      </c>
      <c r="J13" s="4">
        <v>-600000</v>
      </c>
      <c r="K13" s="4">
        <v>-1200000</v>
      </c>
      <c r="L13" s="4">
        <v>-2400000</v>
      </c>
      <c r="M13" s="4">
        <v>-4800000</v>
      </c>
      <c r="N13" s="4"/>
    </row>
    <row r="14" spans="1:14" x14ac:dyDescent="0.45">
      <c r="A14" t="s">
        <v>106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/>
    </row>
    <row r="15" spans="1:14" x14ac:dyDescent="0.45">
      <c r="A15" t="s">
        <v>106</v>
      </c>
      <c r="B15" s="3">
        <v>3600000</v>
      </c>
      <c r="C15">
        <v>0</v>
      </c>
      <c r="D15" s="4">
        <v>-200</v>
      </c>
      <c r="E15" s="4">
        <v>-2000</v>
      </c>
      <c r="F15" s="4">
        <v>-10000</v>
      </c>
      <c r="G15" s="4">
        <v>-20000</v>
      </c>
      <c r="H15" s="4">
        <v>-100000</v>
      </c>
      <c r="I15" s="4">
        <v>-200000</v>
      </c>
      <c r="J15" s="4">
        <v>-600000</v>
      </c>
      <c r="K15" s="4">
        <v>-1200000</v>
      </c>
      <c r="L15" s="4">
        <v>-2400000</v>
      </c>
      <c r="M15" s="4">
        <v>-4800000</v>
      </c>
      <c r="N15" s="4"/>
    </row>
    <row r="16" spans="1:14" x14ac:dyDescent="0.45">
      <c r="A16" t="s">
        <v>106</v>
      </c>
      <c r="B16" s="3">
        <v>800000000</v>
      </c>
      <c r="C16">
        <v>0</v>
      </c>
      <c r="D16" s="4">
        <v>-200</v>
      </c>
      <c r="E16" s="4">
        <v>-2000</v>
      </c>
      <c r="F16" s="4">
        <v>-10000</v>
      </c>
      <c r="G16" s="4">
        <v>-20000</v>
      </c>
      <c r="H16" s="4">
        <v>-100000</v>
      </c>
      <c r="I16" s="4">
        <v>-200000</v>
      </c>
      <c r="J16" s="4">
        <v>-600000</v>
      </c>
      <c r="K16" s="4">
        <v>-1200000</v>
      </c>
      <c r="L16" s="4">
        <v>-2400000</v>
      </c>
      <c r="M16" s="4">
        <v>-4800000</v>
      </c>
      <c r="N16" s="4"/>
    </row>
    <row r="17" spans="2:17" x14ac:dyDescent="0.45">
      <c r="N17" s="4"/>
    </row>
    <row r="18" spans="2:17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2:17" x14ac:dyDescent="0.45"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2:17" x14ac:dyDescent="0.45"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2:17" x14ac:dyDescent="0.45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2:17" x14ac:dyDescent="0.45"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7" x14ac:dyDescent="0.45"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7" x14ac:dyDescent="0.45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7" x14ac:dyDescent="0.4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7" x14ac:dyDescent="0.45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7" x14ac:dyDescent="0.4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7" x14ac:dyDescent="0.45"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7" x14ac:dyDescent="0.45"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7" x14ac:dyDescent="0.45"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7" x14ac:dyDescent="0.45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7" x14ac:dyDescent="0.4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4:14" x14ac:dyDescent="0.45">
      <c r="D33" s="3"/>
      <c r="N33" s="4"/>
    </row>
    <row r="34" spans="4:14" x14ac:dyDescent="0.45"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4:14" x14ac:dyDescent="0.45">
      <c r="D35" s="3"/>
      <c r="N35" s="4"/>
    </row>
    <row r="36" spans="4:14" x14ac:dyDescent="0.45">
      <c r="D36" s="3"/>
      <c r="N36" s="4"/>
    </row>
    <row r="37" spans="4:14" x14ac:dyDescent="0.45">
      <c r="D37" s="3"/>
    </row>
    <row r="38" spans="4:14" x14ac:dyDescent="0.45">
      <c r="D38" s="3"/>
    </row>
    <row r="39" spans="4:14" x14ac:dyDescent="0.45">
      <c r="D39" s="3"/>
    </row>
    <row r="40" spans="4:14" x14ac:dyDescent="0.45">
      <c r="D40" s="3"/>
    </row>
    <row r="41" spans="4:14" x14ac:dyDescent="0.45">
      <c r="D41" s="3"/>
    </row>
    <row r="42" spans="4:14" x14ac:dyDescent="0.45">
      <c r="D42" s="3"/>
    </row>
    <row r="43" spans="4:14" x14ac:dyDescent="0.45">
      <c r="D43" s="3"/>
    </row>
    <row r="44" spans="4:14" x14ac:dyDescent="0.45">
      <c r="D44" s="3"/>
    </row>
    <row r="45" spans="4:14" x14ac:dyDescent="0.45">
      <c r="D4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27" sqref="F27"/>
    </sheetView>
  </sheetViews>
  <sheetFormatPr baseColWidth="10" defaultRowHeight="14.25" x14ac:dyDescent="0.45"/>
  <sheetData>
    <row r="1" spans="1:6" x14ac:dyDescent="0.45">
      <c r="A1" t="s">
        <v>43</v>
      </c>
      <c r="B1" t="s">
        <v>119</v>
      </c>
      <c r="C1" t="s">
        <v>120</v>
      </c>
      <c r="D1" t="s">
        <v>121</v>
      </c>
      <c r="E1" t="s">
        <v>122</v>
      </c>
    </row>
    <row r="2" spans="1:6" x14ac:dyDescent="0.45">
      <c r="A2" s="5" t="s">
        <v>50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45">
      <c r="A3" s="5" t="s">
        <v>56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45">
      <c r="A4" s="5" t="s">
        <v>60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45">
      <c r="A5" s="5" t="s">
        <v>62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45">
      <c r="A6" s="5" t="s">
        <v>64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45">
      <c r="A7" s="5" t="s">
        <v>66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abSelected="1" topLeftCell="Z51" workbookViewId="0">
      <selection activeCell="AC80" sqref="AC80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123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102</v>
      </c>
      <c r="S1">
        <v>0</v>
      </c>
      <c r="U1" t="s">
        <v>123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102</v>
      </c>
      <c r="AK1">
        <v>0</v>
      </c>
    </row>
    <row r="2" spans="1:37" x14ac:dyDescent="0.45">
      <c r="A2" t="s">
        <v>124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102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102</v>
      </c>
      <c r="AK2">
        <v>27000</v>
      </c>
    </row>
    <row r="3" spans="1:37" x14ac:dyDescent="0.45">
      <c r="A3" t="s">
        <v>125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126</v>
      </c>
      <c r="R3" t="s">
        <v>102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127</v>
      </c>
      <c r="AJ3" t="s">
        <v>102</v>
      </c>
      <c r="AK3">
        <v>20000000</v>
      </c>
    </row>
    <row r="4" spans="1:37" x14ac:dyDescent="0.45">
      <c r="A4" t="s">
        <v>128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127</v>
      </c>
      <c r="R4" t="s">
        <v>103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129</v>
      </c>
      <c r="AJ4" t="s">
        <v>103</v>
      </c>
      <c r="AK4">
        <v>0</v>
      </c>
    </row>
    <row r="5" spans="1:37" x14ac:dyDescent="0.45">
      <c r="A5" t="s">
        <v>130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129</v>
      </c>
      <c r="R5" t="s">
        <v>103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131</v>
      </c>
      <c r="AJ5" t="s">
        <v>103</v>
      </c>
      <c r="AK5">
        <v>27000</v>
      </c>
    </row>
    <row r="6" spans="1:37" x14ac:dyDescent="0.45">
      <c r="A6" t="s">
        <v>132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131</v>
      </c>
      <c r="R6" t="s">
        <v>103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103</v>
      </c>
      <c r="AK6">
        <v>20000000</v>
      </c>
    </row>
    <row r="7" spans="1:37" x14ac:dyDescent="0.45">
      <c r="A7" t="s">
        <v>133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104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104</v>
      </c>
      <c r="AK7">
        <v>0</v>
      </c>
    </row>
    <row r="8" spans="1:37" x14ac:dyDescent="0.45">
      <c r="A8" t="s">
        <v>134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104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104</v>
      </c>
      <c r="AK8">
        <v>27000</v>
      </c>
    </row>
    <row r="9" spans="1:37" x14ac:dyDescent="0.45">
      <c r="A9" t="s">
        <v>135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104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104</v>
      </c>
      <c r="AK9">
        <v>20000000</v>
      </c>
    </row>
    <row r="10" spans="1:37" x14ac:dyDescent="0.45">
      <c r="A10" t="s">
        <v>136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105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105</v>
      </c>
      <c r="AK10">
        <v>0</v>
      </c>
    </row>
    <row r="11" spans="1:37" x14ac:dyDescent="0.45">
      <c r="A11" t="s">
        <v>137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105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105</v>
      </c>
      <c r="AK11">
        <v>27000</v>
      </c>
    </row>
    <row r="12" spans="1:37" x14ac:dyDescent="0.45">
      <c r="A12" t="s">
        <v>138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105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105</v>
      </c>
      <c r="AK12">
        <v>20000000</v>
      </c>
    </row>
    <row r="13" spans="1:37" x14ac:dyDescent="0.45">
      <c r="A13" t="s">
        <v>139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106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106</v>
      </c>
      <c r="AK13">
        <v>0</v>
      </c>
    </row>
    <row r="14" spans="1:37" x14ac:dyDescent="0.45">
      <c r="A14" t="s">
        <v>140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106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106</v>
      </c>
      <c r="AK14">
        <v>27000</v>
      </c>
    </row>
    <row r="15" spans="1:37" x14ac:dyDescent="0.45">
      <c r="A15" t="s">
        <v>141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106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106</v>
      </c>
      <c r="AK15">
        <v>20000000</v>
      </c>
    </row>
    <row r="16" spans="1:37" x14ac:dyDescent="0.45">
      <c r="A16" t="s">
        <v>142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143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143</v>
      </c>
      <c r="AK16">
        <v>0</v>
      </c>
    </row>
    <row r="17" spans="1:37" x14ac:dyDescent="0.45">
      <c r="A17" t="s">
        <v>144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143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143</v>
      </c>
      <c r="AK17">
        <v>27000</v>
      </c>
    </row>
    <row r="18" spans="1:37" x14ac:dyDescent="0.45">
      <c r="A18" t="s">
        <v>145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146</v>
      </c>
      <c r="R18" t="s">
        <v>143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143</v>
      </c>
      <c r="AK18">
        <v>20000000</v>
      </c>
    </row>
    <row r="19" spans="1:37" x14ac:dyDescent="0.45">
      <c r="A19" t="s">
        <v>147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148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149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150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151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152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153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154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155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156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157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158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159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160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161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162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163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164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165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166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167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168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169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170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171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172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173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174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175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176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177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178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179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100</v>
      </c>
      <c r="AE46" t="s">
        <v>37</v>
      </c>
      <c r="AF46" t="s">
        <v>118</v>
      </c>
      <c r="AG46" t="s">
        <v>108</v>
      </c>
      <c r="AH46" t="s">
        <v>109</v>
      </c>
      <c r="AI46" t="s">
        <v>110</v>
      </c>
      <c r="AJ46" t="s">
        <v>111</v>
      </c>
      <c r="AK46" t="s">
        <v>112</v>
      </c>
      <c r="AL46" t="s">
        <v>113</v>
      </c>
      <c r="AM46" t="s">
        <v>114</v>
      </c>
    </row>
    <row r="47" spans="1:39" x14ac:dyDescent="0.45">
      <c r="A47" t="s">
        <v>180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102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181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102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182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102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183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103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184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103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185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103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186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104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187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104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188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104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189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105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190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105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191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105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192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106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193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106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194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106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195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196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197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35" x14ac:dyDescent="0.45">
      <c r="A65" t="s">
        <v>198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348</v>
      </c>
    </row>
    <row r="66" spans="1:35" x14ac:dyDescent="0.45">
      <c r="A66" t="s">
        <v>199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35" x14ac:dyDescent="0.45">
      <c r="A67" t="s">
        <v>200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35" x14ac:dyDescent="0.45">
      <c r="A68" t="s">
        <v>201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35" x14ac:dyDescent="0.45">
      <c r="A69" t="s">
        <v>202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</row>
    <row r="70" spans="1:35" x14ac:dyDescent="0.45">
      <c r="A70" t="s">
        <v>203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</row>
    <row r="71" spans="1:35" x14ac:dyDescent="0.45">
      <c r="A71" t="s">
        <v>204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346</v>
      </c>
    </row>
    <row r="72" spans="1:35" x14ac:dyDescent="0.45">
      <c r="A72" t="s">
        <v>205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347</v>
      </c>
    </row>
    <row r="73" spans="1:35" x14ac:dyDescent="0.45">
      <c r="A73" t="s">
        <v>206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35" x14ac:dyDescent="0.45">
      <c r="A74" t="s">
        <v>207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349</v>
      </c>
      <c r="AE74" s="4"/>
      <c r="AF74" s="4"/>
      <c r="AG74" s="4"/>
      <c r="AH74" s="4"/>
      <c r="AI74" s="4"/>
    </row>
    <row r="75" spans="1:35" x14ac:dyDescent="0.45">
      <c r="A75" t="s">
        <v>208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350</v>
      </c>
      <c r="AI75" s="4" t="s">
        <v>351</v>
      </c>
    </row>
    <row r="76" spans="1:35" x14ac:dyDescent="0.45">
      <c r="A76" t="s">
        <v>209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</row>
    <row r="77" spans="1:35" x14ac:dyDescent="0.45">
      <c r="A77" t="s">
        <v>210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</row>
    <row r="78" spans="1:35" x14ac:dyDescent="0.45">
      <c r="A78" t="s">
        <v>211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</row>
    <row r="79" spans="1:35" x14ac:dyDescent="0.45">
      <c r="A79" t="s">
        <v>212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</row>
    <row r="80" spans="1:35" x14ac:dyDescent="0.45">
      <c r="A80" t="s">
        <v>213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</row>
    <row r="81" spans="1:35" x14ac:dyDescent="0.45">
      <c r="A81" t="s">
        <v>214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</row>
    <row r="82" spans="1:35" x14ac:dyDescent="0.45">
      <c r="A82" t="s">
        <v>215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350</v>
      </c>
      <c r="AI82" s="4" t="s">
        <v>351</v>
      </c>
    </row>
    <row r="83" spans="1:35" x14ac:dyDescent="0.45">
      <c r="A83" t="s">
        <v>216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8">
        <v>1</v>
      </c>
      <c r="AE83" s="4">
        <v>180000</v>
      </c>
      <c r="AF83" s="8">
        <v>200</v>
      </c>
      <c r="AG83" s="8">
        <v>1.0373939999999999</v>
      </c>
      <c r="AH83" s="9">
        <v>1</v>
      </c>
      <c r="AI83" s="4">
        <f>AE83/360</f>
        <v>500</v>
      </c>
    </row>
    <row r="84" spans="1:35" x14ac:dyDescent="0.45">
      <c r="A84" t="s">
        <v>217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8">
        <v>2</v>
      </c>
      <c r="AE84" s="4">
        <v>1800000</v>
      </c>
      <c r="AF84" s="8">
        <v>200</v>
      </c>
      <c r="AG84" s="8">
        <v>1.052738</v>
      </c>
      <c r="AH84" s="9">
        <v>1</v>
      </c>
      <c r="AI84" s="4">
        <f>AE84/360</f>
        <v>5000</v>
      </c>
    </row>
    <row r="85" spans="1:35" x14ac:dyDescent="0.45">
      <c r="A85" t="s">
        <v>218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8">
        <v>3</v>
      </c>
      <c r="AE85" s="4">
        <v>18000000</v>
      </c>
      <c r="AF85" s="8">
        <v>200</v>
      </c>
      <c r="AG85" s="8">
        <v>1.0680700000000001</v>
      </c>
      <c r="AH85" s="9">
        <v>1</v>
      </c>
      <c r="AI85" s="4">
        <f>AE85/360</f>
        <v>50000</v>
      </c>
    </row>
    <row r="86" spans="1:35" x14ac:dyDescent="0.45">
      <c r="A86" t="s">
        <v>219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8">
        <v>4</v>
      </c>
      <c r="AE86" s="4">
        <v>180000000</v>
      </c>
      <c r="AF86" s="8">
        <v>200</v>
      </c>
      <c r="AG86" s="8">
        <v>1.0834010000000001</v>
      </c>
      <c r="AH86" s="9">
        <v>1</v>
      </c>
      <c r="AI86" s="4">
        <f>AE86/360</f>
        <v>500000</v>
      </c>
    </row>
    <row r="87" spans="1:35" x14ac:dyDescent="0.45">
      <c r="A87" t="s">
        <v>220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8">
        <v>5</v>
      </c>
      <c r="AE87" s="4">
        <v>720000000</v>
      </c>
      <c r="AF87" s="8">
        <v>200</v>
      </c>
      <c r="AG87" s="8">
        <v>1.0909169999999999</v>
      </c>
      <c r="AH87" s="9">
        <v>1</v>
      </c>
      <c r="AI87" s="4">
        <f>AE87/360</f>
        <v>2000000</v>
      </c>
    </row>
    <row r="88" spans="1:35" x14ac:dyDescent="0.45">
      <c r="A88" t="s">
        <v>221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35" x14ac:dyDescent="0.45">
      <c r="A89" t="s">
        <v>222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35" x14ac:dyDescent="0.45">
      <c r="A90" t="s">
        <v>223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35" x14ac:dyDescent="0.45">
      <c r="A91" t="s">
        <v>224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35" x14ac:dyDescent="0.45">
      <c r="A92" t="s">
        <v>225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35" x14ac:dyDescent="0.45">
      <c r="A93" t="s">
        <v>226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35" x14ac:dyDescent="0.45">
      <c r="A94" t="s">
        <v>227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35" x14ac:dyDescent="0.45">
      <c r="A95" t="s">
        <v>228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35" x14ac:dyDescent="0.45">
      <c r="A96" t="s">
        <v>229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230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231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232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233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234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235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236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237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238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239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240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241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242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243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244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245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246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247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248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249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250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251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252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253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254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255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256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257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258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259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260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261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262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263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264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265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266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267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268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269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270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271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272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273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274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275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276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277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278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279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280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281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282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283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284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285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286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287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288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289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290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291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292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293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294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295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296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297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298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299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300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301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302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303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304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305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306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307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308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309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310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311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312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313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314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315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316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317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318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319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320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321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322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323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324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325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326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327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328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329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330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331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332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333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334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335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336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337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338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339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340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341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342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343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344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345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2025-11-12T21:19:16Z</dcterms:modified>
</cp:coreProperties>
</file>