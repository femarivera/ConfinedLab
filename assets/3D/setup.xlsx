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92648225-7216-4014-8D72-080C44156EEF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<sst xmlns="http://schemas.openxmlformats.org/spreadsheetml/2006/main" count="596" uniqueCount="348">
  <si>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</si>
  <si>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</si>
  <si>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</si>
  <si>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</si>
  <si>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</si>
  <si>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</si>
  <si>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</si>
  <si>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</si>
  <si>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</si>
  <si>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</si>
  <si>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</si>
  <si>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</si>
  <si>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</si>
  <si>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</si>
  <si>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</si>
  <si>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</si>
  <si>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</si>
  <si>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</si>
  <si>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</si>
  <si>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</si>
  <si>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</si>
  <si>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</si>
  <si>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</si>
  <si>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</si>
  <si>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</si>
  <si>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</si>
  <si>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</si>
  <si>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</si>
  <si>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</si>
  <si>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</si>
  <si>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</si>
  <si>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</si>
  <si>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</si>
  <si>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</si>
  <si>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</si>
  <si>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</si>
  <si>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</si>
  <si>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Century time steps for 50k years</t>
  </si>
  <si>
    <t>Millenia time steps for 1M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</si>
  <si>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</si>
  <si>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</si>
  <si>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</si>
  <si>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</si>
  <si>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</si>
  <si>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</si>
  <si>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</si>
  <si>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</si>
  <si>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</si>
  <si>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</si>
  <si>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</si>
  <si>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</si>
  <si>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</si>
  <si>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</si>
  <si>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</si>
  <si>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</si>
  <si>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</si>
  <si>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</si>
  <si>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</si>
  <si>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</si>
  <si>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</si>
  <si>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</si>
  <si>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</si>
  <si>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</si>
  <si>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</si>
  <si>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</si>
  <si>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</si>
  <si>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</si>
  <si>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</si>
  <si>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</si>
  <si>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</si>
  <si>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</si>
  <si>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</si>
  <si>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</si>
  <si>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</si>
  <si>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</si>
  <si>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</si>
  <si>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</si>
  <si>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</si>
  <si>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</si>
  <si>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</si>
  <si>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</si>
  <si>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</si>
  <si>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</si>
  <si>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</si>
  <si>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</si>
  <si>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</si>
  <si>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</si>
  <si>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</si>
  <si>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</si>
  <si>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</si>
  <si>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</si>
  <si>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</si>
  <si>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</si>
  <si>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</si>
  <si>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UncAq</t>
  </si>
  <si>
    <t>HEAD</t>
  </si>
  <si>
    <t>Aqt 1</t>
  </si>
  <si>
    <t>Caq 1</t>
  </si>
  <si>
    <t xml:space="preserve">Aqt 2 </t>
  </si>
  <si>
    <t>Caq 2</t>
  </si>
  <si>
    <t>Caq 1 outcrop</t>
  </si>
  <si>
    <t xml:space="preserve">HEAD 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</si>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</sst>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F3" sqref="F3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G21" sqref="G21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E9" sqref="E9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18000</v>
      </c>
      <c r="C4">
        <v>600</v>
      </c>
      <c r="D4">
        <v>1</v>
      </c>
      <c r="E4" t="s">
        <v>35</v>
      </c>
    </row>
    <row r="5" spans="1:5" x14ac:dyDescent="0.45">
      <c r="A5">
        <v>3</v>
      </c>
      <c r="B5">
        <v>180000</v>
      </c>
      <c r="C5">
        <v>500</v>
      </c>
      <c r="D5">
        <v>1</v>
      </c>
      <c r="E5" t="s">
        <v>36</v>
      </c>
    </row>
    <row r="6" spans="1:5" x14ac:dyDescent="0.45">
      <c r="A6">
        <v>4</v>
      </c>
      <c r="B6">
        <v>18000000</v>
      </c>
      <c r="C6">
        <v>500</v>
      </c>
      <c r="D6">
        <v>1</v>
      </c>
      <c r="E6" t="s">
        <v>37</v>
      </c>
    </row>
    <row r="7" spans="1:5" x14ac:dyDescent="0.45">
      <c r="A7">
        <v>5</v>
      </c>
      <c r="B7">
        <v>360000000</v>
      </c>
      <c r="C7">
        <v>1000</v>
      </c>
      <c r="D7">
        <v>1</v>
      </c>
      <c r="E7" t="s">
        <v>38</v>
      </c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D28" sqref="D28"/>
    </sheetView>
  </sheetViews>
  <sheetFormatPr baseColWidth="10" defaultRowHeight="14.25" x14ac:dyDescent="0.45"/>
  <sheetData>
    <row r="1" spans="1:12" x14ac:dyDescent="0.45">
      <c r="A1" s="3" t="s">
        <v>39</v>
      </c>
      <c r="B1" s="3" t="s">
        <v>40</v>
      </c>
      <c r="C1" s="3" t="s">
        <v>41</v>
      </c>
      <c r="D1" s="3" t="s">
        <v>42</v>
      </c>
      <c r="E1" s="3" t="s">
        <v>43</v>
      </c>
      <c r="F1" s="3" t="s">
        <v>44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400000000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R5" sqref="R5"/>
    </sheetView>
  </sheetViews>
  <sheetFormatPr baseColWidth="10" defaultColWidth="9.06640625" defaultRowHeight="14.25" x14ac:dyDescent="0.45"/>
  <sheetData>
    <row r="1" spans="1:8" x14ac:dyDescent="0.45">
      <c r="A1" s="7" t="s">
        <v>45</v>
      </c>
      <c r="B1" s="7" t="s">
        <v>46</v>
      </c>
      <c r="C1" s="7" t="s">
        <v>47</v>
      </c>
      <c r="D1" s="7" t="s">
        <v>48</v>
      </c>
      <c r="E1" s="7" t="s">
        <v>49</v>
      </c>
      <c r="F1" s="7" t="s">
        <v>50</v>
      </c>
      <c r="G1" s="7" t="s">
        <v>51</v>
      </c>
      <c r="H1" s="7" t="s">
        <v>32</v>
      </c>
    </row>
    <row r="2" spans="1:8" x14ac:dyDescent="0.45">
      <c r="A2" s="7" t="s">
        <v>52</v>
      </c>
      <c r="B2">
        <v>0.1</v>
      </c>
      <c r="C2">
        <v>225</v>
      </c>
      <c r="D2">
        <v>275</v>
      </c>
      <c r="E2" t="s">
        <v>53</v>
      </c>
      <c r="F2" t="s">
        <v>54</v>
      </c>
      <c r="G2">
        <v>25</v>
      </c>
      <c r="H2" t="s">
        <v>55</v>
      </c>
    </row>
    <row r="3" spans="1:8" x14ac:dyDescent="0.45">
      <c r="A3" s="7" t="s">
        <v>56</v>
      </c>
      <c r="B3" s="1">
        <v>1E-8</v>
      </c>
      <c r="C3">
        <v>9.0000000000000002E-6</v>
      </c>
      <c r="D3">
        <v>1.1E-5</v>
      </c>
      <c r="E3" t="s">
        <v>53</v>
      </c>
      <c r="F3" t="s">
        <v>54</v>
      </c>
      <c r="G3">
        <v>25</v>
      </c>
      <c r="H3" t="s">
        <v>57</v>
      </c>
    </row>
    <row r="4" spans="1:8" x14ac:dyDescent="0.45">
      <c r="A4" s="7" t="s">
        <v>58</v>
      </c>
      <c r="B4">
        <v>0.1</v>
      </c>
      <c r="C4">
        <v>22.5</v>
      </c>
      <c r="D4">
        <v>27.5</v>
      </c>
      <c r="E4" t="s">
        <v>53</v>
      </c>
      <c r="F4" t="s">
        <v>54</v>
      </c>
      <c r="G4">
        <v>25</v>
      </c>
      <c r="H4" t="s">
        <v>59</v>
      </c>
    </row>
    <row r="5" spans="1:8" x14ac:dyDescent="0.45">
      <c r="A5" s="7" t="s">
        <v>60</v>
      </c>
      <c r="B5" s="1">
        <v>1E-8</v>
      </c>
      <c r="C5">
        <v>9.0000000000000002E-6</v>
      </c>
      <c r="D5">
        <v>1.1E-5</v>
      </c>
      <c r="E5" t="s">
        <v>53</v>
      </c>
      <c r="F5" t="s">
        <v>54</v>
      </c>
      <c r="G5">
        <v>25</v>
      </c>
      <c r="H5" t="s">
        <v>61</v>
      </c>
    </row>
    <row r="6" spans="1:8" x14ac:dyDescent="0.45">
      <c r="A6" s="7" t="s">
        <v>62</v>
      </c>
      <c r="B6">
        <v>0.1</v>
      </c>
      <c r="C6">
        <v>22.5</v>
      </c>
      <c r="D6">
        <v>27.5</v>
      </c>
      <c r="E6" t="s">
        <v>53</v>
      </c>
      <c r="F6" t="s">
        <v>54</v>
      </c>
      <c r="G6">
        <v>25</v>
      </c>
      <c r="H6" t="s">
        <v>63</v>
      </c>
    </row>
    <row r="7" spans="1:8" x14ac:dyDescent="0.45">
      <c r="A7" s="7" t="s">
        <v>64</v>
      </c>
      <c r="B7" s="4">
        <v>0.1</v>
      </c>
      <c r="C7">
        <v>22.5</v>
      </c>
      <c r="D7">
        <v>27.5</v>
      </c>
      <c r="E7" t="s">
        <v>53</v>
      </c>
      <c r="F7" t="s">
        <v>54</v>
      </c>
      <c r="G7">
        <v>25</v>
      </c>
      <c r="H7" t="s">
        <v>55</v>
      </c>
    </row>
    <row r="8" spans="1:8" x14ac:dyDescent="0.45">
      <c r="A8" s="7" t="s">
        <v>65</v>
      </c>
      <c r="B8" s="1">
        <v>1E-8</v>
      </c>
      <c r="C8">
        <v>9.0000000000000017E-7</v>
      </c>
      <c r="D8">
        <v>1.1000000000000001E-6</v>
      </c>
      <c r="E8" t="s">
        <v>53</v>
      </c>
      <c r="F8" t="s">
        <v>54</v>
      </c>
      <c r="G8">
        <v>25</v>
      </c>
      <c r="H8" t="s">
        <v>57</v>
      </c>
    </row>
    <row r="9" spans="1:8" x14ac:dyDescent="0.45">
      <c r="A9" s="7" t="s">
        <v>66</v>
      </c>
      <c r="B9" s="4">
        <v>0.1</v>
      </c>
      <c r="C9">
        <v>2.25</v>
      </c>
      <c r="D9">
        <v>2.75</v>
      </c>
      <c r="E9" t="s">
        <v>53</v>
      </c>
      <c r="F9" t="s">
        <v>54</v>
      </c>
      <c r="G9">
        <v>25</v>
      </c>
      <c r="H9" t="s">
        <v>59</v>
      </c>
    </row>
    <row r="10" spans="1:8" x14ac:dyDescent="0.45">
      <c r="A10" s="7" t="s">
        <v>67</v>
      </c>
      <c r="B10" s="1">
        <v>1E-8</v>
      </c>
      <c r="C10">
        <v>9.0000000000000017E-7</v>
      </c>
      <c r="D10">
        <v>1.1000000000000001E-6</v>
      </c>
      <c r="E10" t="s">
        <v>53</v>
      </c>
      <c r="F10" t="s">
        <v>54</v>
      </c>
      <c r="G10">
        <v>25</v>
      </c>
      <c r="H10" t="s">
        <v>61</v>
      </c>
    </row>
    <row r="11" spans="1:8" x14ac:dyDescent="0.45">
      <c r="A11" s="7" t="s">
        <v>68</v>
      </c>
      <c r="B11" s="4">
        <v>0.1</v>
      </c>
      <c r="C11">
        <v>2.25</v>
      </c>
      <c r="D11">
        <v>2.75</v>
      </c>
      <c r="E11" t="s">
        <v>53</v>
      </c>
      <c r="F11" t="s">
        <v>54</v>
      </c>
      <c r="G11">
        <v>25</v>
      </c>
      <c r="H11" t="s">
        <v>63</v>
      </c>
    </row>
    <row r="12" spans="1:8" x14ac:dyDescent="0.45">
      <c r="A12" s="7" t="s">
        <v>69</v>
      </c>
      <c r="B12">
        <v>0.15</v>
      </c>
      <c r="C12">
        <v>0.22500000000000001</v>
      </c>
      <c r="D12">
        <v>0.27500000000000002</v>
      </c>
      <c r="E12" t="s">
        <v>53</v>
      </c>
      <c r="F12" t="s">
        <v>70</v>
      </c>
      <c r="G12">
        <v>0</v>
      </c>
      <c r="H12" t="s">
        <v>55</v>
      </c>
    </row>
    <row r="13" spans="1:8" x14ac:dyDescent="0.45">
      <c r="A13" s="7" t="s">
        <v>71</v>
      </c>
      <c r="B13">
        <v>0.15</v>
      </c>
      <c r="C13">
        <v>0.22500000000000001</v>
      </c>
      <c r="D13">
        <v>0.27500000000000002</v>
      </c>
      <c r="E13" t="s">
        <v>53</v>
      </c>
      <c r="F13" t="s">
        <v>70</v>
      </c>
      <c r="G13">
        <v>0</v>
      </c>
      <c r="H13" t="s">
        <v>57</v>
      </c>
    </row>
    <row r="14" spans="1:8" x14ac:dyDescent="0.45">
      <c r="A14" s="7" t="s">
        <v>72</v>
      </c>
      <c r="B14">
        <v>0.15</v>
      </c>
      <c r="C14">
        <v>0.22500000000000001</v>
      </c>
      <c r="D14">
        <v>0.27500000000000002</v>
      </c>
      <c r="E14" t="s">
        <v>53</v>
      </c>
      <c r="F14" t="s">
        <v>70</v>
      </c>
      <c r="G14">
        <v>0</v>
      </c>
      <c r="H14" t="s">
        <v>59</v>
      </c>
    </row>
    <row r="15" spans="1:8" x14ac:dyDescent="0.45">
      <c r="A15" s="7" t="s">
        <v>73</v>
      </c>
      <c r="B15">
        <v>0.15</v>
      </c>
      <c r="C15">
        <v>0.22500000000000001</v>
      </c>
      <c r="D15">
        <v>0.27500000000000002</v>
      </c>
      <c r="E15" t="s">
        <v>53</v>
      </c>
      <c r="F15" t="s">
        <v>70</v>
      </c>
      <c r="G15">
        <v>0</v>
      </c>
      <c r="H15" t="s">
        <v>61</v>
      </c>
    </row>
    <row r="16" spans="1:8" x14ac:dyDescent="0.45">
      <c r="A16" s="7" t="s">
        <v>74</v>
      </c>
      <c r="B16">
        <v>0.15</v>
      </c>
      <c r="C16">
        <v>0.22500000000000001</v>
      </c>
      <c r="D16">
        <v>0.27500000000000002</v>
      </c>
      <c r="E16" t="s">
        <v>53</v>
      </c>
      <c r="F16" t="s">
        <v>70</v>
      </c>
      <c r="G16">
        <v>0</v>
      </c>
      <c r="H16" t="s">
        <v>63</v>
      </c>
    </row>
    <row r="17" spans="1:8" x14ac:dyDescent="0.45">
      <c r="A17" s="7" t="s">
        <v>75</v>
      </c>
      <c r="B17">
        <v>1E-4</v>
      </c>
      <c r="C17">
        <v>9.0000000000000002E-6</v>
      </c>
      <c r="D17">
        <v>1.1E-5</v>
      </c>
      <c r="E17" t="s">
        <v>53</v>
      </c>
      <c r="F17" t="s">
        <v>70</v>
      </c>
      <c r="G17">
        <v>0</v>
      </c>
      <c r="H17" t="s">
        <v>55</v>
      </c>
    </row>
    <row r="18" spans="1:8" x14ac:dyDescent="0.45">
      <c r="A18" s="7" t="s">
        <v>76</v>
      </c>
      <c r="B18">
        <v>1E-4</v>
      </c>
      <c r="C18">
        <v>9.0000000000000002E-6</v>
      </c>
      <c r="D18">
        <v>1.1E-5</v>
      </c>
      <c r="E18" t="s">
        <v>53</v>
      </c>
      <c r="F18" t="s">
        <v>70</v>
      </c>
      <c r="G18">
        <v>0</v>
      </c>
      <c r="H18" t="s">
        <v>57</v>
      </c>
    </row>
    <row r="19" spans="1:8" x14ac:dyDescent="0.45">
      <c r="A19" s="7" t="s">
        <v>77</v>
      </c>
      <c r="B19">
        <v>1E-4</v>
      </c>
      <c r="C19">
        <v>9.0000000000000002E-6</v>
      </c>
      <c r="D19">
        <v>1.1E-5</v>
      </c>
      <c r="E19" t="s">
        <v>53</v>
      </c>
      <c r="F19" t="s">
        <v>70</v>
      </c>
      <c r="G19">
        <v>0</v>
      </c>
      <c r="H19" t="s">
        <v>59</v>
      </c>
    </row>
    <row r="20" spans="1:8" x14ac:dyDescent="0.45">
      <c r="A20" s="7" t="s">
        <v>78</v>
      </c>
      <c r="B20">
        <v>1E-4</v>
      </c>
      <c r="C20">
        <v>9.0000000000000002E-6</v>
      </c>
      <c r="D20">
        <v>1.1E-5</v>
      </c>
      <c r="E20" t="s">
        <v>53</v>
      </c>
      <c r="F20" t="s">
        <v>70</v>
      </c>
      <c r="G20">
        <v>0</v>
      </c>
      <c r="H20" t="s">
        <v>61</v>
      </c>
    </row>
    <row r="21" spans="1:8" x14ac:dyDescent="0.45">
      <c r="A21" s="7" t="s">
        <v>79</v>
      </c>
      <c r="B21">
        <v>1E-4</v>
      </c>
      <c r="C21">
        <v>9.0000000000000002E-6</v>
      </c>
      <c r="D21">
        <v>1.1E-5</v>
      </c>
      <c r="E21" t="s">
        <v>53</v>
      </c>
      <c r="F21" t="s">
        <v>70</v>
      </c>
      <c r="G21">
        <v>0</v>
      </c>
      <c r="H21" t="s">
        <v>63</v>
      </c>
    </row>
    <row r="22" spans="1:8" x14ac:dyDescent="0.45">
      <c r="A22" s="7" t="s">
        <v>40</v>
      </c>
      <c r="B22">
        <v>5.5555555555555599E-4</v>
      </c>
      <c r="C22">
        <v>3.1154231364886891E-4</v>
      </c>
      <c r="D22">
        <v>3.807739389041731E-4</v>
      </c>
      <c r="E22" t="s">
        <v>80</v>
      </c>
      <c r="F22" t="s">
        <v>70</v>
      </c>
      <c r="G22">
        <v>0</v>
      </c>
      <c r="H22" t="s">
        <v>55</v>
      </c>
    </row>
    <row r="23" spans="1:8" x14ac:dyDescent="0.45">
      <c r="A23" s="7" t="s">
        <v>41</v>
      </c>
      <c r="B23">
        <v>5.5555555555555599E-4</v>
      </c>
      <c r="C23">
        <v>3.1154231364886891E-5</v>
      </c>
      <c r="D23">
        <v>3.8077393890417307E-5</v>
      </c>
      <c r="E23" t="s">
        <v>80</v>
      </c>
      <c r="F23" t="s">
        <v>70</v>
      </c>
      <c r="G23">
        <v>0</v>
      </c>
      <c r="H23" t="s">
        <v>57</v>
      </c>
    </row>
    <row r="24" spans="1:8" x14ac:dyDescent="0.45">
      <c r="A24" s="7" t="s">
        <v>42</v>
      </c>
      <c r="B24">
        <v>5.5555555555555599E-4</v>
      </c>
      <c r="C24">
        <v>3.1154231364886891E-4</v>
      </c>
      <c r="D24">
        <v>3.807739389041731E-4</v>
      </c>
      <c r="E24" t="s">
        <v>80</v>
      </c>
      <c r="F24" t="s">
        <v>70</v>
      </c>
      <c r="G24">
        <v>0</v>
      </c>
      <c r="H24" t="s">
        <v>59</v>
      </c>
    </row>
    <row r="25" spans="1:8" x14ac:dyDescent="0.45">
      <c r="A25" s="7" t="s">
        <v>43</v>
      </c>
      <c r="B25">
        <v>5.5555555555555599E-4</v>
      </c>
      <c r="C25">
        <v>3.1154231364886891E-5</v>
      </c>
      <c r="D25">
        <v>3.8077393890417307E-5</v>
      </c>
      <c r="E25" t="s">
        <v>80</v>
      </c>
      <c r="F25" t="s">
        <v>70</v>
      </c>
      <c r="G25">
        <v>0</v>
      </c>
      <c r="H25" t="s">
        <v>61</v>
      </c>
    </row>
    <row r="26" spans="1:8" x14ac:dyDescent="0.45">
      <c r="A26" s="7" t="s">
        <v>44</v>
      </c>
      <c r="B26">
        <v>5.5555555555555599E-4</v>
      </c>
      <c r="C26">
        <v>3.1154231364886891E-4</v>
      </c>
      <c r="D26">
        <v>3.807739389041731E-4</v>
      </c>
      <c r="E26" t="s">
        <v>80</v>
      </c>
      <c r="F26" t="s">
        <v>70</v>
      </c>
      <c r="G26">
        <v>0</v>
      </c>
      <c r="H26" t="s">
        <v>63</v>
      </c>
    </row>
    <row r="27" spans="1:8" x14ac:dyDescent="0.45">
      <c r="A27" s="7" t="s">
        <v>81</v>
      </c>
      <c r="B27">
        <v>1</v>
      </c>
      <c r="C27">
        <v>3.1154231364886891E-4</v>
      </c>
      <c r="D27">
        <v>3.807739389041731E-4</v>
      </c>
      <c r="E27" t="s">
        <v>80</v>
      </c>
      <c r="F27" t="s">
        <v>70</v>
      </c>
      <c r="G27">
        <v>0</v>
      </c>
      <c r="H27" t="s">
        <v>82</v>
      </c>
    </row>
    <row r="28" spans="1:8" x14ac:dyDescent="0.45">
      <c r="A28" s="7" t="s">
        <v>83</v>
      </c>
      <c r="B28">
        <v>1</v>
      </c>
      <c r="C28">
        <v>3.1154231364886891E-4</v>
      </c>
      <c r="D28">
        <v>3.807739389041731E-4</v>
      </c>
      <c r="E28" t="s">
        <v>80</v>
      </c>
      <c r="F28" t="s">
        <v>70</v>
      </c>
      <c r="G28">
        <v>0</v>
      </c>
      <c r="H28" t="s">
        <v>82</v>
      </c>
    </row>
    <row r="29" spans="1:8" x14ac:dyDescent="0.45">
      <c r="A29" s="7" t="s">
        <v>84</v>
      </c>
      <c r="B29">
        <v>1</v>
      </c>
      <c r="C29">
        <v>3.1154231364886891E-4</v>
      </c>
      <c r="D29">
        <v>3.807739389041731E-4</v>
      </c>
      <c r="E29" t="s">
        <v>80</v>
      </c>
      <c r="F29" t="s">
        <v>70</v>
      </c>
      <c r="G29">
        <v>0</v>
      </c>
      <c r="H29" t="s">
        <v>82</v>
      </c>
    </row>
    <row r="30" spans="1:8" x14ac:dyDescent="0.45">
      <c r="A30" s="7" t="s">
        <v>85</v>
      </c>
      <c r="B30">
        <v>1</v>
      </c>
      <c r="C30">
        <v>3.1154231364886891E-4</v>
      </c>
      <c r="D30">
        <v>3.807739389041731E-4</v>
      </c>
      <c r="E30" t="s">
        <v>80</v>
      </c>
      <c r="F30" t="s">
        <v>70</v>
      </c>
      <c r="G30">
        <v>0</v>
      </c>
      <c r="H30" t="s">
        <v>82</v>
      </c>
    </row>
    <row r="31" spans="1:8" x14ac:dyDescent="0.45">
      <c r="A31" s="7" t="s">
        <v>86</v>
      </c>
      <c r="B31">
        <v>1</v>
      </c>
      <c r="C31">
        <v>3.1154231364886891E-4</v>
      </c>
      <c r="D31">
        <v>3.807739389041731E-4</v>
      </c>
      <c r="E31" t="s">
        <v>80</v>
      </c>
      <c r="F31" t="s">
        <v>70</v>
      </c>
      <c r="G31">
        <v>0</v>
      </c>
      <c r="H31" t="s">
        <v>82</v>
      </c>
    </row>
    <row r="32" spans="1:8" x14ac:dyDescent="0.45">
      <c r="A32" s="7" t="s">
        <v>87</v>
      </c>
      <c r="B32">
        <v>0</v>
      </c>
      <c r="C32">
        <v>3.1154231364886891E-4</v>
      </c>
      <c r="D32">
        <v>3.807739389041731E-4</v>
      </c>
      <c r="E32" t="s">
        <v>80</v>
      </c>
      <c r="F32" t="s">
        <v>70</v>
      </c>
      <c r="G32">
        <v>0</v>
      </c>
      <c r="H32" t="s">
        <v>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F17" sqref="F17"/>
    </sheetView>
  </sheetViews>
  <sheetFormatPr baseColWidth="10" defaultRowHeight="14.25" x14ac:dyDescent="0.45"/>
  <cols>
    <col min="1" max="1" width="37" style="4" bestFit="1" customWidth="1"/>
  </cols>
  <sheetData>
    <row r="1" spans="1:5" x14ac:dyDescent="0.45">
      <c r="A1" t="s">
        <v>89</v>
      </c>
      <c r="B1" t="s">
        <v>90</v>
      </c>
      <c r="C1" t="s">
        <v>91</v>
      </c>
      <c r="D1" t="s">
        <v>92</v>
      </c>
      <c r="E1" t="s">
        <v>93</v>
      </c>
    </row>
    <row r="2" spans="1:5" x14ac:dyDescent="0.45">
      <c r="A2" t="s">
        <v>94</v>
      </c>
      <c r="B2" t="s">
        <v>95</v>
      </c>
      <c r="C2">
        <v>1</v>
      </c>
      <c r="D2">
        <v>100</v>
      </c>
      <c r="E2">
        <v>400</v>
      </c>
    </row>
    <row r="3" spans="1:5" x14ac:dyDescent="0.45">
      <c r="A3" t="s">
        <v>96</v>
      </c>
      <c r="B3" t="s">
        <v>95</v>
      </c>
      <c r="C3">
        <v>7</v>
      </c>
      <c r="D3">
        <v>100</v>
      </c>
      <c r="E3">
        <v>400</v>
      </c>
    </row>
    <row r="4" spans="1:5" x14ac:dyDescent="0.45">
      <c r="A4" t="s">
        <v>97</v>
      </c>
      <c r="B4" t="s">
        <v>95</v>
      </c>
      <c r="C4">
        <v>12</v>
      </c>
      <c r="D4">
        <v>100</v>
      </c>
      <c r="E4">
        <v>400</v>
      </c>
    </row>
    <row r="5" spans="1:5" x14ac:dyDescent="0.45">
      <c r="A5" t="s">
        <v>98</v>
      </c>
      <c r="B5" t="s">
        <v>95</v>
      </c>
      <c r="C5">
        <v>17</v>
      </c>
      <c r="D5">
        <v>100</v>
      </c>
      <c r="E5">
        <v>400</v>
      </c>
    </row>
    <row r="6" spans="1:5" x14ac:dyDescent="0.45">
      <c r="A6" t="s">
        <v>99</v>
      </c>
      <c r="B6" t="s">
        <v>95</v>
      </c>
      <c r="C6">
        <v>22</v>
      </c>
      <c r="D6">
        <v>100</v>
      </c>
      <c r="E6">
        <v>400</v>
      </c>
    </row>
    <row r="7" spans="1:5" x14ac:dyDescent="0.45">
      <c r="A7" t="s">
        <v>100</v>
      </c>
      <c r="B7" t="s">
        <v>101</v>
      </c>
      <c r="C7">
        <v>12</v>
      </c>
      <c r="D7">
        <v>100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H10" sqref="H10"/>
    </sheetView>
  </sheetViews>
  <sheetFormatPr baseColWidth="10" defaultColWidth="9.06640625" defaultRowHeight="14.25" x14ac:dyDescent="0.45"/>
  <sheetData>
    <row r="1" spans="1:6" x14ac:dyDescent="0.45">
      <c r="A1" s="6" t="s">
        <v>102</v>
      </c>
      <c r="B1" s="6" t="s">
        <v>39</v>
      </c>
      <c r="C1" s="6" t="s">
        <v>91</v>
      </c>
      <c r="D1" s="6" t="s">
        <v>92</v>
      </c>
      <c r="E1" s="6" t="s">
        <v>93</v>
      </c>
      <c r="F1" s="6" t="s">
        <v>103</v>
      </c>
    </row>
    <row r="2" spans="1:6" x14ac:dyDescent="0.45">
      <c r="A2" t="s">
        <v>104</v>
      </c>
      <c r="B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104</v>
      </c>
      <c r="B3">
        <v>3600000</v>
      </c>
      <c r="C3">
        <v>12</v>
      </c>
      <c r="D3" s="4">
        <v>100</v>
      </c>
      <c r="E3">
        <v>400</v>
      </c>
      <c r="F3" s="4">
        <v>-200</v>
      </c>
    </row>
    <row r="4" spans="1:6" x14ac:dyDescent="0.45">
      <c r="A4" t="s">
        <v>104</v>
      </c>
      <c r="B4">
        <v>400000000</v>
      </c>
      <c r="C4">
        <v>12</v>
      </c>
      <c r="D4" s="4">
        <v>100</v>
      </c>
      <c r="E4">
        <v>400</v>
      </c>
      <c r="F4" s="4">
        <v>-200</v>
      </c>
    </row>
    <row r="5" spans="1:6" x14ac:dyDescent="0.45">
      <c r="A5" t="s">
        <v>105</v>
      </c>
      <c r="B5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105</v>
      </c>
      <c r="B6">
        <v>3600000</v>
      </c>
      <c r="C6">
        <v>12</v>
      </c>
      <c r="D6" s="4">
        <v>100</v>
      </c>
      <c r="E6">
        <v>399</v>
      </c>
      <c r="F6" s="4">
        <v>-200</v>
      </c>
    </row>
    <row r="7" spans="1:6" x14ac:dyDescent="0.45">
      <c r="A7" t="s">
        <v>105</v>
      </c>
      <c r="B7">
        <v>400000000</v>
      </c>
      <c r="C7">
        <v>12</v>
      </c>
      <c r="D7" s="4">
        <v>100</v>
      </c>
      <c r="E7">
        <v>399</v>
      </c>
      <c r="F7" s="4">
        <v>-200</v>
      </c>
    </row>
    <row r="8" spans="1:6" x14ac:dyDescent="0.45">
      <c r="A8" t="s">
        <v>106</v>
      </c>
      <c r="B8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106</v>
      </c>
      <c r="B9">
        <v>3600000</v>
      </c>
      <c r="C9">
        <v>12</v>
      </c>
      <c r="D9" s="4">
        <v>100</v>
      </c>
      <c r="E9">
        <v>401</v>
      </c>
      <c r="F9" s="4">
        <v>-200</v>
      </c>
    </row>
    <row r="10" spans="1:6" x14ac:dyDescent="0.45">
      <c r="A10" t="s">
        <v>106</v>
      </c>
      <c r="B10">
        <v>400000000</v>
      </c>
      <c r="C10">
        <v>12</v>
      </c>
      <c r="D10" s="4">
        <v>100</v>
      </c>
      <c r="E10">
        <v>401</v>
      </c>
      <c r="F10" s="4">
        <v>-200</v>
      </c>
    </row>
    <row r="11" spans="1:6" x14ac:dyDescent="0.45">
      <c r="A11" t="s">
        <v>107</v>
      </c>
      <c r="B11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107</v>
      </c>
      <c r="B12">
        <v>3600000</v>
      </c>
      <c r="C12">
        <v>12</v>
      </c>
      <c r="D12" s="4">
        <v>100</v>
      </c>
      <c r="E12">
        <v>402</v>
      </c>
      <c r="F12" s="4">
        <v>-200</v>
      </c>
    </row>
    <row r="13" spans="1:6" x14ac:dyDescent="0.45">
      <c r="A13" t="s">
        <v>107</v>
      </c>
      <c r="B13">
        <v>400000000</v>
      </c>
      <c r="C13">
        <v>12</v>
      </c>
      <c r="D13" s="4">
        <v>100</v>
      </c>
      <c r="E13">
        <v>402</v>
      </c>
      <c r="F13" s="4">
        <v>-200</v>
      </c>
    </row>
    <row r="14" spans="1:6" x14ac:dyDescent="0.45">
      <c r="A14" t="s">
        <v>108</v>
      </c>
      <c r="B14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108</v>
      </c>
      <c r="B15">
        <v>3600000</v>
      </c>
      <c r="C15">
        <v>12</v>
      </c>
      <c r="D15" s="4">
        <v>100</v>
      </c>
      <c r="E15">
        <v>398</v>
      </c>
      <c r="F15" s="4">
        <v>-200</v>
      </c>
    </row>
    <row r="16" spans="1:6" x14ac:dyDescent="0.45">
      <c r="A16" t="s">
        <v>108</v>
      </c>
      <c r="B16">
        <v>400000000</v>
      </c>
      <c r="C16">
        <v>12</v>
      </c>
      <c r="D16" s="4">
        <v>100</v>
      </c>
      <c r="E16">
        <v>398</v>
      </c>
      <c r="F16" s="4">
        <v>-200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8" sqref="G8"/>
    </sheetView>
  </sheetViews>
  <sheetFormatPr baseColWidth="10" defaultRowHeight="14.25" x14ac:dyDescent="0.45"/>
  <sheetData>
    <row r="1" spans="1:12" x14ac:dyDescent="0.45">
      <c r="A1" t="s">
        <v>102</v>
      </c>
      <c r="B1" t="s">
        <v>109</v>
      </c>
      <c r="C1" t="s">
        <v>110</v>
      </c>
      <c r="D1" t="s">
        <v>111</v>
      </c>
      <c r="E1" t="s">
        <v>112</v>
      </c>
      <c r="F1" t="s">
        <v>113</v>
      </c>
      <c r="G1" t="s">
        <v>114</v>
      </c>
      <c r="H1" t="s">
        <v>115</v>
      </c>
      <c r="I1" t="s">
        <v>116</v>
      </c>
      <c r="J1" t="s">
        <v>117</v>
      </c>
      <c r="K1" t="s">
        <v>118</v>
      </c>
      <c r="L1" t="s">
        <v>119</v>
      </c>
    </row>
    <row r="2" spans="1:12" x14ac:dyDescent="0.45">
      <c r="A2" t="s">
        <v>104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  <c r="H2">
        <v>-5</v>
      </c>
      <c r="I2">
        <v>-10</v>
      </c>
      <c r="J2">
        <v>-20</v>
      </c>
      <c r="K2">
        <v>-40</v>
      </c>
      <c r="L2">
        <v>-60</v>
      </c>
    </row>
    <row r="3" spans="1:12" x14ac:dyDescent="0.45">
      <c r="A3" t="s">
        <v>105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  <c r="H3">
        <v>-5</v>
      </c>
      <c r="I3">
        <v>-10</v>
      </c>
      <c r="J3">
        <v>-20</v>
      </c>
      <c r="K3">
        <v>-40</v>
      </c>
      <c r="L3">
        <v>-60</v>
      </c>
    </row>
    <row r="4" spans="1:12" x14ac:dyDescent="0.45">
      <c r="A4" t="s">
        <v>106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  <c r="H4">
        <v>-5</v>
      </c>
      <c r="I4">
        <v>-10</v>
      </c>
      <c r="J4">
        <v>-20</v>
      </c>
      <c r="K4">
        <v>-40</v>
      </c>
      <c r="L4">
        <v>-60</v>
      </c>
    </row>
    <row r="5" spans="1:12" x14ac:dyDescent="0.45">
      <c r="A5" t="s">
        <v>107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  <c r="H5">
        <v>-5</v>
      </c>
      <c r="I5">
        <v>-10</v>
      </c>
      <c r="J5">
        <v>-20</v>
      </c>
      <c r="K5">
        <v>-40</v>
      </c>
      <c r="L5">
        <v>-60</v>
      </c>
    </row>
    <row r="6" spans="1:12" x14ac:dyDescent="0.45">
      <c r="A6" t="s">
        <v>108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  <c r="H6">
        <v>-5</v>
      </c>
      <c r="I6">
        <v>-10</v>
      </c>
      <c r="J6">
        <v>-20</v>
      </c>
      <c r="K6">
        <v>-40</v>
      </c>
      <c r="L6">
        <v>-60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5"/>
  <sheetViews>
    <sheetView workbookViewId="0">
      <selection activeCell="D2" sqref="D2:D16"/>
    </sheetView>
  </sheetViews>
  <sheetFormatPr baseColWidth="10" defaultRowHeight="14.25" x14ac:dyDescent="0.45"/>
  <cols>
    <col min="3" max="3" width="10.9296875" style="4" customWidth="1"/>
    <col min="9" max="9" width="10.9296875" style="4" customWidth="1"/>
  </cols>
  <sheetData>
    <row r="1" spans="1:14" x14ac:dyDescent="0.45">
      <c r="A1" t="s">
        <v>102</v>
      </c>
      <c r="B1" t="s">
        <v>39</v>
      </c>
      <c r="C1" t="s">
        <v>120</v>
      </c>
      <c r="D1" t="s">
        <v>110</v>
      </c>
      <c r="E1" t="s">
        <v>111</v>
      </c>
      <c r="F1" t="s">
        <v>112</v>
      </c>
      <c r="G1" t="s">
        <v>113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  <c r="N1" s="4"/>
    </row>
    <row r="2" spans="1:14" x14ac:dyDescent="0.45">
      <c r="A2" t="s">
        <v>104</v>
      </c>
      <c r="B2">
        <v>0</v>
      </c>
      <c r="C2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</row>
    <row r="3" spans="1:14" x14ac:dyDescent="0.45">
      <c r="A3" t="s">
        <v>104</v>
      </c>
      <c r="B3" s="3">
        <v>3600000</v>
      </c>
      <c r="C3">
        <v>0</v>
      </c>
      <c r="D3" s="4">
        <v>-200</v>
      </c>
      <c r="E3" s="4">
        <v>-2000</v>
      </c>
      <c r="F3" s="4">
        <v>-10000</v>
      </c>
      <c r="G3" s="4">
        <v>-20000</v>
      </c>
      <c r="H3" s="4">
        <v>-100000</v>
      </c>
      <c r="I3" s="4">
        <v>-200000</v>
      </c>
      <c r="J3" s="4">
        <v>-600000</v>
      </c>
      <c r="K3" s="4">
        <v>-1200000</v>
      </c>
      <c r="L3" s="4">
        <v>-2400000</v>
      </c>
      <c r="M3" s="4">
        <v>-4800000</v>
      </c>
      <c r="N3" s="4"/>
    </row>
    <row r="4" spans="1:14" x14ac:dyDescent="0.45">
      <c r="A4" t="s">
        <v>104</v>
      </c>
      <c r="B4">
        <v>400000000</v>
      </c>
      <c r="C4">
        <v>0</v>
      </c>
      <c r="D4" s="4">
        <v>-200</v>
      </c>
      <c r="E4" s="4">
        <v>-2000</v>
      </c>
      <c r="F4" s="4">
        <v>-10000</v>
      </c>
      <c r="G4" s="4">
        <v>-20000</v>
      </c>
      <c r="H4" s="4">
        <v>-100000</v>
      </c>
      <c r="I4" s="4">
        <v>-200000</v>
      </c>
      <c r="J4" s="4">
        <v>-600000</v>
      </c>
      <c r="K4" s="4">
        <v>-1200000</v>
      </c>
      <c r="L4" s="4">
        <v>-2400000</v>
      </c>
      <c r="M4" s="4">
        <v>-4800000</v>
      </c>
      <c r="N4" s="4"/>
    </row>
    <row r="5" spans="1:14" x14ac:dyDescent="0.45">
      <c r="A5" t="s">
        <v>105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/>
    </row>
    <row r="6" spans="1:14" x14ac:dyDescent="0.45">
      <c r="A6" t="s">
        <v>105</v>
      </c>
      <c r="B6" s="3">
        <v>3600000</v>
      </c>
      <c r="C6">
        <v>0</v>
      </c>
      <c r="D6" s="4">
        <v>-200</v>
      </c>
      <c r="E6" s="4">
        <v>-2000</v>
      </c>
      <c r="F6" s="4">
        <v>-10000</v>
      </c>
      <c r="G6" s="4">
        <v>-20000</v>
      </c>
      <c r="H6" s="4">
        <v>-100000</v>
      </c>
      <c r="I6" s="4">
        <v>-200000</v>
      </c>
      <c r="J6" s="4">
        <v>-600000</v>
      </c>
      <c r="K6" s="4">
        <v>-1200000</v>
      </c>
      <c r="L6" s="4">
        <v>-2400000</v>
      </c>
      <c r="M6" s="4">
        <v>-4800000</v>
      </c>
      <c r="N6" s="4"/>
    </row>
    <row r="7" spans="1:14" x14ac:dyDescent="0.45">
      <c r="A7" t="s">
        <v>105</v>
      </c>
      <c r="B7">
        <v>400000000</v>
      </c>
      <c r="C7">
        <v>0</v>
      </c>
      <c r="D7" s="4">
        <v>-200</v>
      </c>
      <c r="E7" s="4">
        <v>-2000</v>
      </c>
      <c r="F7" s="4">
        <v>-10000</v>
      </c>
      <c r="G7" s="4">
        <v>-20000</v>
      </c>
      <c r="H7" s="4">
        <v>-100000</v>
      </c>
      <c r="I7" s="4">
        <v>-200000</v>
      </c>
      <c r="J7" s="4">
        <v>-600000</v>
      </c>
      <c r="K7" s="4">
        <v>-1200000</v>
      </c>
      <c r="L7" s="4">
        <v>-2400000</v>
      </c>
      <c r="M7" s="4">
        <v>-4800000</v>
      </c>
      <c r="N7" s="4"/>
    </row>
    <row r="8" spans="1:14" x14ac:dyDescent="0.45">
      <c r="A8" t="s">
        <v>106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/>
    </row>
    <row r="9" spans="1:14" x14ac:dyDescent="0.45">
      <c r="A9" t="s">
        <v>106</v>
      </c>
      <c r="B9" s="3">
        <v>3600000</v>
      </c>
      <c r="C9">
        <v>0</v>
      </c>
      <c r="D9" s="4">
        <v>-200</v>
      </c>
      <c r="E9" s="4">
        <v>-2000</v>
      </c>
      <c r="F9" s="4">
        <v>-10000</v>
      </c>
      <c r="G9" s="4">
        <v>-20000</v>
      </c>
      <c r="H9" s="4">
        <v>-100000</v>
      </c>
      <c r="I9" s="4">
        <v>-200000</v>
      </c>
      <c r="J9" s="4">
        <v>-600000</v>
      </c>
      <c r="K9" s="4">
        <v>-1200000</v>
      </c>
      <c r="L9" s="4">
        <v>-2400000</v>
      </c>
      <c r="M9" s="4">
        <v>-4800000</v>
      </c>
      <c r="N9" s="4"/>
    </row>
    <row r="10" spans="1:14" x14ac:dyDescent="0.45">
      <c r="A10" t="s">
        <v>106</v>
      </c>
      <c r="B10">
        <v>400000000</v>
      </c>
      <c r="C10">
        <v>0</v>
      </c>
      <c r="D10" s="4">
        <v>-200</v>
      </c>
      <c r="E10" s="4">
        <v>-2000</v>
      </c>
      <c r="F10" s="4">
        <v>-10000</v>
      </c>
      <c r="G10" s="4">
        <v>-20000</v>
      </c>
      <c r="H10" s="4">
        <v>-100000</v>
      </c>
      <c r="I10" s="4">
        <v>-200000</v>
      </c>
      <c r="J10" s="4">
        <v>-600000</v>
      </c>
      <c r="K10" s="4">
        <v>-1200000</v>
      </c>
      <c r="L10" s="4">
        <v>-2400000</v>
      </c>
      <c r="M10" s="4">
        <v>-4800000</v>
      </c>
      <c r="N10" s="4"/>
    </row>
    <row r="11" spans="1:14" x14ac:dyDescent="0.45">
      <c r="A11" t="s">
        <v>107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/>
    </row>
    <row r="12" spans="1:14" x14ac:dyDescent="0.45">
      <c r="A12" t="s">
        <v>107</v>
      </c>
      <c r="B12" s="3">
        <v>3600000</v>
      </c>
      <c r="C12">
        <v>0</v>
      </c>
      <c r="D12" s="4">
        <v>-200</v>
      </c>
      <c r="E12" s="4">
        <v>-2000</v>
      </c>
      <c r="F12" s="4">
        <v>-10000</v>
      </c>
      <c r="G12" s="4">
        <v>-20000</v>
      </c>
      <c r="H12" s="4">
        <v>-100000</v>
      </c>
      <c r="I12" s="4">
        <v>-200000</v>
      </c>
      <c r="J12" s="4">
        <v>-600000</v>
      </c>
      <c r="K12" s="4">
        <v>-1200000</v>
      </c>
      <c r="L12" s="4">
        <v>-2400000</v>
      </c>
      <c r="M12" s="4">
        <v>-4800000</v>
      </c>
      <c r="N12" s="4"/>
    </row>
    <row r="13" spans="1:14" x14ac:dyDescent="0.45">
      <c r="A13" t="s">
        <v>107</v>
      </c>
      <c r="B13">
        <v>400000000</v>
      </c>
      <c r="C13">
        <v>0</v>
      </c>
      <c r="D13" s="4">
        <v>-200</v>
      </c>
      <c r="E13" s="4">
        <v>-2000</v>
      </c>
      <c r="F13" s="4">
        <v>-10000</v>
      </c>
      <c r="G13" s="4">
        <v>-20000</v>
      </c>
      <c r="H13" s="4">
        <v>-100000</v>
      </c>
      <c r="I13" s="4">
        <v>-200000</v>
      </c>
      <c r="J13" s="4">
        <v>-600000</v>
      </c>
      <c r="K13" s="4">
        <v>-1200000</v>
      </c>
      <c r="L13" s="4">
        <v>-2400000</v>
      </c>
      <c r="M13" s="4">
        <v>-4800000</v>
      </c>
      <c r="N13" s="4"/>
    </row>
    <row r="14" spans="1:14" x14ac:dyDescent="0.45">
      <c r="A14" t="s">
        <v>108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/>
    </row>
    <row r="15" spans="1:14" x14ac:dyDescent="0.45">
      <c r="A15" t="s">
        <v>108</v>
      </c>
      <c r="B15" s="3">
        <v>3600000</v>
      </c>
      <c r="C15">
        <v>0</v>
      </c>
      <c r="D15" s="4">
        <v>-200</v>
      </c>
      <c r="E15" s="4">
        <v>-2000</v>
      </c>
      <c r="F15" s="4">
        <v>-10000</v>
      </c>
      <c r="G15" s="4">
        <v>-20000</v>
      </c>
      <c r="H15" s="4">
        <v>-100000</v>
      </c>
      <c r="I15" s="4">
        <v>-200000</v>
      </c>
      <c r="J15" s="4">
        <v>-600000</v>
      </c>
      <c r="K15" s="4">
        <v>-1200000</v>
      </c>
      <c r="L15" s="4">
        <v>-2400000</v>
      </c>
      <c r="M15" s="4">
        <v>-4800000</v>
      </c>
      <c r="N15" s="4"/>
    </row>
    <row r="16" spans="1:14" x14ac:dyDescent="0.45">
      <c r="A16" t="s">
        <v>108</v>
      </c>
      <c r="B16">
        <v>400000000</v>
      </c>
      <c r="C16">
        <v>0</v>
      </c>
      <c r="D16" s="4">
        <v>-200</v>
      </c>
      <c r="E16" s="4">
        <v>-2000</v>
      </c>
      <c r="F16" s="4">
        <v>-10000</v>
      </c>
      <c r="G16" s="4">
        <v>-20000</v>
      </c>
      <c r="H16" s="4">
        <v>-100000</v>
      </c>
      <c r="I16" s="4">
        <v>-200000</v>
      </c>
      <c r="J16" s="4">
        <v>-600000</v>
      </c>
      <c r="K16" s="4">
        <v>-1200000</v>
      </c>
      <c r="L16" s="4">
        <v>-2400000</v>
      </c>
      <c r="M16" s="4">
        <v>-4800000</v>
      </c>
      <c r="N16" s="4"/>
    </row>
    <row r="17" spans="2:17" x14ac:dyDescent="0.45">
      <c r="N17" s="4"/>
    </row>
    <row r="18" spans="2:17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2:17" x14ac:dyDescent="0.45"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2:17" x14ac:dyDescent="0.45"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2:17" x14ac:dyDescent="0.45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2:17" x14ac:dyDescent="0.45"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7" x14ac:dyDescent="0.45"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7" x14ac:dyDescent="0.45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7" x14ac:dyDescent="0.4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7" x14ac:dyDescent="0.45"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7" x14ac:dyDescent="0.4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7" x14ac:dyDescent="0.45"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7" x14ac:dyDescent="0.45"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7" x14ac:dyDescent="0.45"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7" x14ac:dyDescent="0.45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7" x14ac:dyDescent="0.45"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4:14" x14ac:dyDescent="0.45">
      <c r="D33" s="3"/>
      <c r="N33" s="4"/>
    </row>
    <row r="34" spans="4:14" x14ac:dyDescent="0.45"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4:14" x14ac:dyDescent="0.45">
      <c r="D35" s="3"/>
      <c r="N35" s="4"/>
    </row>
    <row r="36" spans="4:14" x14ac:dyDescent="0.45">
      <c r="D36" s="3"/>
      <c r="N36" s="4"/>
    </row>
    <row r="37" spans="4:14" x14ac:dyDescent="0.45">
      <c r="D37" s="3"/>
    </row>
    <row r="38" spans="4:14" x14ac:dyDescent="0.45">
      <c r="D38" s="3"/>
    </row>
    <row r="39" spans="4:14" x14ac:dyDescent="0.45">
      <c r="D39" s="3"/>
    </row>
    <row r="40" spans="4:14" x14ac:dyDescent="0.45">
      <c r="D40" s="3"/>
    </row>
    <row r="41" spans="4:14" x14ac:dyDescent="0.45">
      <c r="D41" s="3"/>
    </row>
    <row r="42" spans="4:14" x14ac:dyDescent="0.45">
      <c r="D42" s="3"/>
    </row>
    <row r="43" spans="4:14" x14ac:dyDescent="0.45">
      <c r="D43" s="3"/>
    </row>
    <row r="44" spans="4:14" x14ac:dyDescent="0.45">
      <c r="D44" s="3"/>
    </row>
    <row r="45" spans="4:14" x14ac:dyDescent="0.45">
      <c r="D45" s="3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27" sqref="F27"/>
    </sheetView>
  </sheetViews>
  <sheetFormatPr baseColWidth="10" defaultRowHeight="14.25" x14ac:dyDescent="0.45"/>
  <sheetData>
    <row r="1" spans="1:6" x14ac:dyDescent="0.45">
      <c r="A1" t="s">
        <v>45</v>
      </c>
      <c r="B1" t="s">
        <v>121</v>
      </c>
      <c r="C1" t="s">
        <v>122</v>
      </c>
      <c r="D1" t="s">
        <v>123</v>
      </c>
      <c r="E1" t="s">
        <v>124</v>
      </c>
    </row>
    <row r="2" spans="1:6" x14ac:dyDescent="0.45">
      <c r="A2" s="5" t="s">
        <v>52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45">
      <c r="A3" s="5" t="s">
        <v>58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45">
      <c r="A4" s="5" t="s">
        <v>62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45">
      <c r="A5" s="5" t="s">
        <v>64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45">
      <c r="A6" s="5" t="s">
        <v>66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45">
      <c r="A7" s="5" t="s">
        <v>68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opLeftCell="Z43" workbookViewId="0">
      <selection activeCell="AI76" sqref="AI76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125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104</v>
      </c>
      <c r="S1">
        <v>0</v>
      </c>
      <c r="U1" t="s">
        <v>125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104</v>
      </c>
      <c r="AK1">
        <v>0</v>
      </c>
    </row>
    <row r="2" spans="1:37" x14ac:dyDescent="0.45">
      <c r="A2" t="s">
        <v>126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104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104</v>
      </c>
      <c r="AK2">
        <v>27000</v>
      </c>
    </row>
    <row r="3" spans="1:37" x14ac:dyDescent="0.45">
      <c r="A3" t="s">
        <v>127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128</v>
      </c>
      <c r="R3" t="s">
        <v>104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129</v>
      </c>
      <c r="AJ3" t="s">
        <v>104</v>
      </c>
      <c r="AK3">
        <v>20000000</v>
      </c>
    </row>
    <row r="4" spans="1:37" x14ac:dyDescent="0.45">
      <c r="A4" t="s">
        <v>130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129</v>
      </c>
      <c r="R4" t="s">
        <v>105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131</v>
      </c>
      <c r="AJ4" t="s">
        <v>105</v>
      </c>
      <c r="AK4">
        <v>0</v>
      </c>
    </row>
    <row r="5" spans="1:37" x14ac:dyDescent="0.45">
      <c r="A5" t="s">
        <v>132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131</v>
      </c>
      <c r="R5" t="s">
        <v>105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133</v>
      </c>
      <c r="AJ5" t="s">
        <v>105</v>
      </c>
      <c r="AK5">
        <v>27000</v>
      </c>
    </row>
    <row r="6" spans="1:37" x14ac:dyDescent="0.45">
      <c r="A6" t="s">
        <v>134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133</v>
      </c>
      <c r="R6" t="s">
        <v>105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105</v>
      </c>
      <c r="AK6">
        <v>20000000</v>
      </c>
    </row>
    <row r="7" spans="1:37" x14ac:dyDescent="0.45">
      <c r="A7" t="s">
        <v>135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106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106</v>
      </c>
      <c r="AK7">
        <v>0</v>
      </c>
    </row>
    <row r="8" spans="1:37" x14ac:dyDescent="0.45">
      <c r="A8" t="s">
        <v>136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106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106</v>
      </c>
      <c r="AK8">
        <v>27000</v>
      </c>
    </row>
    <row r="9" spans="1:37" x14ac:dyDescent="0.45">
      <c r="A9" t="s">
        <v>137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106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106</v>
      </c>
      <c r="AK9">
        <v>20000000</v>
      </c>
    </row>
    <row r="10" spans="1:37" x14ac:dyDescent="0.45">
      <c r="A10" t="s">
        <v>138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107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107</v>
      </c>
      <c r="AK10">
        <v>0</v>
      </c>
    </row>
    <row r="11" spans="1:37" x14ac:dyDescent="0.45">
      <c r="A11" t="s">
        <v>139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107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107</v>
      </c>
      <c r="AK11">
        <v>27000</v>
      </c>
    </row>
    <row r="12" spans="1:37" x14ac:dyDescent="0.45">
      <c r="A12" t="s">
        <v>140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107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107</v>
      </c>
      <c r="AK12">
        <v>20000000</v>
      </c>
    </row>
    <row r="13" spans="1:37" x14ac:dyDescent="0.45">
      <c r="A13" t="s">
        <v>141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108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108</v>
      </c>
      <c r="AK13">
        <v>0</v>
      </c>
    </row>
    <row r="14" spans="1:37" x14ac:dyDescent="0.45">
      <c r="A14" t="s">
        <v>142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108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108</v>
      </c>
      <c r="AK14">
        <v>27000</v>
      </c>
    </row>
    <row r="15" spans="1:37" x14ac:dyDescent="0.45">
      <c r="A15" t="s">
        <v>143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108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108</v>
      </c>
      <c r="AK15">
        <v>20000000</v>
      </c>
    </row>
    <row r="16" spans="1:37" x14ac:dyDescent="0.45">
      <c r="A16" t="s">
        <v>144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145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145</v>
      </c>
      <c r="AK16">
        <v>0</v>
      </c>
    </row>
    <row r="17" spans="1:37" x14ac:dyDescent="0.45">
      <c r="A17" t="s">
        <v>146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145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145</v>
      </c>
      <c r="AK17">
        <v>27000</v>
      </c>
    </row>
    <row r="18" spans="1:37" x14ac:dyDescent="0.45">
      <c r="A18" t="s">
        <v>147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148</v>
      </c>
      <c r="R18" t="s">
        <v>145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145</v>
      </c>
      <c r="AK18">
        <v>20000000</v>
      </c>
    </row>
    <row r="19" spans="1:37" x14ac:dyDescent="0.45">
      <c r="A19" t="s">
        <v>149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150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39</v>
      </c>
      <c r="L20" s="3" t="s">
        <v>40</v>
      </c>
      <c r="M20" s="3" t="s">
        <v>41</v>
      </c>
      <c r="N20" s="3" t="s">
        <v>42</v>
      </c>
      <c r="O20" s="3" t="s">
        <v>43</v>
      </c>
      <c r="P20" s="3" t="s">
        <v>44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151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152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153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154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155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156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157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158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159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160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161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162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163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165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166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167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168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169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170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171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172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173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174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175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176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177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178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179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180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181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102</v>
      </c>
      <c r="AE46" t="s">
        <v>39</v>
      </c>
      <c r="AF46" t="s">
        <v>120</v>
      </c>
      <c r="AG46" t="s">
        <v>110</v>
      </c>
      <c r="AH46" t="s">
        <v>111</v>
      </c>
      <c r="AI46" t="s">
        <v>112</v>
      </c>
      <c r="AJ46" t="s">
        <v>113</v>
      </c>
      <c r="AK46" t="s">
        <v>114</v>
      </c>
      <c r="AL46" t="s">
        <v>115</v>
      </c>
      <c r="AM46" t="s">
        <v>116</v>
      </c>
    </row>
    <row r="47" spans="1:39" x14ac:dyDescent="0.45">
      <c r="A47" t="s">
        <v>182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104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183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104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184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104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185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105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186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105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187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105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188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106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189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106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190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106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191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107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192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107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193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107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194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108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195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108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196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108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197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198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199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45">
      <c r="A65" t="s">
        <v>200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45">
      <c r="A66" t="s">
        <v>201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45">
      <c r="A67" t="s">
        <v>202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45">
      <c r="A68" t="s">
        <v>203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45">
      <c r="A69" t="s">
        <v>204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45">
      <c r="A70" t="s">
        <v>205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45">
      <c r="A71" t="s">
        <v>206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45">
      <c r="A72" t="s">
        <v>207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45">
      <c r="A73" t="s">
        <v>208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45">
      <c r="A74" t="s">
        <v>209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45">
      <c r="A75" t="s">
        <v>210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45">
      <c r="A76" t="s">
        <v>211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45">
      <c r="A77" t="s">
        <v>212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45">
      <c r="A78" t="s">
        <v>213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45">
      <c r="A79" t="s">
        <v>214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45">
      <c r="A80" t="s">
        <v>215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45">
      <c r="A81" t="s">
        <v>216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45">
      <c r="A82" t="s">
        <v>217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45">
      <c r="A83" t="s">
        <v>218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45">
      <c r="A84" t="s">
        <v>219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45">
      <c r="A85" t="s">
        <v>220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45">
      <c r="A86" t="s">
        <v>221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45">
      <c r="A87" t="s">
        <v>222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45">
      <c r="A88" t="s">
        <v>223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45">
      <c r="A89" t="s">
        <v>224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45">
      <c r="A90" t="s">
        <v>225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45">
      <c r="A91" t="s">
        <v>226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45">
      <c r="A92" t="s">
        <v>227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45">
      <c r="A93" t="s">
        <v>228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45">
      <c r="A94" t="s">
        <v>229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45">
      <c r="A95" t="s">
        <v>230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45">
      <c r="A96" t="s">
        <v>231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232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233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234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235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236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237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238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239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240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241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242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243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244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245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246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247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248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249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250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251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252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253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254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255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256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257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258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259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260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261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262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263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264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265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61" si="16">+W130/100</f>
        <v>6.8402164621609862E-6</v>
      </c>
      <c r="Y130" s="1">
        <f t="shared" ref="Y130:Y154" si="17">+W130</f>
        <v>6.8402164621609858E-4</v>
      </c>
      <c r="Z130" s="1">
        <f t="shared" ref="Z130:Z161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266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267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268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269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270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271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272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273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274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275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276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277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278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279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280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281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282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283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284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285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286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287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288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289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290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291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292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293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294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295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296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297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298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299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300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301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302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303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304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305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306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307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308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309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310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311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312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313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314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315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316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317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318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319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320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321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322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323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324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325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326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327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328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329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330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331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332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333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334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335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336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337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338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339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340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341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342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343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344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345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346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347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2025-11-07T09:54:32Z</dcterms:modified>
</cp:coreProperties>
</file>