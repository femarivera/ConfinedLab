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runs\Response time simulations\02 Recharge decrease 100percent\"/>
    </mc:Choice>
  </mc:AlternateContent>
  <xr:revisionPtr revIDLastSave="0" documentId="13_ncr:1_{8805F2EA-1586-4861-A0D2-935DD5C6BFA2}" xr6:coauthVersionLast="47" xr6:coauthVersionMax="47" xr10:uidLastSave="{00000000-0000-0000-0000-000000000000}"/>
  <bookViews>
    <workbookView xWindow="1073" yWindow="1073" windowWidth="21600" windowHeight="11444" firstSheet="1" activeTab="11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Z152" i="13"/>
  <c r="Y152" i="13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Z147" i="13"/>
  <c r="Y147" i="13"/>
  <c r="X147" i="13"/>
  <c r="AA146" i="13"/>
  <c r="Y146" i="13"/>
  <c r="Z146" i="13" s="1"/>
  <c r="X146" i="13"/>
  <c r="AA145" i="13"/>
  <c r="Y145" i="13"/>
  <c r="Z145" i="13" s="1"/>
  <c r="X145" i="13"/>
  <c r="AA144" i="13"/>
  <c r="Y144" i="13"/>
  <c r="Z144" i="13" s="1"/>
  <c r="X144" i="13"/>
  <c r="AA143" i="13"/>
  <c r="Y143" i="13"/>
  <c r="Z143" i="13" s="1"/>
  <c r="X143" i="13"/>
  <c r="AA142" i="13"/>
  <c r="Y142" i="13"/>
  <c r="Z142" i="13" s="1"/>
  <c r="X142" i="13"/>
  <c r="AA141" i="13"/>
  <c r="Z141" i="13"/>
  <c r="Y141" i="13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Z136" i="13"/>
  <c r="Y136" i="13"/>
  <c r="X136" i="13"/>
  <c r="AA135" i="13"/>
  <c r="Y135" i="13"/>
  <c r="Z135" i="13" s="1"/>
  <c r="X135" i="13"/>
  <c r="AA134" i="13"/>
  <c r="Y134" i="13"/>
  <c r="Z134" i="13" s="1"/>
  <c r="X134" i="13"/>
  <c r="AA133" i="13"/>
  <c r="Y133" i="13"/>
  <c r="Z133" i="13" s="1"/>
  <c r="X133" i="13"/>
  <c r="AA132" i="13"/>
  <c r="Y132" i="13"/>
  <c r="Z132" i="13" s="1"/>
  <c r="X132" i="13"/>
  <c r="AA131" i="13"/>
  <c r="Y131" i="13"/>
  <c r="Z131" i="13" s="1"/>
  <c r="X131" i="13"/>
  <c r="AA130" i="13"/>
  <c r="Z130" i="13"/>
  <c r="Y130" i="13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Z125" i="13"/>
  <c r="Y125" i="13"/>
  <c r="X125" i="13"/>
  <c r="AA124" i="13"/>
  <c r="Y124" i="13"/>
  <c r="Z124" i="13" s="1"/>
  <c r="X124" i="13"/>
  <c r="AA123" i="13"/>
  <c r="Y123" i="13"/>
  <c r="Z123" i="13" s="1"/>
  <c r="X123" i="13"/>
  <c r="AA122" i="13"/>
  <c r="Y122" i="13"/>
  <c r="Z122" i="13" s="1"/>
  <c r="X122" i="13"/>
  <c r="AA121" i="13"/>
  <c r="Y121" i="13"/>
  <c r="Z121" i="13" s="1"/>
  <c r="X121" i="13"/>
  <c r="AA120" i="13"/>
  <c r="Y120" i="13"/>
  <c r="Z120" i="13" s="1"/>
  <c r="X120" i="13"/>
  <c r="AA119" i="13"/>
  <c r="Z119" i="13"/>
  <c r="Y119" i="13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Z114" i="13"/>
  <c r="Y114" i="13"/>
  <c r="X114" i="13"/>
  <c r="AA113" i="13"/>
  <c r="Y113" i="13"/>
  <c r="Z113" i="13" s="1"/>
  <c r="X113" i="13"/>
  <c r="AA112" i="13"/>
  <c r="Y112" i="13"/>
  <c r="Z112" i="13" s="1"/>
  <c r="X112" i="13"/>
  <c r="AA111" i="13"/>
  <c r="Y111" i="13"/>
  <c r="Z111" i="13" s="1"/>
  <c r="X111" i="13"/>
  <c r="AA110" i="13"/>
  <c r="Y110" i="13"/>
  <c r="Z110" i="13" s="1"/>
  <c r="X110" i="13"/>
  <c r="AA109" i="13"/>
  <c r="Y109" i="13"/>
  <c r="Z109" i="13" s="1"/>
  <c r="X109" i="13"/>
  <c r="AA108" i="13"/>
  <c r="Z108" i="13"/>
  <c r="Y108" i="13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Z103" i="13"/>
  <c r="Y103" i="13"/>
  <c r="X103" i="13"/>
  <c r="AA102" i="13"/>
  <c r="Y102" i="13"/>
  <c r="Z102" i="13" s="1"/>
  <c r="X102" i="13"/>
  <c r="AA101" i="13"/>
  <c r="Y101" i="13"/>
  <c r="Z101" i="13" s="1"/>
  <c r="X101" i="13"/>
  <c r="AA100" i="13"/>
  <c r="Y100" i="13"/>
  <c r="Z100" i="13" s="1"/>
  <c r="X100" i="13"/>
  <c r="AA99" i="13"/>
  <c r="Y99" i="13"/>
  <c r="Z99" i="13" s="1"/>
  <c r="X99" i="13"/>
  <c r="AA98" i="13"/>
  <c r="Y98" i="13"/>
  <c r="Z98" i="13" s="1"/>
  <c r="X98" i="13"/>
  <c r="AA97" i="13"/>
  <c r="Z97" i="13"/>
  <c r="Y97" i="13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Z92" i="13"/>
  <c r="Y92" i="13"/>
  <c r="X92" i="13"/>
  <c r="AA91" i="13"/>
  <c r="Y91" i="13"/>
  <c r="Z91" i="13" s="1"/>
  <c r="X91" i="13"/>
  <c r="AA90" i="13"/>
  <c r="Y90" i="13"/>
  <c r="Z90" i="13" s="1"/>
  <c r="X90" i="13"/>
  <c r="AA89" i="13"/>
  <c r="Y89" i="13"/>
  <c r="Z89" i="13" s="1"/>
  <c r="X89" i="13"/>
  <c r="AA88" i="13"/>
  <c r="Y88" i="13"/>
  <c r="Z88" i="13" s="1"/>
  <c r="X88" i="13"/>
  <c r="AI87" i="13"/>
  <c r="AA87" i="13"/>
  <c r="Y87" i="13"/>
  <c r="Z87" i="13" s="1"/>
  <c r="X87" i="13"/>
  <c r="AI86" i="13"/>
  <c r="AA86" i="13"/>
  <c r="Y86" i="13"/>
  <c r="Z86" i="13" s="1"/>
  <c r="X86" i="13"/>
  <c r="AI85" i="13"/>
  <c r="AA85" i="13"/>
  <c r="Z85" i="13"/>
  <c r="Y85" i="13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Y82" i="13"/>
  <c r="Z82" i="13" s="1"/>
  <c r="X82" i="13"/>
  <c r="AA81" i="13"/>
  <c r="Z81" i="13"/>
  <c r="Y81" i="13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Z77" i="13"/>
  <c r="Y77" i="13"/>
  <c r="X77" i="13"/>
  <c r="AI76" i="13"/>
  <c r="AA76" i="13"/>
  <c r="Y76" i="13"/>
  <c r="Z76" i="13" s="1"/>
  <c r="X76" i="13"/>
  <c r="AA75" i="13"/>
  <c r="Y75" i="13"/>
  <c r="Z75" i="13" s="1"/>
  <c r="X75" i="13"/>
  <c r="AA74" i="13"/>
  <c r="Y74" i="13"/>
  <c r="Z74" i="13" s="1"/>
  <c r="X74" i="13"/>
  <c r="AA73" i="13"/>
  <c r="Y73" i="13"/>
  <c r="Z73" i="13" s="1"/>
  <c r="X73" i="13"/>
  <c r="AA72" i="13"/>
  <c r="Z72" i="13"/>
  <c r="Y72" i="13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Z67" i="13"/>
  <c r="Y67" i="13"/>
  <c r="X67" i="13"/>
  <c r="AA66" i="13"/>
  <c r="Y66" i="13"/>
  <c r="Z66" i="13" s="1"/>
  <c r="X66" i="13"/>
  <c r="AA65" i="13"/>
  <c r="Y65" i="13"/>
  <c r="Z65" i="13" s="1"/>
  <c r="X65" i="13"/>
  <c r="AA64" i="13"/>
  <c r="Y64" i="13"/>
  <c r="Z64" i="13" s="1"/>
  <c r="X64" i="13"/>
  <c r="AA63" i="13"/>
  <c r="Y63" i="13"/>
  <c r="Z63" i="13" s="1"/>
  <c r="X63" i="13"/>
  <c r="AA62" i="13"/>
  <c r="Y62" i="13"/>
  <c r="Z62" i="13" s="1"/>
  <c r="X62" i="13"/>
  <c r="AA61" i="13"/>
  <c r="Z61" i="13"/>
  <c r="Y61" i="13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Z56" i="13"/>
  <c r="Y56" i="13"/>
  <c r="X56" i="13"/>
  <c r="AA55" i="13"/>
  <c r="Y55" i="13"/>
  <c r="Z55" i="13" s="1"/>
  <c r="X55" i="13"/>
  <c r="AA54" i="13"/>
  <c r="Y54" i="13"/>
  <c r="Z54" i="13" s="1"/>
  <c r="X54" i="13"/>
  <c r="AA53" i="13"/>
  <c r="Y53" i="13"/>
  <c r="Z53" i="13" s="1"/>
  <c r="X53" i="13"/>
  <c r="AA52" i="13"/>
  <c r="Y52" i="13"/>
  <c r="Z52" i="13" s="1"/>
  <c r="X52" i="13"/>
  <c r="AA51" i="13"/>
  <c r="Y51" i="13"/>
  <c r="Z51" i="13" s="1"/>
  <c r="X51" i="13"/>
  <c r="AA50" i="13"/>
  <c r="Z50" i="13"/>
  <c r="Y50" i="13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Z45" i="13"/>
  <c r="Y45" i="13"/>
  <c r="X45" i="13"/>
  <c r="AA44" i="13"/>
  <c r="Y44" i="13"/>
  <c r="Z44" i="13" s="1"/>
  <c r="X44" i="13"/>
  <c r="AA43" i="13"/>
  <c r="Y43" i="13"/>
  <c r="Z43" i="13" s="1"/>
  <c r="X43" i="13"/>
  <c r="AA42" i="13"/>
  <c r="Y42" i="13"/>
  <c r="Z42" i="13" s="1"/>
  <c r="X42" i="13"/>
  <c r="AA41" i="13"/>
  <c r="Y41" i="13"/>
  <c r="Z41" i="13" s="1"/>
  <c r="X41" i="13"/>
  <c r="AA40" i="13"/>
  <c r="Y40" i="13"/>
  <c r="Z40" i="13" s="1"/>
  <c r="X40" i="13"/>
  <c r="AA39" i="13"/>
  <c r="Z39" i="13"/>
  <c r="Y39" i="13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J34" i="13"/>
  <c r="AI34" i="13"/>
  <c r="AH34" i="13"/>
  <c r="AG34" i="13"/>
  <c r="AF34" i="13"/>
  <c r="AA34" i="13"/>
  <c r="Y34" i="13"/>
  <c r="Z34" i="13" s="1"/>
  <c r="X34" i="13"/>
  <c r="AA33" i="13"/>
  <c r="Y33" i="13"/>
  <c r="Z33" i="13" s="1"/>
  <c r="X33" i="13"/>
  <c r="AJ32" i="13"/>
  <c r="AI32" i="13"/>
  <c r="AH32" i="13"/>
  <c r="AG32" i="13"/>
  <c r="AF32" i="13"/>
  <c r="AE32" i="13"/>
  <c r="AE34" i="13" s="1"/>
  <c r="AA32" i="13"/>
  <c r="Y32" i="13"/>
  <c r="Z32" i="13" s="1"/>
  <c r="X32" i="13"/>
  <c r="AA31" i="13"/>
  <c r="Z31" i="13"/>
  <c r="Y31" i="13"/>
  <c r="X31" i="13"/>
  <c r="AA30" i="13"/>
  <c r="Y30" i="13"/>
  <c r="Z30" i="13" s="1"/>
  <c r="X30" i="13"/>
  <c r="AA29" i="13"/>
  <c r="Y29" i="13"/>
  <c r="Z29" i="13" s="1"/>
  <c r="X29" i="13"/>
  <c r="AA28" i="13"/>
  <c r="Z28" i="13"/>
  <c r="Y28" i="13"/>
  <c r="X28" i="13"/>
  <c r="AA27" i="13"/>
  <c r="Y27" i="13"/>
  <c r="Z27" i="13" s="1"/>
  <c r="X27" i="13"/>
  <c r="AA26" i="13"/>
  <c r="Z26" i="13"/>
  <c r="Y26" i="13"/>
  <c r="X26" i="13"/>
  <c r="AA25" i="13"/>
  <c r="Y25" i="13"/>
  <c r="Z25" i="13" s="1"/>
  <c r="X25" i="13"/>
  <c r="AA24" i="13"/>
  <c r="Y24" i="13"/>
  <c r="Z24" i="13" s="1"/>
  <c r="X24" i="13"/>
  <c r="AA23" i="13"/>
  <c r="Y23" i="13"/>
  <c r="Z23" i="13" s="1"/>
  <c r="X23" i="13"/>
  <c r="AA22" i="13"/>
  <c r="Y22" i="13"/>
  <c r="Z22" i="13" s="1"/>
  <c r="X22" i="13"/>
  <c r="AA21" i="13"/>
  <c r="Y21" i="13"/>
  <c r="Z21" i="13" s="1"/>
  <c r="X21" i="13"/>
  <c r="AA20" i="13"/>
  <c r="Z20" i="13"/>
  <c r="Y20" i="13"/>
  <c r="X20" i="13"/>
  <c r="AA19" i="13"/>
  <c r="Y19" i="13"/>
  <c r="Z19" i="13" s="1"/>
  <c r="X19" i="13"/>
  <c r="AA18" i="13"/>
  <c r="Y18" i="13"/>
  <c r="Z18" i="13" s="1"/>
  <c r="X18" i="13"/>
  <c r="AA17" i="13"/>
  <c r="Z17" i="13"/>
  <c r="Y17" i="13"/>
  <c r="X17" i="13"/>
  <c r="AA16" i="13"/>
  <c r="Y16" i="13"/>
  <c r="Z16" i="13" s="1"/>
  <c r="X16" i="13"/>
  <c r="AA15" i="13"/>
  <c r="Z15" i="13"/>
  <c r="Y15" i="13"/>
  <c r="X15" i="13"/>
  <c r="AA14" i="13"/>
  <c r="Y14" i="13"/>
  <c r="Z14" i="13" s="1"/>
  <c r="X14" i="13"/>
  <c r="AA13" i="13"/>
  <c r="Y13" i="13"/>
  <c r="Z13" i="13" s="1"/>
  <c r="X13" i="13"/>
  <c r="AA12" i="13"/>
  <c r="Y12" i="13"/>
  <c r="Z12" i="13" s="1"/>
  <c r="X12" i="13"/>
  <c r="AA11" i="13"/>
  <c r="Y11" i="13"/>
  <c r="Z11" i="13" s="1"/>
  <c r="X11" i="13"/>
  <c r="AA10" i="13"/>
  <c r="Y10" i="13"/>
  <c r="Z10" i="13" s="1"/>
  <c r="X10" i="13"/>
  <c r="AA9" i="13"/>
  <c r="Z9" i="13"/>
  <c r="Y9" i="13"/>
  <c r="X9" i="13"/>
  <c r="AA8" i="13"/>
  <c r="Y8" i="13"/>
  <c r="Z8" i="13" s="1"/>
  <c r="X8" i="13"/>
  <c r="AA7" i="13"/>
  <c r="Y7" i="13"/>
  <c r="Z7" i="13" s="1"/>
  <c r="X7" i="13"/>
  <c r="AA6" i="13"/>
  <c r="Z6" i="13"/>
  <c r="Y6" i="13"/>
  <c r="X6" i="13"/>
  <c r="AA5" i="13"/>
  <c r="Y5" i="13"/>
  <c r="Z5" i="13" s="1"/>
  <c r="X5" i="13"/>
  <c r="AA4" i="13"/>
  <c r="Z4" i="13"/>
  <c r="Y4" i="13"/>
  <c r="X4" i="13"/>
  <c r="AA3" i="13"/>
  <c r="Y3" i="13"/>
  <c r="Z3" i="13" s="1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<sst xmlns="http://schemas.openxmlformats.org/spreadsheetml/2006/main" count="1868" uniqueCount="787">
  <si>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</si>
  <si>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</si>
  <si>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</si>
  <si>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</si>
  <si>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</si>
  <si>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</si>
  <si>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</si>
  <si>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</si>
  <si>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</si>
  <si>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</si>
  <si>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</si>
  <si>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</si>
  <si>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</si>
  <si>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</si>
  <si>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</si>
  <si>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</si>
  <si>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</si>
  <si>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</si>
  <si>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</si>
  <si>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</si>
  <si>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</si>
  <si>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</si>
  <si>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</si>
  <si>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</si>
  <si>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</si>
  <si>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</si>
  <si>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</si>
  <si>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</si>
  <si>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</si>
  <si>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</si>
  <si>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</si>
  <si>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</si>
  <si>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</si>
  <si>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</si>
  <si>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</si>
  <si>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</si>
  <si>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</si>
  <si>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</si>
  <si>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</si>
  <si>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</si>
  <si>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</si>
  <si>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</si>
  <si>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</si>
  <si>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</si>
  <si>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</si>
  <si>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</si>
  <si>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</si>
  <si>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</si>
  <si>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</si>
  <si>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</si>
  <si>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</si>
  <si>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</si>
  <si>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</si>
  <si>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</si>
  <si>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</si>
  <si>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</si>
  <si>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</si>
  <si>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</si>
  <si>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</si>
  <si>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</si>
  <si>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</si>
  <si>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</si>
  <si>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</si>
  <si>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</si>
  <si>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</si>
  <si>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</si>
  <si>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</si>
  <si>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</si>
  <si>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</si>
  <si>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</si>
  <si>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</si>
  <si>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</si>
  <si>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</si>
  <si>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</si>
  <si>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</si>
  <si>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</si>
  <si>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</si>
  <si>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Hydraulic conductivity of drain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</si>
  <si>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</si>
  <si>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</si>
  <si>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</si>
  <si>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</si>
  <si>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</si>
  <si>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</si>
  <si>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</si>
  <si>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</si>
  <si>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</si>
  <si>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</si>
  <si>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Unc_0_250</t>
  </si>
  <si>
    <t>HEAD</t>
  </si>
  <si>
    <t>Unc_0_300</t>
  </si>
  <si>
    <t>Unc_0_350</t>
  </si>
  <si>
    <t>Unc_0_400</t>
  </si>
  <si>
    <t>Unc_0_450</t>
  </si>
  <si>
    <t>Unc_0_500</t>
  </si>
  <si>
    <t>Unc_0_550</t>
  </si>
  <si>
    <t>Unc_0_600</t>
  </si>
  <si>
    <t>Unc_1_250</t>
  </si>
  <si>
    <t>Unc_1_300</t>
  </si>
  <si>
    <t>Unc_1_350</t>
  </si>
  <si>
    <t>Unc_1_400</t>
  </si>
  <si>
    <t>Unc_1_450</t>
  </si>
  <si>
    <t>Unc_1_500</t>
  </si>
  <si>
    <t>Unc_1_550</t>
  </si>
  <si>
    <t>Unc_1_600</t>
  </si>
  <si>
    <t>Unc_2_250</t>
  </si>
  <si>
    <t>Unc_2_300</t>
  </si>
  <si>
    <t>Unc_2_350</t>
  </si>
  <si>
    <t>Unc_2_400</t>
  </si>
  <si>
    <t>Unc_2_450</t>
  </si>
  <si>
    <t>Unc_2_500</t>
  </si>
  <si>
    <t>Unc_2_550</t>
  </si>
  <si>
    <t>Unc_2_600</t>
  </si>
  <si>
    <t>Unc_3_250</t>
  </si>
  <si>
    <t>Unc_3_300</t>
  </si>
  <si>
    <t>Unc_3_350</t>
  </si>
  <si>
    <t>Unc_3_400</t>
  </si>
  <si>
    <t>Unc_3_450</t>
  </si>
  <si>
    <t>Unc_3_500</t>
  </si>
  <si>
    <t>Unc_3_550</t>
  </si>
  <si>
    <t>Unc_3_600</t>
  </si>
  <si>
    <t>Unc_4_250</t>
  </si>
  <si>
    <t>Unc_4_300</t>
  </si>
  <si>
    <t>Unc_4_350</t>
  </si>
  <si>
    <t>Unc_4_400</t>
  </si>
  <si>
    <t>Unc_4_450</t>
  </si>
  <si>
    <t>Unc_4_500</t>
  </si>
  <si>
    <t>Unc_4_550</t>
  </si>
  <si>
    <t>Unc_4_600</t>
  </si>
  <si>
    <t>Aqt1_5_200</t>
  </si>
  <si>
    <t>Aqt1_5_250</t>
  </si>
  <si>
    <t>Aqt1_5_300</t>
  </si>
  <si>
    <t>Aqt1_5_350</t>
  </si>
  <si>
    <t>Aqt1_5_400</t>
  </si>
  <si>
    <t>Aqt1_5_450</t>
  </si>
  <si>
    <t>Aqt1_5_500</t>
  </si>
  <si>
    <t>Aqt1_5_550</t>
  </si>
  <si>
    <t>Aqt1_5_600</t>
  </si>
  <si>
    <t>Aqt1_6_200</t>
  </si>
  <si>
    <t>Aqt1_6_250</t>
  </si>
  <si>
    <t>Aqt1_6_300</t>
  </si>
  <si>
    <t>Aqt1_6_350</t>
  </si>
  <si>
    <t>Aqt1_6_400</t>
  </si>
  <si>
    <t>Aqt1_6_450</t>
  </si>
  <si>
    <t>Aqt1_6_500</t>
  </si>
  <si>
    <t>Aqt1_6_550</t>
  </si>
  <si>
    <t>Aqt1_6_600</t>
  </si>
  <si>
    <t>Aqt1_7_200</t>
  </si>
  <si>
    <t>Aqt1_7_250</t>
  </si>
  <si>
    <t>Aqt1_7_300</t>
  </si>
  <si>
    <t>Aqt1_7_350</t>
  </si>
  <si>
    <t>Aqt1_7_400</t>
  </si>
  <si>
    <t>Aqt1_7_450</t>
  </si>
  <si>
    <t>Aqt1_7_500</t>
  </si>
  <si>
    <t>Aqt1_7_550</t>
  </si>
  <si>
    <t>Aqt1_7_600</t>
  </si>
  <si>
    <t>Aqt1_8_200</t>
  </si>
  <si>
    <t>Aqt1_8_250</t>
  </si>
  <si>
    <t>Aqt1_8_300</t>
  </si>
  <si>
    <t>Aqt1_8_350</t>
  </si>
  <si>
    <t>Aqt1_8_400</t>
  </si>
  <si>
    <t>Aqt1_8_450</t>
  </si>
  <si>
    <t>Aqt1_8_500</t>
  </si>
  <si>
    <t>Aqt1_8_550</t>
  </si>
  <si>
    <t>Aqt1_8_600</t>
  </si>
  <si>
    <t>Aqt1_9_200</t>
  </si>
  <si>
    <t>Aqt1_9_250</t>
  </si>
  <si>
    <t>Aqt1_9_300</t>
  </si>
  <si>
    <t>Aqt1_9_350</t>
  </si>
  <si>
    <t>Aqt1_9_400</t>
  </si>
  <si>
    <t>Aqt1_9_450</t>
  </si>
  <si>
    <t>Aqt1_9_500</t>
  </si>
  <si>
    <t>Aqt1_9_550</t>
  </si>
  <si>
    <t>Aqt1_9_600</t>
  </si>
  <si>
    <t>Aqt1_10_100</t>
  </si>
  <si>
    <t>Aqt1_10_150</t>
  </si>
  <si>
    <t>Aqt1_10_200</t>
  </si>
  <si>
    <t>Caq1_10_250</t>
  </si>
  <si>
    <t>Caq1_10_300</t>
  </si>
  <si>
    <t>Caq1_10_350</t>
  </si>
  <si>
    <t>Caq1_10_400</t>
  </si>
  <si>
    <t>Caq1_10_450</t>
  </si>
  <si>
    <t>Caq1_10_500</t>
  </si>
  <si>
    <t>Caq1_10_550</t>
  </si>
  <si>
    <t>Caq1_10_600</t>
  </si>
  <si>
    <t>Caq1_11_100</t>
  </si>
  <si>
    <t>Caq1_11_150</t>
  </si>
  <si>
    <t>Caq1_11_200</t>
  </si>
  <si>
    <t>Caq1_11_250</t>
  </si>
  <si>
    <t>Caq1_11_300</t>
  </si>
  <si>
    <t>Caq1_11_350</t>
  </si>
  <si>
    <t>Caq1_11_400</t>
  </si>
  <si>
    <t>Caq1_11_450</t>
  </si>
  <si>
    <t>Caq1_11_500</t>
  </si>
  <si>
    <t>Caq1_11_550</t>
  </si>
  <si>
    <t>Caq1_11_600</t>
  </si>
  <si>
    <t>Caq1_12_100</t>
  </si>
  <si>
    <t>Caq1_12_150</t>
  </si>
  <si>
    <t>Caq1_12_200</t>
  </si>
  <si>
    <t>Caq1_12_250</t>
  </si>
  <si>
    <t>Caq1_12_300</t>
  </si>
  <si>
    <t>Caq1_12_350</t>
  </si>
  <si>
    <t>Caq1_12_400</t>
  </si>
  <si>
    <t>Caq1_12_450</t>
  </si>
  <si>
    <t>Caq1_12_500</t>
  </si>
  <si>
    <t>Caq1_12_550</t>
  </si>
  <si>
    <t>Caq1_12_600</t>
  </si>
  <si>
    <t>Caq1_13_100</t>
  </si>
  <si>
    <t>Caq1_13_150</t>
  </si>
  <si>
    <t>Caq1_13_200</t>
  </si>
  <si>
    <t>Caq1_13_250</t>
  </si>
  <si>
    <t>Caq1_13_300</t>
  </si>
  <si>
    <t>Caq1_13_350</t>
  </si>
  <si>
    <t>Caq1_13_400</t>
  </si>
  <si>
    <t>Caq1_13_450</t>
  </si>
  <si>
    <t>Caq1_13_500</t>
  </si>
  <si>
    <t>Caq1_13_550</t>
  </si>
  <si>
    <t>Caq1_13_600</t>
  </si>
  <si>
    <t>Caq1_14_100</t>
  </si>
  <si>
    <t>Caq1_14_150</t>
  </si>
  <si>
    <t>Caq1_14_200</t>
  </si>
  <si>
    <t>Caq1_14_250</t>
  </si>
  <si>
    <t>Caq1_14_300</t>
  </si>
  <si>
    <t>Caq1_14_350</t>
  </si>
  <si>
    <t>Caq1_14_400</t>
  </si>
  <si>
    <t>Caq1_14_450</t>
  </si>
  <si>
    <t>Caq1_14_500</t>
  </si>
  <si>
    <t>Caq1_14_550</t>
  </si>
  <si>
    <t>Caq1_14_600</t>
  </si>
  <si>
    <t>Aqt2_15_75</t>
  </si>
  <si>
    <t>Aqt2_15_100</t>
  </si>
  <si>
    <t>Aqt2_15_150</t>
  </si>
  <si>
    <t>Aqt2_15_200</t>
  </si>
  <si>
    <t>Aqt2_15_250</t>
  </si>
  <si>
    <t>Aqt2_15_300</t>
  </si>
  <si>
    <t>Aqt2_15_350</t>
  </si>
  <si>
    <t>Aqt2_15_400</t>
  </si>
  <si>
    <t>Aqt2_15_450</t>
  </si>
  <si>
    <t>Aqt2_15_500</t>
  </si>
  <si>
    <t>Aqt2_15_550</t>
  </si>
  <si>
    <t>Aqt2_15_600</t>
  </si>
  <si>
    <t>Aqt2_16_75</t>
  </si>
  <si>
    <t>Aqt2_16_100</t>
  </si>
  <si>
    <t>Aqt2_16_150</t>
  </si>
  <si>
    <t>Aqt2_16_200</t>
  </si>
  <si>
    <t>Aqt2_16_250</t>
  </si>
  <si>
    <t>Aqt2_16_300</t>
  </si>
  <si>
    <t>Aqt2_16_350</t>
  </si>
  <si>
    <t>Aqt2_16_400</t>
  </si>
  <si>
    <t>Aqt2_16_450</t>
  </si>
  <si>
    <t>Aqt2_16_500</t>
  </si>
  <si>
    <t>Aqt2_16_550</t>
  </si>
  <si>
    <t>Aqt2_16_600</t>
  </si>
  <si>
    <t>Aqt2_17_75</t>
  </si>
  <si>
    <t>Aqt2_17_100</t>
  </si>
  <si>
    <t>Aqt2_17_150</t>
  </si>
  <si>
    <t>Aqt2_17_200</t>
  </si>
  <si>
    <t>Aqt2_17_250</t>
  </si>
  <si>
    <t>Aqt2_17_300</t>
  </si>
  <si>
    <t>Aqt2_17_350</t>
  </si>
  <si>
    <t>Aqt2_17_400</t>
  </si>
  <si>
    <t>Aqt2_17_450</t>
  </si>
  <si>
    <t>Aqt2_17_500</t>
  </si>
  <si>
    <t>Aqt2_17_550</t>
  </si>
  <si>
    <t>Aqt2_17_600</t>
  </si>
  <si>
    <t>Aqt2_18_75</t>
  </si>
  <si>
    <t>Aqt2_18_100</t>
  </si>
  <si>
    <t>Aqt2_18_150</t>
  </si>
  <si>
    <t>Aqt2_18_200</t>
  </si>
  <si>
    <t>Aqt2_18_250</t>
  </si>
  <si>
    <t>Aqt2_18_300</t>
  </si>
  <si>
    <t>Aqt2_18_350</t>
  </si>
  <si>
    <t>Aqt2_18_400</t>
  </si>
  <si>
    <t>Aqt2_18_450</t>
  </si>
  <si>
    <t>Aqt2_18_500</t>
  </si>
  <si>
    <t>Aqt2_18_550</t>
  </si>
  <si>
    <t>Aqt2_18_600</t>
  </si>
  <si>
    <t>Aqt2_19_75</t>
  </si>
  <si>
    <t>Aqt2_19_100</t>
  </si>
  <si>
    <t>Aqt2_19_150</t>
  </si>
  <si>
    <t>Aqt2_19_200</t>
  </si>
  <si>
    <t>Aqt2_19_250</t>
  </si>
  <si>
    <t>Aqt2_19_300</t>
  </si>
  <si>
    <t>Aqt2_19_350</t>
  </si>
  <si>
    <t>Aqt2_19_400</t>
  </si>
  <si>
    <t>Aqt2_19_450</t>
  </si>
  <si>
    <t>Aqt2_19_500</t>
  </si>
  <si>
    <t>Aqt2_19_550</t>
  </si>
  <si>
    <t>Aqt2_19_600</t>
  </si>
  <si>
    <t>Caq2_20_25</t>
  </si>
  <si>
    <t>Caq2_20_75</t>
  </si>
  <si>
    <t>Caq2_20_100</t>
  </si>
  <si>
    <t>Caq2_20_150</t>
  </si>
  <si>
    <t>Caq2_20_200</t>
  </si>
  <si>
    <t>Caq2_20_250</t>
  </si>
  <si>
    <t>Caq2_20_300</t>
  </si>
  <si>
    <t>Caq2_20_350</t>
  </si>
  <si>
    <t>Caq2_20_400</t>
  </si>
  <si>
    <t>Caq2_20_450</t>
  </si>
  <si>
    <t>Caq2_20_500</t>
  </si>
  <si>
    <t>Caq2_20_550</t>
  </si>
  <si>
    <t>Caq2_20_600</t>
  </si>
  <si>
    <t>Caq2_21_25</t>
  </si>
  <si>
    <t>Caq2_21_75</t>
  </si>
  <si>
    <t>Caq2_21_100</t>
  </si>
  <si>
    <t>Caq2_21_150</t>
  </si>
  <si>
    <t>Caq2_21_200</t>
  </si>
  <si>
    <t>Caq2_21_250</t>
  </si>
  <si>
    <t>Caq2_21_300</t>
  </si>
  <si>
    <t>Caq2_21_350</t>
  </si>
  <si>
    <t>Caq2_21_400</t>
  </si>
  <si>
    <t>Caq2_21_450</t>
  </si>
  <si>
    <t>Caq2_21_500</t>
  </si>
  <si>
    <t>Caq2_21_550</t>
  </si>
  <si>
    <t>Caq2_21_600</t>
  </si>
  <si>
    <t>Caq2_22_25</t>
  </si>
  <si>
    <t>Caq2_22_75</t>
  </si>
  <si>
    <t>Caq2_22_100</t>
  </si>
  <si>
    <t>Caq2_22_150</t>
  </si>
  <si>
    <t>Caq2_22_200</t>
  </si>
  <si>
    <t>Caq2_22_250</t>
  </si>
  <si>
    <t>Caq2_22_300</t>
  </si>
  <si>
    <t>Caq2_22_350</t>
  </si>
  <si>
    <t>Caq2_22_400</t>
  </si>
  <si>
    <t>Caq2_22_450</t>
  </si>
  <si>
    <t>Caq2_22_500</t>
  </si>
  <si>
    <t>Caq2_22_550</t>
  </si>
  <si>
    <t>Caq2_22_600</t>
  </si>
  <si>
    <t>Caq2_23_25</t>
  </si>
  <si>
    <t>Caq2_23_75</t>
  </si>
  <si>
    <t>Caq2_23_100</t>
  </si>
  <si>
    <t>Caq2_23_150</t>
  </si>
  <si>
    <t>Caq2_23_200</t>
  </si>
  <si>
    <t>Caq2_23_250</t>
  </si>
  <si>
    <t>Caq2_23_300</t>
  </si>
  <si>
    <t>Caq2_23_350</t>
  </si>
  <si>
    <t>Caq2_23_400</t>
  </si>
  <si>
    <t>Caq2_23_450</t>
  </si>
  <si>
    <t>Caq2_23_500</t>
  </si>
  <si>
    <t>Caq2_23_550</t>
  </si>
  <si>
    <t>Caq2_23_600</t>
  </si>
  <si>
    <t>Caq2_24_25</t>
  </si>
  <si>
    <t>Caq2_24_75</t>
  </si>
  <si>
    <t>Caq2_24_100</t>
  </si>
  <si>
    <t>Caq2_24_150</t>
  </si>
  <si>
    <t>Caq2_24_200</t>
  </si>
  <si>
    <t>Caq2_24_250</t>
  </si>
  <si>
    <t>Caq2_24_300</t>
  </si>
  <si>
    <t>Caq2_24_350</t>
  </si>
  <si>
    <t>Caq2_24_400</t>
  </si>
  <si>
    <t>Caq2_24_450</t>
  </si>
  <si>
    <t>Caq2_24_500</t>
  </si>
  <si>
    <t>Caq2_24_550</t>
  </si>
  <si>
    <t>Caq2_24_600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</si>
  <si>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</si>
  <si>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</si>
  <si>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</si>
  <si>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</si>
  <si>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</si>
  <si>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</si>
  <si>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</si>
  <si>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</si>
  <si>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</si>
  <si>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</si>
  <si>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</si>
  <si>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</si>
  <si>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</si>
  <si>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</si>
  <si>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</si>
  <si>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</si>
  <si>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</si>
  <si>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</si>
  <si>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</si>
  <si>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</si>
  <si>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</si>
  <si>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</si>
  <si>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</si>
  <si>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</si>
  <si>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</si>
  <si>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</si>
  <si>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</si>
  <si>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</si>
  <si>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</si>
  <si>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</si>
  <si>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</t>
  </si>
  <si>
    <t>kv_1E-13_kh_1E-07</t>
  </si>
  <si>
    <t>kv_1E-13_kh_3E-07</t>
  </si>
  <si>
    <t>kv_1E-13_kh_1E-06</t>
  </si>
  <si>
    <t>kv_1E-13_kh_3E-06</t>
  </si>
  <si>
    <t>kv_1E-13_kh_1E-05</t>
  </si>
  <si>
    <t>kv_1E-13_kh_3E-05</t>
  </si>
  <si>
    <t>kv_1E-13_kh_1E-04</t>
  </si>
  <si>
    <t>kv_1E-13_kh_3E-04</t>
  </si>
  <si>
    <t>kv_1E-13_kh_1E-03</t>
  </si>
  <si>
    <t>kv_3E-13_kh_1E-07</t>
  </si>
  <si>
    <t>kv_3E-13_kh_3E-07</t>
  </si>
  <si>
    <t>kv_3E-13_kh_1E-06</t>
  </si>
  <si>
    <t>kv_3E-13_kh_3E-06</t>
  </si>
  <si>
    <t>kv_3E-13_kh_1E-05</t>
  </si>
  <si>
    <t>kv_3E-13_kh_3E-05</t>
  </si>
  <si>
    <t>kv_3E-13_kh_1E-04</t>
  </si>
  <si>
    <t>kv_3E-13_kh_3E-04</t>
  </si>
  <si>
    <t>kv_3E-13_kh_1E-03</t>
  </si>
  <si>
    <t>kv_1E-12_kh_1E-07</t>
  </si>
  <si>
    <t>kv_1E-12_kh_3E-07</t>
  </si>
  <si>
    <t>kv_1E-12_kh_1E-06</t>
  </si>
  <si>
    <t>kv_1E-12_kh_3E-06</t>
  </si>
  <si>
    <t>kv_1E-12_kh_1E-05</t>
  </si>
  <si>
    <t>kv_1E-12_kh_3E-05</t>
  </si>
  <si>
    <t>kv_1E-12_kh_1E-04</t>
  </si>
  <si>
    <t>kv_1E-12_kh_3E-04</t>
  </si>
  <si>
    <t>kv_1E-12_kh_1E-03</t>
  </si>
  <si>
    <t>kv_3E-12_kh_1E-07</t>
  </si>
  <si>
    <t>kv_3E-12_kh_3E-07</t>
  </si>
  <si>
    <t>kv_3E-12_kh_1E-06</t>
  </si>
  <si>
    <t>kv_3E-12_kh_3E-06</t>
  </si>
  <si>
    <t>kv_3E-12_kh_1E-05</t>
  </si>
  <si>
    <t>kv_3E-12_kh_3E-05</t>
  </si>
  <si>
    <t>kv_3E-12_kh_1E-04</t>
  </si>
  <si>
    <t>kv_3E-12_kh_3E-04</t>
  </si>
  <si>
    <t>kv_3E-12_kh_1E-03</t>
  </si>
  <si>
    <t>kv_1E-11_kh_1E-07</t>
  </si>
  <si>
    <t>kv_1E-11_kh_3E-07</t>
  </si>
  <si>
    <t>kv_1E-11_kh_1E-06</t>
  </si>
  <si>
    <t>kv_1E-11_kh_3E-06</t>
  </si>
  <si>
    <t>kv_1E-11_kh_1E-05</t>
  </si>
  <si>
    <t>kv_1E-11_kh_3E-05</t>
  </si>
  <si>
    <t>kv_1E-11_kh_1E-04</t>
  </si>
  <si>
    <t>kv_1E-11_kh_3E-04</t>
  </si>
  <si>
    <t>kv_1E-11_kh_1E-03</t>
  </si>
  <si>
    <t>kv_3E-11_kh_1E-07</t>
  </si>
  <si>
    <t>kv_3E-11_kh_3E-07</t>
  </si>
  <si>
    <t>kv_3E-11_kh_1E-06</t>
  </si>
  <si>
    <t>kv_3E-11_kh_3E-06</t>
  </si>
  <si>
    <t>kv_3E-11_kh_1E-05</t>
  </si>
  <si>
    <t>kv_3E-11_kh_3E-05</t>
  </si>
  <si>
    <t>kv_3E-11_kh_1E-04</t>
  </si>
  <si>
    <t>kv_3E-11_kh_3E-04</t>
  </si>
  <si>
    <t>kv_3E-11_kh_1E-03</t>
  </si>
  <si>
    <t>kv_1E-10_kh_1E-07</t>
  </si>
  <si>
    <t>kv_1E-10_kh_3E-07</t>
  </si>
  <si>
    <t>kv_1E-10_kh_1E-06</t>
  </si>
  <si>
    <t>kv_1E-10_kh_3E-06</t>
  </si>
  <si>
    <t>kv_1E-10_kh_1E-05</t>
  </si>
  <si>
    <t>kv_1E-10_kh_3E-05</t>
  </si>
  <si>
    <t>kv_1E-10_kh_1E-04</t>
  </si>
  <si>
    <t>kv_1E-10_kh_3E-04</t>
  </si>
  <si>
    <t>kv_1E-10_kh_1E-03</t>
  </si>
  <si>
    <t>kv_3E-10_kh_1E-07</t>
  </si>
  <si>
    <t>kv_3E-10_kh_3E-07</t>
  </si>
  <si>
    <t>kv_3E-10_kh_1E-06</t>
  </si>
  <si>
    <t>kv_3E-10_kh_3E-06</t>
  </si>
  <si>
    <t>kv_3E-10_kh_1E-05</t>
  </si>
  <si>
    <t>kv_3E-10_kh_3E-05</t>
  </si>
  <si>
    <t>kv_3E-10_kh_1E-04</t>
  </si>
  <si>
    <t>kv_3E-10_kh_3E-04</t>
  </si>
  <si>
    <t>kv_3E-10_kh_1E-03</t>
  </si>
  <si>
    <t>kv_1E-09_kh_1E-07</t>
  </si>
  <si>
    <t>kv_1E-09_kh_3E-07</t>
  </si>
  <si>
    <t>kv_1E-09_kh_1E-06</t>
  </si>
  <si>
    <t>kv_1E-09_kh_3E-06</t>
  </si>
  <si>
    <t>kv_1E-09_kh_1E-05</t>
  </si>
  <si>
    <t>kv_1E-09_kh_3E-05</t>
  </si>
  <si>
    <t>kv_1E-09_kh_1E-04</t>
  </si>
  <si>
    <t>kv_1E-09_kh_3E-04</t>
  </si>
  <si>
    <t>kv_1E-09_kh_1E-03</t>
  </si>
  <si>
    <t>kv_3E-09_kh_1E-07</t>
  </si>
  <si>
    <t>kv_3E-09_kh_3E-07</t>
  </si>
  <si>
    <t>kv_3E-09_kh_1E-06</t>
  </si>
  <si>
    <t>kv_3E-09_kh_3E-06</t>
  </si>
  <si>
    <t>kv_3E-09_kh_1E-05</t>
  </si>
  <si>
    <t>kv_3E-09_kh_3E-05</t>
  </si>
  <si>
    <t>kv_3E-09_kh_1E-04</t>
  </si>
  <si>
    <t>kv_3E-09_kh_3E-04</t>
  </si>
  <si>
    <t>kv_3E-09_kh_1E-03</t>
  </si>
  <si>
    <t>kv_1E-08_kh_1E-07</t>
  </si>
  <si>
    <t>kv_1E-08_kh_3E-07</t>
  </si>
  <si>
    <t>kv_1E-08_kh_1E-06</t>
  </si>
  <si>
    <t>kv_1E-08_kh_3E-06</t>
  </si>
  <si>
    <t>kv_1E-08_kh_1E-05</t>
  </si>
  <si>
    <t>kv_1E-08_kh_3E-05</t>
  </si>
  <si>
    <t>kv_1E-08_kh_1E-04</t>
  </si>
  <si>
    <t>kv_1E-08_kh_3E-04</t>
  </si>
  <si>
    <t>kv_1E-08_kh_1E-03</t>
  </si>
  <si>
    <t>kv_3E-08_kh_1E-07</t>
  </si>
  <si>
    <t>kv_3E-08_kh_3E-07</t>
  </si>
  <si>
    <t>kv_3E-08_kh_1E-06</t>
  </si>
  <si>
    <t>kv_3E-08_kh_3E-06</t>
  </si>
  <si>
    <t>kv_3E-08_kh_1E-05</t>
  </si>
  <si>
    <t>kv_3E-08_kh_3E-05</t>
  </si>
  <si>
    <t>kv_3E-08_kh_1E-04</t>
  </si>
  <si>
    <t>kv_3E-08_kh_3E-04</t>
  </si>
  <si>
    <t>kv_3E-08_kh_1E-03</t>
  </si>
  <si>
    <t>kv_1E-07_kh_1E-07</t>
  </si>
  <si>
    <t>kv_1E-07_kh_3E-07</t>
  </si>
  <si>
    <t>kv_1E-07_kh_1E-06</t>
  </si>
  <si>
    <t>kv_1E-07_kh_3E-06</t>
  </si>
  <si>
    <t>kv_1E-07_kh_1E-05</t>
  </si>
  <si>
    <t>kv_1E-07_kh_3E-05</t>
  </si>
  <si>
    <t>kv_1E-07_kh_1E-04</t>
  </si>
  <si>
    <t>kv_1E-07_kh_3E-04</t>
  </si>
  <si>
    <t>kv_1E-07_kh_1E-03</t>
  </si>
  <si>
    <t>kv_3E-07_kh_1E-07</t>
  </si>
  <si>
    <t>kv_3E-07_kh_3E-07</t>
  </si>
  <si>
    <t>kv_3E-07_kh_1E-06</t>
  </si>
  <si>
    <t>kv_3E-07_kh_3E-06</t>
  </si>
  <si>
    <t>kv_3E-07_kh_1E-05</t>
  </si>
  <si>
    <t>kv_3E-07_kh_3E-05</t>
  </si>
  <si>
    <t>kv_3E-07_kh_1E-04</t>
  </si>
  <si>
    <t>kv_3E-07_kh_3E-04</t>
  </si>
  <si>
    <t>kv_3E-07_kh_1E-03</t>
  </si>
  <si>
    <t>kv_1E-06_kh_1E-07</t>
  </si>
  <si>
    <t>kv_1E-06_kh_3E-07</t>
  </si>
  <si>
    <t>kv_1E-06_kh_1E-06</t>
  </si>
  <si>
    <t>kv_1E-06_kh_3E-06</t>
  </si>
  <si>
    <t>kv_1E-06_kh_1E-05</t>
  </si>
  <si>
    <t>kv_1E-06_kh_3E-05</t>
  </si>
  <si>
    <t>kv_1E-06_kh_1E-04</t>
  </si>
  <si>
    <t>kv_1E-06_kh_3E-04</t>
  </si>
  <si>
    <t>kv_1E-06_kh_1E-03</t>
  </si>
  <si>
    <t>kv_1E-13_kh_5E-04</t>
  </si>
  <si>
    <t>kv_3E-13_kh_5E-04</t>
  </si>
  <si>
    <t>kv_1E-12_kh_5E-04</t>
  </si>
  <si>
    <t>kv_3E-12_kh_5E-04</t>
  </si>
  <si>
    <t>kv_1E-11_kh_5E-04</t>
  </si>
  <si>
    <t>kv_3E-11_kh_5E-04</t>
  </si>
  <si>
    <t>kv_1E-10_kh_5E-04</t>
  </si>
  <si>
    <t>kv_3E-10_kh_5E-04</t>
  </si>
  <si>
    <t>kv_1E-09_kh_5E-04</t>
  </si>
  <si>
    <t>kv_3E-09_kh_5E-04</t>
  </si>
  <si>
    <t>kv_1E-08_kh_5E-04</t>
  </si>
  <si>
    <t>kv_3E-08_kh_5E-04</t>
  </si>
  <si>
    <t>kv_1E-07_kh_5E-04</t>
  </si>
  <si>
    <t>kv_3E-07_kh_5E-04</t>
  </si>
  <si>
    <t>kv_1E-06_kh_5E-04</t>
  </si>
  <si>
    <t>year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</si>
  <si>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</si>
  <si>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</si>
  <si>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</si>
  <si>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</si>
  <si>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</si>
  <si>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</si>
  <si>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</si>
  <si>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</si>
  <si>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</si>
  <si>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</si>
  <si>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</si>
  <si>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</si>
  <si>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</si>
  <si>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</si>
  <si>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</si>
  <si>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</si>
  <si>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</si>
  <si>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</si>
  <si>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</si>
  <si>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</si>
  <si>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</si>
  <si>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</si>
  <si>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</si>
  <si>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</si>
  <si>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</si>
  <si>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</si>
  <si>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</si>
  <si>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</si>
  <si>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</si>
  <si>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</si>
  <si>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</si>
  <si>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</si>
  <si>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</si>
  <si>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</si>
  <si>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</si>
  <si>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</si>
  <si>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</si>
  <si>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</si>
  <si>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</si>
  <si>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Initial recharge</t>
  </si>
  <si>
    <t>18100 BP</t>
  </si>
  <si>
    <t>One thousand years</t>
  </si>
  <si>
    <t>18000 BP</t>
  </si>
  <si>
    <t>Final recharge</t>
  </si>
  <si>
    <t>17900 BP</t>
  </si>
  <si>
    <t>17800 BP</t>
  </si>
  <si>
    <t>m/d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</si>
  <si>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</si>
  <si>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</si>
  <si>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</si>
  <si>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</si>
  <si>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</si>
  <si>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</si>
  <si>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</si>
  <si>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</si>
  <si>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</si>
  <si>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</si>
  <si>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</si>
  <si>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</si>
  <si>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qv_06</t>
  </si>
  <si>
    <t>qv_07</t>
  </si>
  <si>
    <t>qv_08</t>
  </si>
  <si>
    <t>qv_09</t>
  </si>
  <si>
    <t>qv_10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</si>
  <si>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</si>
  <si>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</si>
  <si>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</si>
  <si>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</si>
  <si>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</si>
  <si>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</si>
  <si>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</si>
  <si>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</si>
  <si>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</si>
  <si>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</si>
  <si>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</si>
  <si>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</si>
  <si>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</si>
  <si>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</si>
  <si>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</si>
  <si>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</si>
  <si>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</si>
  <si>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Manual refinement</t>
  </si>
  <si>
    <t>14800 BP</t>
  </si>
  <si>
    <t>14700 BP</t>
  </si>
  <si>
    <t>14600 BP</t>
  </si>
  <si>
    <t>14500 BP</t>
  </si>
  <si>
    <t>Monthly time steps for 50 years</t>
  </si>
  <si>
    <t>14400 BP</t>
  </si>
  <si>
    <t>Annual time steps for 500 years</t>
  </si>
  <si>
    <t>14300 BP</t>
  </si>
  <si>
    <t>Century time steps for 50k years</t>
  </si>
  <si>
    <t>Geometry one</t>
  </si>
  <si>
    <t>14200 BP</t>
  </si>
  <si>
    <t>Millenia time steps for 1M years</t>
  </si>
  <si>
    <t>14100 BP</t>
  </si>
  <si>
    <t>100kyr time steps for 1M years</t>
  </si>
  <si>
    <t>14000 BP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</si>
  <si>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</si>
  <si>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</si>
  <si>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</si>
  <si>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</si>
  <si>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</si>
  <si>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</si>
  <si>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</si>
  <si>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</si>
  <si>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</si>
  <si>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</si>
  <si>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</si>
  <si>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</si>
  <si>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</si>
  <si>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</si>
  <si>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</si>
  <si>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</si>
  <si>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</si>
  <si>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</si>
  <si>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</si>
  <si>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</si>
  <si>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</si>
  <si>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</si>
  <si>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Grouped per Kh</t>
  </si>
  <si>
    <t>Grouped per Kv</t>
  </si>
  <si>
    <t>12100 BP</t>
  </si>
  <si>
    <t>parv_00</t>
  </si>
  <si>
    <t>parv_01</t>
  </si>
  <si>
    <t>parv_02</t>
  </si>
  <si>
    <t>parv_03</t>
  </si>
  <si>
    <t>parv_04</t>
  </si>
  <si>
    <t>parv_05</t>
  </si>
  <si>
    <t>parv_06</t>
  </si>
  <si>
    <t>parv_07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</si>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</sst>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16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1" fontId="4" fillId="0" borderId="0" xfId="0" applyNumberFormat="1" applyFon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1" sqref="B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I6" sqref="I6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796875" style="4" bestFit="1" customWidth="1"/>
    <col min="6" max="6" width="14.06640625" style="4" bestFit="1" customWidth="1"/>
    <col min="7" max="7" width="11.9296875" style="4" bestFit="1" customWidth="1"/>
    <col min="8" max="8" width="8.33203125" style="4" bestFit="1" customWidth="1"/>
    <col min="9" max="9" width="8.46484375" style="4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13">
        <v>0</v>
      </c>
      <c r="E2" s="13">
        <v>94</v>
      </c>
      <c r="F2">
        <v>200</v>
      </c>
      <c r="G2">
        <v>300</v>
      </c>
      <c r="H2">
        <v>5</v>
      </c>
      <c r="I2">
        <v>70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13">
        <v>94</v>
      </c>
      <c r="E3" s="13">
        <v>118</v>
      </c>
      <c r="F3">
        <v>150</v>
      </c>
      <c r="G3">
        <v>250</v>
      </c>
      <c r="H3">
        <v>5</v>
      </c>
      <c r="I3">
        <v>70</v>
      </c>
      <c r="J3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13">
        <v>118</v>
      </c>
      <c r="E4" s="13">
        <v>153</v>
      </c>
      <c r="F4">
        <v>200</v>
      </c>
      <c r="G4">
        <v>150</v>
      </c>
      <c r="H4">
        <v>5</v>
      </c>
      <c r="I4">
        <v>70</v>
      </c>
      <c r="J4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13">
        <v>153</v>
      </c>
      <c r="E5" s="13">
        <v>167</v>
      </c>
      <c r="F5">
        <v>150</v>
      </c>
      <c r="G5">
        <v>100</v>
      </c>
      <c r="H5">
        <v>5</v>
      </c>
      <c r="I5">
        <v>70</v>
      </c>
      <c r="J5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13">
        <v>167</v>
      </c>
      <c r="E6" s="13">
        <v>200</v>
      </c>
      <c r="F6">
        <v>200</v>
      </c>
      <c r="G6">
        <v>0</v>
      </c>
      <c r="H6">
        <v>5</v>
      </c>
      <c r="I6">
        <v>70</v>
      </c>
      <c r="J6">
        <v>0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B4" sqref="B4"/>
    </sheetView>
  </sheetViews>
  <sheetFormatPr baseColWidth="10" defaultRowHeight="14.25" x14ac:dyDescent="0.45"/>
  <cols>
    <col min="2" max="2" width="11.73046875" style="4" bestFit="1" customWidth="1"/>
    <col min="5" max="5" width="40.9296875" style="4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 s="1">
        <v>36000000000</v>
      </c>
      <c r="C4">
        <v>200</v>
      </c>
      <c r="D4">
        <v>1.0909169999999999</v>
      </c>
    </row>
    <row r="9" spans="1:5" x14ac:dyDescent="0.45">
      <c r="A9" s="2"/>
      <c r="B9" s="1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>
        <v>8.6400000000000001E-3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>
        <v>8.6400000000000001E-3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>
        <v>8.6400000000000001E-3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>
        <v>8.6400000000000001E-3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>
        <v>8.6400000000000001E-3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>
        <v>8.6400000000000001E-3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>
        <v>8.6400000000000001E-3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>
        <v>8.6400000000000001E-3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>
        <v>8.6400000000000001E-3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>
        <v>8.6400000000000001E-3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0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0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0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0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0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K15" sqref="K15"/>
    </sheetView>
  </sheetViews>
  <sheetFormatPr baseColWidth="10" defaultRowHeight="14.25" x14ac:dyDescent="0.45"/>
  <sheetData>
    <row r="1" spans="1:12" x14ac:dyDescent="0.45">
      <c r="A1" s="3" t="s">
        <v>82</v>
      </c>
      <c r="B1" s="3" t="s">
        <v>70</v>
      </c>
      <c r="C1" s="3" t="s">
        <v>72</v>
      </c>
      <c r="D1" s="3" t="s">
        <v>73</v>
      </c>
      <c r="E1" s="3" t="s">
        <v>74</v>
      </c>
      <c r="F1" s="3" t="s">
        <v>75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I2" s="1"/>
      <c r="J2" s="1"/>
      <c r="K2" s="1"/>
      <c r="L2" s="1"/>
    </row>
    <row r="3" spans="1:12" x14ac:dyDescent="0.45">
      <c r="A3" s="3">
        <v>3600000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I3" s="1"/>
      <c r="J3" s="1"/>
      <c r="K3" s="1"/>
      <c r="L3" s="1"/>
    </row>
    <row r="4" spans="1:12" x14ac:dyDescent="0.45">
      <c r="A4" s="1">
        <v>40000000000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6" spans="1:12" x14ac:dyDescent="0.45">
      <c r="B6" s="2"/>
    </row>
    <row r="7" spans="1:12" x14ac:dyDescent="0.45">
      <c r="B7" s="2"/>
      <c r="C7" s="2"/>
      <c r="D7" s="2"/>
      <c r="E7" s="2"/>
      <c r="F7" s="2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</row>
    <row r="15" spans="1:12" x14ac:dyDescent="0.45">
      <c r="B15" s="1"/>
      <c r="C15" s="1"/>
    </row>
    <row r="16" spans="1:12" x14ac:dyDescent="0.45">
      <c r="B16" s="1"/>
      <c r="C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6"/>
  <sheetViews>
    <sheetView topLeftCell="A79" workbookViewId="0">
      <selection activeCell="B91" sqref="B91"/>
    </sheetView>
  </sheetViews>
  <sheetFormatPr baseColWidth="10" defaultRowHeight="14.25" x14ac:dyDescent="0.45"/>
  <cols>
    <col min="1" max="1" width="37" style="4" bestFit="1" customWidth="1"/>
  </cols>
  <sheetData>
    <row r="1" spans="1:5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5">
      <c r="A2" t="s">
        <v>88</v>
      </c>
      <c r="B2" t="s">
        <v>89</v>
      </c>
      <c r="C2">
        <v>0</v>
      </c>
      <c r="D2">
        <v>0</v>
      </c>
      <c r="E2">
        <v>250</v>
      </c>
    </row>
    <row r="3" spans="1:5" x14ac:dyDescent="0.45">
      <c r="A3" t="s">
        <v>90</v>
      </c>
      <c r="B3" t="s">
        <v>89</v>
      </c>
      <c r="C3">
        <v>0</v>
      </c>
      <c r="D3">
        <v>0</v>
      </c>
      <c r="E3">
        <v>300</v>
      </c>
    </row>
    <row r="4" spans="1:5" x14ac:dyDescent="0.45">
      <c r="A4" t="s">
        <v>91</v>
      </c>
      <c r="B4" t="s">
        <v>89</v>
      </c>
      <c r="C4">
        <v>0</v>
      </c>
      <c r="D4">
        <v>0</v>
      </c>
      <c r="E4">
        <v>350</v>
      </c>
    </row>
    <row r="5" spans="1:5" x14ac:dyDescent="0.45">
      <c r="A5" t="s">
        <v>92</v>
      </c>
      <c r="B5" t="s">
        <v>89</v>
      </c>
      <c r="C5">
        <v>0</v>
      </c>
      <c r="D5">
        <v>0</v>
      </c>
      <c r="E5">
        <v>400</v>
      </c>
    </row>
    <row r="6" spans="1:5" x14ac:dyDescent="0.45">
      <c r="A6" t="s">
        <v>93</v>
      </c>
      <c r="B6" t="s">
        <v>89</v>
      </c>
      <c r="C6">
        <v>0</v>
      </c>
      <c r="D6">
        <v>0</v>
      </c>
      <c r="E6">
        <v>450</v>
      </c>
    </row>
    <row r="7" spans="1:5" x14ac:dyDescent="0.45">
      <c r="A7" t="s">
        <v>94</v>
      </c>
      <c r="B7" t="s">
        <v>89</v>
      </c>
      <c r="C7">
        <v>0</v>
      </c>
      <c r="D7">
        <v>0</v>
      </c>
      <c r="E7">
        <v>500</v>
      </c>
    </row>
    <row r="8" spans="1:5" x14ac:dyDescent="0.45">
      <c r="A8" t="s">
        <v>95</v>
      </c>
      <c r="B8" t="s">
        <v>89</v>
      </c>
      <c r="C8">
        <v>0</v>
      </c>
      <c r="D8">
        <v>0</v>
      </c>
      <c r="E8">
        <v>550</v>
      </c>
    </row>
    <row r="9" spans="1:5" x14ac:dyDescent="0.45">
      <c r="A9" t="s">
        <v>96</v>
      </c>
      <c r="B9" t="s">
        <v>89</v>
      </c>
      <c r="C9">
        <v>0</v>
      </c>
      <c r="D9">
        <v>0</v>
      </c>
      <c r="E9">
        <v>599</v>
      </c>
    </row>
    <row r="10" spans="1:5" x14ac:dyDescent="0.45">
      <c r="A10" t="s">
        <v>97</v>
      </c>
      <c r="B10" t="s">
        <v>89</v>
      </c>
      <c r="C10">
        <v>1</v>
      </c>
      <c r="D10">
        <v>0</v>
      </c>
      <c r="E10">
        <v>250</v>
      </c>
    </row>
    <row r="11" spans="1:5" x14ac:dyDescent="0.45">
      <c r="A11" t="s">
        <v>98</v>
      </c>
      <c r="B11" t="s">
        <v>89</v>
      </c>
      <c r="C11">
        <v>1</v>
      </c>
      <c r="D11">
        <v>0</v>
      </c>
      <c r="E11">
        <v>300</v>
      </c>
    </row>
    <row r="12" spans="1:5" x14ac:dyDescent="0.45">
      <c r="A12" t="s">
        <v>99</v>
      </c>
      <c r="B12" t="s">
        <v>89</v>
      </c>
      <c r="C12">
        <v>1</v>
      </c>
      <c r="D12">
        <v>0</v>
      </c>
      <c r="E12">
        <v>350</v>
      </c>
    </row>
    <row r="13" spans="1:5" x14ac:dyDescent="0.45">
      <c r="A13" t="s">
        <v>100</v>
      </c>
      <c r="B13" t="s">
        <v>89</v>
      </c>
      <c r="C13">
        <v>1</v>
      </c>
      <c r="D13">
        <v>0</v>
      </c>
      <c r="E13">
        <v>400</v>
      </c>
    </row>
    <row r="14" spans="1:5" x14ac:dyDescent="0.45">
      <c r="A14" t="s">
        <v>101</v>
      </c>
      <c r="B14" t="s">
        <v>89</v>
      </c>
      <c r="C14">
        <v>1</v>
      </c>
      <c r="D14">
        <v>0</v>
      </c>
      <c r="E14">
        <v>450</v>
      </c>
    </row>
    <row r="15" spans="1:5" x14ac:dyDescent="0.45">
      <c r="A15" t="s">
        <v>102</v>
      </c>
      <c r="B15" t="s">
        <v>89</v>
      </c>
      <c r="C15">
        <v>1</v>
      </c>
      <c r="D15">
        <v>0</v>
      </c>
      <c r="E15">
        <v>500</v>
      </c>
    </row>
    <row r="16" spans="1:5" x14ac:dyDescent="0.45">
      <c r="A16" t="s">
        <v>103</v>
      </c>
      <c r="B16" t="s">
        <v>89</v>
      </c>
      <c r="C16">
        <v>1</v>
      </c>
      <c r="D16">
        <v>0</v>
      </c>
      <c r="E16">
        <v>550</v>
      </c>
    </row>
    <row r="17" spans="1:5" x14ac:dyDescent="0.45">
      <c r="A17" t="s">
        <v>104</v>
      </c>
      <c r="B17" t="s">
        <v>89</v>
      </c>
      <c r="C17">
        <v>1</v>
      </c>
      <c r="D17">
        <v>0</v>
      </c>
      <c r="E17">
        <v>599</v>
      </c>
    </row>
    <row r="18" spans="1:5" x14ac:dyDescent="0.45">
      <c r="A18" t="s">
        <v>105</v>
      </c>
      <c r="B18" t="s">
        <v>89</v>
      </c>
      <c r="C18">
        <v>2</v>
      </c>
      <c r="D18">
        <v>0</v>
      </c>
      <c r="E18">
        <v>250</v>
      </c>
    </row>
    <row r="19" spans="1:5" x14ac:dyDescent="0.45">
      <c r="A19" t="s">
        <v>106</v>
      </c>
      <c r="B19" t="s">
        <v>89</v>
      </c>
      <c r="C19">
        <v>2</v>
      </c>
      <c r="D19">
        <v>0</v>
      </c>
      <c r="E19">
        <v>300</v>
      </c>
    </row>
    <row r="20" spans="1:5" x14ac:dyDescent="0.45">
      <c r="A20" t="s">
        <v>107</v>
      </c>
      <c r="B20" t="s">
        <v>89</v>
      </c>
      <c r="C20">
        <v>2</v>
      </c>
      <c r="D20">
        <v>0</v>
      </c>
      <c r="E20">
        <v>350</v>
      </c>
    </row>
    <row r="21" spans="1:5" x14ac:dyDescent="0.45">
      <c r="A21" t="s">
        <v>108</v>
      </c>
      <c r="B21" t="s">
        <v>89</v>
      </c>
      <c r="C21">
        <v>2</v>
      </c>
      <c r="D21">
        <v>0</v>
      </c>
      <c r="E21">
        <v>400</v>
      </c>
    </row>
    <row r="22" spans="1:5" x14ac:dyDescent="0.45">
      <c r="A22" t="s">
        <v>109</v>
      </c>
      <c r="B22" t="s">
        <v>89</v>
      </c>
      <c r="C22">
        <v>2</v>
      </c>
      <c r="D22">
        <v>0</v>
      </c>
      <c r="E22">
        <v>450</v>
      </c>
    </row>
    <row r="23" spans="1:5" x14ac:dyDescent="0.45">
      <c r="A23" t="s">
        <v>110</v>
      </c>
      <c r="B23" t="s">
        <v>89</v>
      </c>
      <c r="C23">
        <v>2</v>
      </c>
      <c r="D23">
        <v>0</v>
      </c>
      <c r="E23">
        <v>500</v>
      </c>
    </row>
    <row r="24" spans="1:5" x14ac:dyDescent="0.45">
      <c r="A24" t="s">
        <v>111</v>
      </c>
      <c r="B24" t="s">
        <v>89</v>
      </c>
      <c r="C24">
        <v>2</v>
      </c>
      <c r="D24">
        <v>0</v>
      </c>
      <c r="E24">
        <v>550</v>
      </c>
    </row>
    <row r="25" spans="1:5" x14ac:dyDescent="0.45">
      <c r="A25" t="s">
        <v>112</v>
      </c>
      <c r="B25" t="s">
        <v>89</v>
      </c>
      <c r="C25">
        <v>2</v>
      </c>
      <c r="D25">
        <v>0</v>
      </c>
      <c r="E25">
        <v>599</v>
      </c>
    </row>
    <row r="26" spans="1:5" x14ac:dyDescent="0.45">
      <c r="A26" t="s">
        <v>113</v>
      </c>
      <c r="B26" t="s">
        <v>89</v>
      </c>
      <c r="C26">
        <v>3</v>
      </c>
      <c r="D26">
        <v>0</v>
      </c>
      <c r="E26">
        <v>250</v>
      </c>
    </row>
    <row r="27" spans="1:5" x14ac:dyDescent="0.45">
      <c r="A27" t="s">
        <v>114</v>
      </c>
      <c r="B27" t="s">
        <v>89</v>
      </c>
      <c r="C27">
        <v>3</v>
      </c>
      <c r="D27">
        <v>0</v>
      </c>
      <c r="E27">
        <v>300</v>
      </c>
    </row>
    <row r="28" spans="1:5" x14ac:dyDescent="0.45">
      <c r="A28" t="s">
        <v>115</v>
      </c>
      <c r="B28" t="s">
        <v>89</v>
      </c>
      <c r="C28">
        <v>3</v>
      </c>
      <c r="D28">
        <v>0</v>
      </c>
      <c r="E28">
        <v>350</v>
      </c>
    </row>
    <row r="29" spans="1:5" x14ac:dyDescent="0.45">
      <c r="A29" t="s">
        <v>116</v>
      </c>
      <c r="B29" t="s">
        <v>89</v>
      </c>
      <c r="C29">
        <v>3</v>
      </c>
      <c r="D29">
        <v>0</v>
      </c>
      <c r="E29">
        <v>400</v>
      </c>
    </row>
    <row r="30" spans="1:5" x14ac:dyDescent="0.45">
      <c r="A30" t="s">
        <v>117</v>
      </c>
      <c r="B30" t="s">
        <v>89</v>
      </c>
      <c r="C30">
        <v>3</v>
      </c>
      <c r="D30">
        <v>0</v>
      </c>
      <c r="E30">
        <v>450</v>
      </c>
    </row>
    <row r="31" spans="1:5" x14ac:dyDescent="0.45">
      <c r="A31" t="s">
        <v>118</v>
      </c>
      <c r="B31" t="s">
        <v>89</v>
      </c>
      <c r="C31">
        <v>3</v>
      </c>
      <c r="D31">
        <v>0</v>
      </c>
      <c r="E31">
        <v>500</v>
      </c>
    </row>
    <row r="32" spans="1:5" x14ac:dyDescent="0.45">
      <c r="A32" t="s">
        <v>119</v>
      </c>
      <c r="B32" t="s">
        <v>89</v>
      </c>
      <c r="C32">
        <v>3</v>
      </c>
      <c r="D32">
        <v>0</v>
      </c>
      <c r="E32">
        <v>550</v>
      </c>
    </row>
    <row r="33" spans="1:5" x14ac:dyDescent="0.45">
      <c r="A33" t="s">
        <v>120</v>
      </c>
      <c r="B33" t="s">
        <v>89</v>
      </c>
      <c r="C33">
        <v>3</v>
      </c>
      <c r="D33">
        <v>0</v>
      </c>
      <c r="E33">
        <v>599</v>
      </c>
    </row>
    <row r="34" spans="1:5" x14ac:dyDescent="0.45">
      <c r="A34" t="s">
        <v>121</v>
      </c>
      <c r="B34" t="s">
        <v>89</v>
      </c>
      <c r="C34">
        <v>4</v>
      </c>
      <c r="D34">
        <v>0</v>
      </c>
      <c r="E34">
        <v>250</v>
      </c>
    </row>
    <row r="35" spans="1:5" x14ac:dyDescent="0.45">
      <c r="A35" t="s">
        <v>122</v>
      </c>
      <c r="B35" t="s">
        <v>89</v>
      </c>
      <c r="C35">
        <v>4</v>
      </c>
      <c r="D35">
        <v>0</v>
      </c>
      <c r="E35">
        <v>300</v>
      </c>
    </row>
    <row r="36" spans="1:5" x14ac:dyDescent="0.45">
      <c r="A36" t="s">
        <v>123</v>
      </c>
      <c r="B36" t="s">
        <v>89</v>
      </c>
      <c r="C36">
        <v>4</v>
      </c>
      <c r="D36">
        <v>0</v>
      </c>
      <c r="E36">
        <v>350</v>
      </c>
    </row>
    <row r="37" spans="1:5" x14ac:dyDescent="0.45">
      <c r="A37" t="s">
        <v>124</v>
      </c>
      <c r="B37" t="s">
        <v>89</v>
      </c>
      <c r="C37">
        <v>4</v>
      </c>
      <c r="D37">
        <v>0</v>
      </c>
      <c r="E37">
        <v>400</v>
      </c>
    </row>
    <row r="38" spans="1:5" x14ac:dyDescent="0.45">
      <c r="A38" t="s">
        <v>125</v>
      </c>
      <c r="B38" t="s">
        <v>89</v>
      </c>
      <c r="C38">
        <v>4</v>
      </c>
      <c r="D38">
        <v>0</v>
      </c>
      <c r="E38">
        <v>450</v>
      </c>
    </row>
    <row r="39" spans="1:5" x14ac:dyDescent="0.45">
      <c r="A39" t="s">
        <v>126</v>
      </c>
      <c r="B39" t="s">
        <v>89</v>
      </c>
      <c r="C39">
        <v>4</v>
      </c>
      <c r="D39">
        <v>0</v>
      </c>
      <c r="E39">
        <v>500</v>
      </c>
    </row>
    <row r="40" spans="1:5" x14ac:dyDescent="0.45">
      <c r="A40" t="s">
        <v>127</v>
      </c>
      <c r="B40" t="s">
        <v>89</v>
      </c>
      <c r="C40">
        <v>4</v>
      </c>
      <c r="D40">
        <v>0</v>
      </c>
      <c r="E40">
        <v>550</v>
      </c>
    </row>
    <row r="41" spans="1:5" x14ac:dyDescent="0.45">
      <c r="A41" t="s">
        <v>128</v>
      </c>
      <c r="B41" t="s">
        <v>89</v>
      </c>
      <c r="C41">
        <v>4</v>
      </c>
      <c r="D41">
        <v>0</v>
      </c>
      <c r="E41">
        <v>599</v>
      </c>
    </row>
    <row r="42" spans="1:5" x14ac:dyDescent="0.45">
      <c r="A42" t="s">
        <v>129</v>
      </c>
      <c r="B42" t="s">
        <v>89</v>
      </c>
      <c r="C42">
        <v>5</v>
      </c>
      <c r="D42">
        <v>0</v>
      </c>
      <c r="E42">
        <v>200</v>
      </c>
    </row>
    <row r="43" spans="1:5" x14ac:dyDescent="0.45">
      <c r="A43" t="s">
        <v>130</v>
      </c>
      <c r="B43" t="s">
        <v>89</v>
      </c>
      <c r="C43">
        <v>5</v>
      </c>
      <c r="D43">
        <v>0</v>
      </c>
      <c r="E43">
        <v>250</v>
      </c>
    </row>
    <row r="44" spans="1:5" x14ac:dyDescent="0.45">
      <c r="A44" t="s">
        <v>131</v>
      </c>
      <c r="B44" t="s">
        <v>89</v>
      </c>
      <c r="C44">
        <v>5</v>
      </c>
      <c r="D44">
        <v>0</v>
      </c>
      <c r="E44">
        <v>300</v>
      </c>
    </row>
    <row r="45" spans="1:5" x14ac:dyDescent="0.45">
      <c r="A45" t="s">
        <v>132</v>
      </c>
      <c r="B45" t="s">
        <v>89</v>
      </c>
      <c r="C45">
        <v>5</v>
      </c>
      <c r="D45">
        <v>0</v>
      </c>
      <c r="E45">
        <v>350</v>
      </c>
    </row>
    <row r="46" spans="1:5" x14ac:dyDescent="0.45">
      <c r="A46" t="s">
        <v>133</v>
      </c>
      <c r="B46" t="s">
        <v>89</v>
      </c>
      <c r="C46">
        <v>5</v>
      </c>
      <c r="D46">
        <v>0</v>
      </c>
      <c r="E46">
        <v>400</v>
      </c>
    </row>
    <row r="47" spans="1:5" x14ac:dyDescent="0.45">
      <c r="A47" t="s">
        <v>134</v>
      </c>
      <c r="B47" t="s">
        <v>89</v>
      </c>
      <c r="C47">
        <v>5</v>
      </c>
      <c r="D47">
        <v>0</v>
      </c>
      <c r="E47">
        <v>450</v>
      </c>
    </row>
    <row r="48" spans="1:5" x14ac:dyDescent="0.45">
      <c r="A48" t="s">
        <v>135</v>
      </c>
      <c r="B48" t="s">
        <v>89</v>
      </c>
      <c r="C48">
        <v>5</v>
      </c>
      <c r="D48">
        <v>0</v>
      </c>
      <c r="E48">
        <v>500</v>
      </c>
    </row>
    <row r="49" spans="1:5" x14ac:dyDescent="0.45">
      <c r="A49" t="s">
        <v>136</v>
      </c>
      <c r="B49" t="s">
        <v>89</v>
      </c>
      <c r="C49">
        <v>5</v>
      </c>
      <c r="D49">
        <v>0</v>
      </c>
      <c r="E49">
        <v>550</v>
      </c>
    </row>
    <row r="50" spans="1:5" x14ac:dyDescent="0.45">
      <c r="A50" t="s">
        <v>137</v>
      </c>
      <c r="B50" t="s">
        <v>89</v>
      </c>
      <c r="C50">
        <v>5</v>
      </c>
      <c r="D50">
        <v>0</v>
      </c>
      <c r="E50">
        <v>599</v>
      </c>
    </row>
    <row r="51" spans="1:5" x14ac:dyDescent="0.45">
      <c r="A51" t="s">
        <v>138</v>
      </c>
      <c r="B51" t="s">
        <v>89</v>
      </c>
      <c r="C51">
        <v>6</v>
      </c>
      <c r="D51">
        <v>0</v>
      </c>
      <c r="E51">
        <v>200</v>
      </c>
    </row>
    <row r="52" spans="1:5" x14ac:dyDescent="0.45">
      <c r="A52" t="s">
        <v>139</v>
      </c>
      <c r="B52" t="s">
        <v>89</v>
      </c>
      <c r="C52">
        <v>6</v>
      </c>
      <c r="D52">
        <v>0</v>
      </c>
      <c r="E52">
        <v>250</v>
      </c>
    </row>
    <row r="53" spans="1:5" x14ac:dyDescent="0.45">
      <c r="A53" t="s">
        <v>140</v>
      </c>
      <c r="B53" t="s">
        <v>89</v>
      </c>
      <c r="C53">
        <v>6</v>
      </c>
      <c r="D53">
        <v>0</v>
      </c>
      <c r="E53">
        <v>300</v>
      </c>
    </row>
    <row r="54" spans="1:5" x14ac:dyDescent="0.45">
      <c r="A54" t="s">
        <v>141</v>
      </c>
      <c r="B54" t="s">
        <v>89</v>
      </c>
      <c r="C54">
        <v>6</v>
      </c>
      <c r="D54">
        <v>0</v>
      </c>
      <c r="E54">
        <v>350</v>
      </c>
    </row>
    <row r="55" spans="1:5" x14ac:dyDescent="0.45">
      <c r="A55" t="s">
        <v>142</v>
      </c>
      <c r="B55" t="s">
        <v>89</v>
      </c>
      <c r="C55">
        <v>6</v>
      </c>
      <c r="D55">
        <v>0</v>
      </c>
      <c r="E55">
        <v>400</v>
      </c>
    </row>
    <row r="56" spans="1:5" x14ac:dyDescent="0.45">
      <c r="A56" t="s">
        <v>143</v>
      </c>
      <c r="B56" t="s">
        <v>89</v>
      </c>
      <c r="C56">
        <v>6</v>
      </c>
      <c r="D56">
        <v>0</v>
      </c>
      <c r="E56">
        <v>450</v>
      </c>
    </row>
    <row r="57" spans="1:5" x14ac:dyDescent="0.45">
      <c r="A57" t="s">
        <v>144</v>
      </c>
      <c r="B57" t="s">
        <v>89</v>
      </c>
      <c r="C57">
        <v>6</v>
      </c>
      <c r="D57">
        <v>0</v>
      </c>
      <c r="E57">
        <v>500</v>
      </c>
    </row>
    <row r="58" spans="1:5" x14ac:dyDescent="0.45">
      <c r="A58" t="s">
        <v>145</v>
      </c>
      <c r="B58" t="s">
        <v>89</v>
      </c>
      <c r="C58">
        <v>6</v>
      </c>
      <c r="D58">
        <v>0</v>
      </c>
      <c r="E58">
        <v>550</v>
      </c>
    </row>
    <row r="59" spans="1:5" x14ac:dyDescent="0.45">
      <c r="A59" t="s">
        <v>146</v>
      </c>
      <c r="B59" t="s">
        <v>89</v>
      </c>
      <c r="C59">
        <v>6</v>
      </c>
      <c r="D59">
        <v>0</v>
      </c>
      <c r="E59">
        <v>599</v>
      </c>
    </row>
    <row r="60" spans="1:5" x14ac:dyDescent="0.45">
      <c r="A60" t="s">
        <v>147</v>
      </c>
      <c r="B60" t="s">
        <v>89</v>
      </c>
      <c r="C60">
        <v>7</v>
      </c>
      <c r="D60">
        <v>0</v>
      </c>
      <c r="E60">
        <v>200</v>
      </c>
    </row>
    <row r="61" spans="1:5" x14ac:dyDescent="0.45">
      <c r="A61" t="s">
        <v>148</v>
      </c>
      <c r="B61" t="s">
        <v>89</v>
      </c>
      <c r="C61">
        <v>7</v>
      </c>
      <c r="D61">
        <v>0</v>
      </c>
      <c r="E61">
        <v>250</v>
      </c>
    </row>
    <row r="62" spans="1:5" x14ac:dyDescent="0.45">
      <c r="A62" t="s">
        <v>149</v>
      </c>
      <c r="B62" t="s">
        <v>89</v>
      </c>
      <c r="C62">
        <v>7</v>
      </c>
      <c r="D62">
        <v>0</v>
      </c>
      <c r="E62">
        <v>300</v>
      </c>
    </row>
    <row r="63" spans="1:5" x14ac:dyDescent="0.45">
      <c r="A63" t="s">
        <v>150</v>
      </c>
      <c r="B63" t="s">
        <v>89</v>
      </c>
      <c r="C63">
        <v>7</v>
      </c>
      <c r="D63">
        <v>0</v>
      </c>
      <c r="E63">
        <v>350</v>
      </c>
    </row>
    <row r="64" spans="1:5" x14ac:dyDescent="0.45">
      <c r="A64" t="s">
        <v>151</v>
      </c>
      <c r="B64" t="s">
        <v>89</v>
      </c>
      <c r="C64">
        <v>7</v>
      </c>
      <c r="D64">
        <v>0</v>
      </c>
      <c r="E64">
        <v>400</v>
      </c>
    </row>
    <row r="65" spans="1:5" x14ac:dyDescent="0.45">
      <c r="A65" t="s">
        <v>152</v>
      </c>
      <c r="B65" t="s">
        <v>89</v>
      </c>
      <c r="C65">
        <v>7</v>
      </c>
      <c r="D65">
        <v>0</v>
      </c>
      <c r="E65">
        <v>450</v>
      </c>
    </row>
    <row r="66" spans="1:5" x14ac:dyDescent="0.45">
      <c r="A66" t="s">
        <v>153</v>
      </c>
      <c r="B66" t="s">
        <v>89</v>
      </c>
      <c r="C66">
        <v>7</v>
      </c>
      <c r="D66">
        <v>0</v>
      </c>
      <c r="E66">
        <v>500</v>
      </c>
    </row>
    <row r="67" spans="1:5" x14ac:dyDescent="0.45">
      <c r="A67" t="s">
        <v>154</v>
      </c>
      <c r="B67" t="s">
        <v>89</v>
      </c>
      <c r="C67">
        <v>7</v>
      </c>
      <c r="D67">
        <v>0</v>
      </c>
      <c r="E67">
        <v>550</v>
      </c>
    </row>
    <row r="68" spans="1:5" x14ac:dyDescent="0.45">
      <c r="A68" t="s">
        <v>155</v>
      </c>
      <c r="B68" t="s">
        <v>89</v>
      </c>
      <c r="C68">
        <v>7</v>
      </c>
      <c r="D68">
        <v>0</v>
      </c>
      <c r="E68">
        <v>599</v>
      </c>
    </row>
    <row r="69" spans="1:5" x14ac:dyDescent="0.45">
      <c r="A69" t="s">
        <v>156</v>
      </c>
      <c r="B69" t="s">
        <v>89</v>
      </c>
      <c r="C69">
        <v>8</v>
      </c>
      <c r="D69">
        <v>0</v>
      </c>
      <c r="E69">
        <v>200</v>
      </c>
    </row>
    <row r="70" spans="1:5" x14ac:dyDescent="0.45">
      <c r="A70" t="s">
        <v>157</v>
      </c>
      <c r="B70" t="s">
        <v>89</v>
      </c>
      <c r="C70">
        <v>8</v>
      </c>
      <c r="D70">
        <v>0</v>
      </c>
      <c r="E70">
        <v>250</v>
      </c>
    </row>
    <row r="71" spans="1:5" x14ac:dyDescent="0.45">
      <c r="A71" t="s">
        <v>158</v>
      </c>
      <c r="B71" t="s">
        <v>89</v>
      </c>
      <c r="C71">
        <v>8</v>
      </c>
      <c r="D71">
        <v>0</v>
      </c>
      <c r="E71">
        <v>300</v>
      </c>
    </row>
    <row r="72" spans="1:5" x14ac:dyDescent="0.45">
      <c r="A72" t="s">
        <v>159</v>
      </c>
      <c r="B72" t="s">
        <v>89</v>
      </c>
      <c r="C72">
        <v>8</v>
      </c>
      <c r="D72">
        <v>0</v>
      </c>
      <c r="E72">
        <v>350</v>
      </c>
    </row>
    <row r="73" spans="1:5" x14ac:dyDescent="0.45">
      <c r="A73" t="s">
        <v>160</v>
      </c>
      <c r="B73" t="s">
        <v>89</v>
      </c>
      <c r="C73">
        <v>8</v>
      </c>
      <c r="D73">
        <v>0</v>
      </c>
      <c r="E73">
        <v>400</v>
      </c>
    </row>
    <row r="74" spans="1:5" x14ac:dyDescent="0.45">
      <c r="A74" t="s">
        <v>161</v>
      </c>
      <c r="B74" t="s">
        <v>89</v>
      </c>
      <c r="C74">
        <v>8</v>
      </c>
      <c r="D74">
        <v>0</v>
      </c>
      <c r="E74">
        <v>450</v>
      </c>
    </row>
    <row r="75" spans="1:5" x14ac:dyDescent="0.45">
      <c r="A75" t="s">
        <v>162</v>
      </c>
      <c r="B75" t="s">
        <v>89</v>
      </c>
      <c r="C75">
        <v>8</v>
      </c>
      <c r="D75">
        <v>0</v>
      </c>
      <c r="E75">
        <v>500</v>
      </c>
    </row>
    <row r="76" spans="1:5" x14ac:dyDescent="0.45">
      <c r="A76" t="s">
        <v>163</v>
      </c>
      <c r="B76" t="s">
        <v>89</v>
      </c>
      <c r="C76">
        <v>8</v>
      </c>
      <c r="D76">
        <v>0</v>
      </c>
      <c r="E76">
        <v>550</v>
      </c>
    </row>
    <row r="77" spans="1:5" x14ac:dyDescent="0.45">
      <c r="A77" t="s">
        <v>164</v>
      </c>
      <c r="B77" t="s">
        <v>89</v>
      </c>
      <c r="C77">
        <v>8</v>
      </c>
      <c r="D77">
        <v>0</v>
      </c>
      <c r="E77">
        <v>599</v>
      </c>
    </row>
    <row r="78" spans="1:5" x14ac:dyDescent="0.45">
      <c r="A78" t="s">
        <v>165</v>
      </c>
      <c r="B78" t="s">
        <v>89</v>
      </c>
      <c r="C78">
        <v>9</v>
      </c>
      <c r="D78">
        <v>0</v>
      </c>
      <c r="E78">
        <v>200</v>
      </c>
    </row>
    <row r="79" spans="1:5" x14ac:dyDescent="0.45">
      <c r="A79" t="s">
        <v>166</v>
      </c>
      <c r="B79" t="s">
        <v>89</v>
      </c>
      <c r="C79">
        <v>9</v>
      </c>
      <c r="D79">
        <v>0</v>
      </c>
      <c r="E79">
        <v>250</v>
      </c>
    </row>
    <row r="80" spans="1:5" x14ac:dyDescent="0.45">
      <c r="A80" t="s">
        <v>167</v>
      </c>
      <c r="B80" t="s">
        <v>89</v>
      </c>
      <c r="C80">
        <v>9</v>
      </c>
      <c r="D80">
        <v>0</v>
      </c>
      <c r="E80">
        <v>300</v>
      </c>
    </row>
    <row r="81" spans="1:5" x14ac:dyDescent="0.45">
      <c r="A81" t="s">
        <v>168</v>
      </c>
      <c r="B81" t="s">
        <v>89</v>
      </c>
      <c r="C81">
        <v>9</v>
      </c>
      <c r="D81">
        <v>0</v>
      </c>
      <c r="E81">
        <v>350</v>
      </c>
    </row>
    <row r="82" spans="1:5" x14ac:dyDescent="0.45">
      <c r="A82" t="s">
        <v>169</v>
      </c>
      <c r="B82" t="s">
        <v>89</v>
      </c>
      <c r="C82">
        <v>9</v>
      </c>
      <c r="D82">
        <v>0</v>
      </c>
      <c r="E82">
        <v>400</v>
      </c>
    </row>
    <row r="83" spans="1:5" x14ac:dyDescent="0.45">
      <c r="A83" t="s">
        <v>170</v>
      </c>
      <c r="B83" t="s">
        <v>89</v>
      </c>
      <c r="C83">
        <v>9</v>
      </c>
      <c r="D83">
        <v>0</v>
      </c>
      <c r="E83">
        <v>450</v>
      </c>
    </row>
    <row r="84" spans="1:5" x14ac:dyDescent="0.45">
      <c r="A84" t="s">
        <v>171</v>
      </c>
      <c r="B84" t="s">
        <v>89</v>
      </c>
      <c r="C84">
        <v>9</v>
      </c>
      <c r="D84">
        <v>0</v>
      </c>
      <c r="E84">
        <v>500</v>
      </c>
    </row>
    <row r="85" spans="1:5" x14ac:dyDescent="0.45">
      <c r="A85" t="s">
        <v>172</v>
      </c>
      <c r="B85" t="s">
        <v>89</v>
      </c>
      <c r="C85">
        <v>9</v>
      </c>
      <c r="D85">
        <v>0</v>
      </c>
      <c r="E85">
        <v>550</v>
      </c>
    </row>
    <row r="86" spans="1:5" x14ac:dyDescent="0.45">
      <c r="A86" t="s">
        <v>173</v>
      </c>
      <c r="B86" t="s">
        <v>89</v>
      </c>
      <c r="C86">
        <v>9</v>
      </c>
      <c r="D86">
        <v>0</v>
      </c>
      <c r="E86">
        <v>599</v>
      </c>
    </row>
    <row r="87" spans="1:5" x14ac:dyDescent="0.45">
      <c r="A87" t="s">
        <v>174</v>
      </c>
      <c r="B87" t="s">
        <v>89</v>
      </c>
      <c r="C87">
        <v>10</v>
      </c>
      <c r="D87">
        <v>0</v>
      </c>
      <c r="E87">
        <v>100</v>
      </c>
    </row>
    <row r="88" spans="1:5" x14ac:dyDescent="0.45">
      <c r="A88" t="s">
        <v>175</v>
      </c>
      <c r="B88" t="s">
        <v>89</v>
      </c>
      <c r="C88">
        <v>10</v>
      </c>
      <c r="D88">
        <v>0</v>
      </c>
      <c r="E88">
        <v>150</v>
      </c>
    </row>
    <row r="89" spans="1:5" x14ac:dyDescent="0.45">
      <c r="A89" t="s">
        <v>176</v>
      </c>
      <c r="B89" t="s">
        <v>89</v>
      </c>
      <c r="C89">
        <v>10</v>
      </c>
      <c r="D89">
        <v>0</v>
      </c>
      <c r="E89">
        <v>200</v>
      </c>
    </row>
    <row r="90" spans="1:5" x14ac:dyDescent="0.45">
      <c r="A90" t="s">
        <v>177</v>
      </c>
      <c r="B90" t="s">
        <v>89</v>
      </c>
      <c r="C90">
        <v>10</v>
      </c>
      <c r="D90">
        <v>0</v>
      </c>
      <c r="E90">
        <v>250</v>
      </c>
    </row>
    <row r="91" spans="1:5" x14ac:dyDescent="0.45">
      <c r="A91" t="s">
        <v>178</v>
      </c>
      <c r="B91" t="s">
        <v>89</v>
      </c>
      <c r="C91">
        <v>10</v>
      </c>
      <c r="D91">
        <v>0</v>
      </c>
      <c r="E91">
        <v>300</v>
      </c>
    </row>
    <row r="92" spans="1:5" x14ac:dyDescent="0.45">
      <c r="A92" t="s">
        <v>179</v>
      </c>
      <c r="B92" t="s">
        <v>89</v>
      </c>
      <c r="C92">
        <v>10</v>
      </c>
      <c r="D92">
        <v>0</v>
      </c>
      <c r="E92">
        <v>350</v>
      </c>
    </row>
    <row r="93" spans="1:5" x14ac:dyDescent="0.45">
      <c r="A93" t="s">
        <v>180</v>
      </c>
      <c r="B93" t="s">
        <v>89</v>
      </c>
      <c r="C93">
        <v>10</v>
      </c>
      <c r="D93">
        <v>0</v>
      </c>
      <c r="E93">
        <v>400</v>
      </c>
    </row>
    <row r="94" spans="1:5" x14ac:dyDescent="0.45">
      <c r="A94" t="s">
        <v>181</v>
      </c>
      <c r="B94" t="s">
        <v>89</v>
      </c>
      <c r="C94">
        <v>10</v>
      </c>
      <c r="D94">
        <v>0</v>
      </c>
      <c r="E94">
        <v>450</v>
      </c>
    </row>
    <row r="95" spans="1:5" x14ac:dyDescent="0.45">
      <c r="A95" t="s">
        <v>182</v>
      </c>
      <c r="B95" t="s">
        <v>89</v>
      </c>
      <c r="C95">
        <v>10</v>
      </c>
      <c r="D95">
        <v>0</v>
      </c>
      <c r="E95">
        <v>500</v>
      </c>
    </row>
    <row r="96" spans="1:5" x14ac:dyDescent="0.45">
      <c r="A96" t="s">
        <v>183</v>
      </c>
      <c r="B96" t="s">
        <v>89</v>
      </c>
      <c r="C96">
        <v>10</v>
      </c>
      <c r="D96">
        <v>0</v>
      </c>
      <c r="E96">
        <v>550</v>
      </c>
    </row>
    <row r="97" spans="1:5" x14ac:dyDescent="0.45">
      <c r="A97" t="s">
        <v>184</v>
      </c>
      <c r="B97" t="s">
        <v>89</v>
      </c>
      <c r="C97">
        <v>10</v>
      </c>
      <c r="D97">
        <v>0</v>
      </c>
      <c r="E97">
        <v>599</v>
      </c>
    </row>
    <row r="98" spans="1:5" x14ac:dyDescent="0.45">
      <c r="A98" t="s">
        <v>185</v>
      </c>
      <c r="B98" t="s">
        <v>89</v>
      </c>
      <c r="C98">
        <v>11</v>
      </c>
      <c r="D98">
        <v>0</v>
      </c>
      <c r="E98">
        <v>100</v>
      </c>
    </row>
    <row r="99" spans="1:5" x14ac:dyDescent="0.45">
      <c r="A99" t="s">
        <v>186</v>
      </c>
      <c r="B99" t="s">
        <v>89</v>
      </c>
      <c r="C99">
        <v>11</v>
      </c>
      <c r="D99">
        <v>0</v>
      </c>
      <c r="E99">
        <v>150</v>
      </c>
    </row>
    <row r="100" spans="1:5" x14ac:dyDescent="0.45">
      <c r="A100" t="s">
        <v>187</v>
      </c>
      <c r="B100" t="s">
        <v>89</v>
      </c>
      <c r="C100">
        <v>11</v>
      </c>
      <c r="D100">
        <v>0</v>
      </c>
      <c r="E100">
        <v>200</v>
      </c>
    </row>
    <row r="101" spans="1:5" x14ac:dyDescent="0.45">
      <c r="A101" t="s">
        <v>188</v>
      </c>
      <c r="B101" t="s">
        <v>89</v>
      </c>
      <c r="C101">
        <v>11</v>
      </c>
      <c r="D101">
        <v>0</v>
      </c>
      <c r="E101">
        <v>250</v>
      </c>
    </row>
    <row r="102" spans="1:5" x14ac:dyDescent="0.45">
      <c r="A102" t="s">
        <v>189</v>
      </c>
      <c r="B102" t="s">
        <v>89</v>
      </c>
      <c r="C102">
        <v>11</v>
      </c>
      <c r="D102">
        <v>0</v>
      </c>
      <c r="E102">
        <v>300</v>
      </c>
    </row>
    <row r="103" spans="1:5" x14ac:dyDescent="0.45">
      <c r="A103" t="s">
        <v>190</v>
      </c>
      <c r="B103" t="s">
        <v>89</v>
      </c>
      <c r="C103">
        <v>11</v>
      </c>
      <c r="D103">
        <v>0</v>
      </c>
      <c r="E103">
        <v>350</v>
      </c>
    </row>
    <row r="104" spans="1:5" x14ac:dyDescent="0.45">
      <c r="A104" t="s">
        <v>191</v>
      </c>
      <c r="B104" t="s">
        <v>89</v>
      </c>
      <c r="C104">
        <v>11</v>
      </c>
      <c r="D104">
        <v>0</v>
      </c>
      <c r="E104">
        <v>400</v>
      </c>
    </row>
    <row r="105" spans="1:5" x14ac:dyDescent="0.45">
      <c r="A105" t="s">
        <v>192</v>
      </c>
      <c r="B105" t="s">
        <v>89</v>
      </c>
      <c r="C105">
        <v>11</v>
      </c>
      <c r="D105">
        <v>0</v>
      </c>
      <c r="E105">
        <v>450</v>
      </c>
    </row>
    <row r="106" spans="1:5" x14ac:dyDescent="0.45">
      <c r="A106" t="s">
        <v>193</v>
      </c>
      <c r="B106" t="s">
        <v>89</v>
      </c>
      <c r="C106">
        <v>11</v>
      </c>
      <c r="D106">
        <v>0</v>
      </c>
      <c r="E106">
        <v>500</v>
      </c>
    </row>
    <row r="107" spans="1:5" x14ac:dyDescent="0.45">
      <c r="A107" t="s">
        <v>194</v>
      </c>
      <c r="B107" t="s">
        <v>89</v>
      </c>
      <c r="C107">
        <v>11</v>
      </c>
      <c r="D107">
        <v>0</v>
      </c>
      <c r="E107">
        <v>550</v>
      </c>
    </row>
    <row r="108" spans="1:5" x14ac:dyDescent="0.45">
      <c r="A108" t="s">
        <v>195</v>
      </c>
      <c r="B108" t="s">
        <v>89</v>
      </c>
      <c r="C108">
        <v>11</v>
      </c>
      <c r="D108">
        <v>0</v>
      </c>
      <c r="E108">
        <v>599</v>
      </c>
    </row>
    <row r="109" spans="1:5" x14ac:dyDescent="0.45">
      <c r="A109" t="s">
        <v>196</v>
      </c>
      <c r="B109" t="s">
        <v>89</v>
      </c>
      <c r="C109">
        <v>12</v>
      </c>
      <c r="D109">
        <v>0</v>
      </c>
      <c r="E109">
        <v>100</v>
      </c>
    </row>
    <row r="110" spans="1:5" x14ac:dyDescent="0.45">
      <c r="A110" t="s">
        <v>197</v>
      </c>
      <c r="B110" t="s">
        <v>89</v>
      </c>
      <c r="C110">
        <v>12</v>
      </c>
      <c r="D110">
        <v>0</v>
      </c>
      <c r="E110">
        <v>150</v>
      </c>
    </row>
    <row r="111" spans="1:5" x14ac:dyDescent="0.45">
      <c r="A111" t="s">
        <v>198</v>
      </c>
      <c r="B111" t="s">
        <v>89</v>
      </c>
      <c r="C111">
        <v>12</v>
      </c>
      <c r="D111">
        <v>0</v>
      </c>
      <c r="E111">
        <v>200</v>
      </c>
    </row>
    <row r="112" spans="1:5" x14ac:dyDescent="0.45">
      <c r="A112" t="s">
        <v>199</v>
      </c>
      <c r="B112" t="s">
        <v>89</v>
      </c>
      <c r="C112">
        <v>12</v>
      </c>
      <c r="D112">
        <v>0</v>
      </c>
      <c r="E112">
        <v>250</v>
      </c>
    </row>
    <row r="113" spans="1:5" x14ac:dyDescent="0.45">
      <c r="A113" t="s">
        <v>200</v>
      </c>
      <c r="B113" t="s">
        <v>89</v>
      </c>
      <c r="C113">
        <v>12</v>
      </c>
      <c r="D113">
        <v>0</v>
      </c>
      <c r="E113">
        <v>300</v>
      </c>
    </row>
    <row r="114" spans="1:5" x14ac:dyDescent="0.45">
      <c r="A114" t="s">
        <v>201</v>
      </c>
      <c r="B114" t="s">
        <v>89</v>
      </c>
      <c r="C114">
        <v>12</v>
      </c>
      <c r="D114">
        <v>0</v>
      </c>
      <c r="E114">
        <v>350</v>
      </c>
    </row>
    <row r="115" spans="1:5" x14ac:dyDescent="0.45">
      <c r="A115" t="s">
        <v>202</v>
      </c>
      <c r="B115" t="s">
        <v>89</v>
      </c>
      <c r="C115">
        <v>12</v>
      </c>
      <c r="D115">
        <v>0</v>
      </c>
      <c r="E115">
        <v>400</v>
      </c>
    </row>
    <row r="116" spans="1:5" x14ac:dyDescent="0.45">
      <c r="A116" t="s">
        <v>203</v>
      </c>
      <c r="B116" t="s">
        <v>89</v>
      </c>
      <c r="C116">
        <v>12</v>
      </c>
      <c r="D116">
        <v>0</v>
      </c>
      <c r="E116">
        <v>450</v>
      </c>
    </row>
    <row r="117" spans="1:5" x14ac:dyDescent="0.45">
      <c r="A117" t="s">
        <v>204</v>
      </c>
      <c r="B117" t="s">
        <v>89</v>
      </c>
      <c r="C117">
        <v>12</v>
      </c>
      <c r="D117">
        <v>0</v>
      </c>
      <c r="E117">
        <v>500</v>
      </c>
    </row>
    <row r="118" spans="1:5" x14ac:dyDescent="0.45">
      <c r="A118" t="s">
        <v>205</v>
      </c>
      <c r="B118" t="s">
        <v>89</v>
      </c>
      <c r="C118">
        <v>12</v>
      </c>
      <c r="D118">
        <v>0</v>
      </c>
      <c r="E118">
        <v>550</v>
      </c>
    </row>
    <row r="119" spans="1:5" x14ac:dyDescent="0.45">
      <c r="A119" t="s">
        <v>206</v>
      </c>
      <c r="B119" t="s">
        <v>89</v>
      </c>
      <c r="C119">
        <v>12</v>
      </c>
      <c r="D119">
        <v>0</v>
      </c>
      <c r="E119">
        <v>599</v>
      </c>
    </row>
    <row r="120" spans="1:5" x14ac:dyDescent="0.45">
      <c r="A120" t="s">
        <v>207</v>
      </c>
      <c r="B120" t="s">
        <v>89</v>
      </c>
      <c r="C120">
        <v>13</v>
      </c>
      <c r="D120">
        <v>0</v>
      </c>
      <c r="E120">
        <v>100</v>
      </c>
    </row>
    <row r="121" spans="1:5" x14ac:dyDescent="0.45">
      <c r="A121" t="s">
        <v>208</v>
      </c>
      <c r="B121" t="s">
        <v>89</v>
      </c>
      <c r="C121">
        <v>13</v>
      </c>
      <c r="D121">
        <v>0</v>
      </c>
      <c r="E121">
        <v>150</v>
      </c>
    </row>
    <row r="122" spans="1:5" x14ac:dyDescent="0.45">
      <c r="A122" t="s">
        <v>209</v>
      </c>
      <c r="B122" t="s">
        <v>89</v>
      </c>
      <c r="C122">
        <v>13</v>
      </c>
      <c r="D122">
        <v>0</v>
      </c>
      <c r="E122">
        <v>200</v>
      </c>
    </row>
    <row r="123" spans="1:5" x14ac:dyDescent="0.45">
      <c r="A123" t="s">
        <v>210</v>
      </c>
      <c r="B123" t="s">
        <v>89</v>
      </c>
      <c r="C123">
        <v>13</v>
      </c>
      <c r="D123">
        <v>0</v>
      </c>
      <c r="E123">
        <v>250</v>
      </c>
    </row>
    <row r="124" spans="1:5" x14ac:dyDescent="0.45">
      <c r="A124" t="s">
        <v>211</v>
      </c>
      <c r="B124" t="s">
        <v>89</v>
      </c>
      <c r="C124">
        <v>13</v>
      </c>
      <c r="D124">
        <v>0</v>
      </c>
      <c r="E124">
        <v>300</v>
      </c>
    </row>
    <row r="125" spans="1:5" x14ac:dyDescent="0.45">
      <c r="A125" t="s">
        <v>212</v>
      </c>
      <c r="B125" t="s">
        <v>89</v>
      </c>
      <c r="C125">
        <v>13</v>
      </c>
      <c r="D125">
        <v>0</v>
      </c>
      <c r="E125">
        <v>350</v>
      </c>
    </row>
    <row r="126" spans="1:5" x14ac:dyDescent="0.45">
      <c r="A126" t="s">
        <v>213</v>
      </c>
      <c r="B126" t="s">
        <v>89</v>
      </c>
      <c r="C126">
        <v>13</v>
      </c>
      <c r="D126">
        <v>0</v>
      </c>
      <c r="E126">
        <v>400</v>
      </c>
    </row>
    <row r="127" spans="1:5" x14ac:dyDescent="0.45">
      <c r="A127" t="s">
        <v>214</v>
      </c>
      <c r="B127" t="s">
        <v>89</v>
      </c>
      <c r="C127">
        <v>13</v>
      </c>
      <c r="D127">
        <v>0</v>
      </c>
      <c r="E127">
        <v>450</v>
      </c>
    </row>
    <row r="128" spans="1:5" x14ac:dyDescent="0.45">
      <c r="A128" t="s">
        <v>215</v>
      </c>
      <c r="B128" t="s">
        <v>89</v>
      </c>
      <c r="C128">
        <v>13</v>
      </c>
      <c r="D128">
        <v>0</v>
      </c>
      <c r="E128">
        <v>500</v>
      </c>
    </row>
    <row r="129" spans="1:5" x14ac:dyDescent="0.45">
      <c r="A129" t="s">
        <v>216</v>
      </c>
      <c r="B129" t="s">
        <v>89</v>
      </c>
      <c r="C129">
        <v>13</v>
      </c>
      <c r="D129">
        <v>0</v>
      </c>
      <c r="E129">
        <v>550</v>
      </c>
    </row>
    <row r="130" spans="1:5" x14ac:dyDescent="0.45">
      <c r="A130" t="s">
        <v>217</v>
      </c>
      <c r="B130" t="s">
        <v>89</v>
      </c>
      <c r="C130">
        <v>13</v>
      </c>
      <c r="D130">
        <v>0</v>
      </c>
      <c r="E130">
        <v>599</v>
      </c>
    </row>
    <row r="131" spans="1:5" x14ac:dyDescent="0.45">
      <c r="A131" t="s">
        <v>218</v>
      </c>
      <c r="B131" t="s">
        <v>89</v>
      </c>
      <c r="C131">
        <v>14</v>
      </c>
      <c r="D131">
        <v>0</v>
      </c>
      <c r="E131">
        <v>100</v>
      </c>
    </row>
    <row r="132" spans="1:5" x14ac:dyDescent="0.45">
      <c r="A132" t="s">
        <v>219</v>
      </c>
      <c r="B132" t="s">
        <v>89</v>
      </c>
      <c r="C132">
        <v>14</v>
      </c>
      <c r="D132">
        <v>0</v>
      </c>
      <c r="E132">
        <v>150</v>
      </c>
    </row>
    <row r="133" spans="1:5" x14ac:dyDescent="0.45">
      <c r="A133" t="s">
        <v>220</v>
      </c>
      <c r="B133" t="s">
        <v>89</v>
      </c>
      <c r="C133">
        <v>14</v>
      </c>
      <c r="D133">
        <v>0</v>
      </c>
      <c r="E133">
        <v>200</v>
      </c>
    </row>
    <row r="134" spans="1:5" x14ac:dyDescent="0.45">
      <c r="A134" t="s">
        <v>221</v>
      </c>
      <c r="B134" t="s">
        <v>89</v>
      </c>
      <c r="C134">
        <v>14</v>
      </c>
      <c r="D134">
        <v>0</v>
      </c>
      <c r="E134">
        <v>250</v>
      </c>
    </row>
    <row r="135" spans="1:5" x14ac:dyDescent="0.45">
      <c r="A135" t="s">
        <v>222</v>
      </c>
      <c r="B135" t="s">
        <v>89</v>
      </c>
      <c r="C135">
        <v>14</v>
      </c>
      <c r="D135">
        <v>0</v>
      </c>
      <c r="E135">
        <v>300</v>
      </c>
    </row>
    <row r="136" spans="1:5" x14ac:dyDescent="0.45">
      <c r="A136" t="s">
        <v>223</v>
      </c>
      <c r="B136" t="s">
        <v>89</v>
      </c>
      <c r="C136">
        <v>14</v>
      </c>
      <c r="D136">
        <v>0</v>
      </c>
      <c r="E136">
        <v>350</v>
      </c>
    </row>
    <row r="137" spans="1:5" x14ac:dyDescent="0.45">
      <c r="A137" t="s">
        <v>224</v>
      </c>
      <c r="B137" t="s">
        <v>89</v>
      </c>
      <c r="C137">
        <v>14</v>
      </c>
      <c r="D137">
        <v>0</v>
      </c>
      <c r="E137">
        <v>400</v>
      </c>
    </row>
    <row r="138" spans="1:5" x14ac:dyDescent="0.45">
      <c r="A138" t="s">
        <v>225</v>
      </c>
      <c r="B138" t="s">
        <v>89</v>
      </c>
      <c r="C138">
        <v>14</v>
      </c>
      <c r="D138">
        <v>0</v>
      </c>
      <c r="E138">
        <v>450</v>
      </c>
    </row>
    <row r="139" spans="1:5" x14ac:dyDescent="0.45">
      <c r="A139" t="s">
        <v>226</v>
      </c>
      <c r="B139" t="s">
        <v>89</v>
      </c>
      <c r="C139">
        <v>14</v>
      </c>
      <c r="D139">
        <v>0</v>
      </c>
      <c r="E139">
        <v>500</v>
      </c>
    </row>
    <row r="140" spans="1:5" x14ac:dyDescent="0.45">
      <c r="A140" t="s">
        <v>227</v>
      </c>
      <c r="B140" t="s">
        <v>89</v>
      </c>
      <c r="C140">
        <v>14</v>
      </c>
      <c r="D140">
        <v>0</v>
      </c>
      <c r="E140">
        <v>550</v>
      </c>
    </row>
    <row r="141" spans="1:5" x14ac:dyDescent="0.45">
      <c r="A141" t="s">
        <v>228</v>
      </c>
      <c r="B141" t="s">
        <v>89</v>
      </c>
      <c r="C141">
        <v>14</v>
      </c>
      <c r="D141">
        <v>0</v>
      </c>
      <c r="E141">
        <v>599</v>
      </c>
    </row>
    <row r="142" spans="1:5" x14ac:dyDescent="0.45">
      <c r="A142" t="s">
        <v>229</v>
      </c>
      <c r="B142" t="s">
        <v>89</v>
      </c>
      <c r="C142">
        <v>15</v>
      </c>
      <c r="D142">
        <v>0</v>
      </c>
      <c r="E142">
        <v>75</v>
      </c>
    </row>
    <row r="143" spans="1:5" x14ac:dyDescent="0.45">
      <c r="A143" t="s">
        <v>230</v>
      </c>
      <c r="B143" t="s">
        <v>89</v>
      </c>
      <c r="C143">
        <v>15</v>
      </c>
      <c r="D143">
        <v>0</v>
      </c>
      <c r="E143">
        <v>100</v>
      </c>
    </row>
    <row r="144" spans="1:5" x14ac:dyDescent="0.45">
      <c r="A144" t="s">
        <v>231</v>
      </c>
      <c r="B144" t="s">
        <v>89</v>
      </c>
      <c r="C144">
        <v>15</v>
      </c>
      <c r="D144">
        <v>0</v>
      </c>
      <c r="E144">
        <v>150</v>
      </c>
    </row>
    <row r="145" spans="1:5" x14ac:dyDescent="0.45">
      <c r="A145" t="s">
        <v>232</v>
      </c>
      <c r="B145" t="s">
        <v>89</v>
      </c>
      <c r="C145">
        <v>15</v>
      </c>
      <c r="D145">
        <v>0</v>
      </c>
      <c r="E145">
        <v>200</v>
      </c>
    </row>
    <row r="146" spans="1:5" x14ac:dyDescent="0.45">
      <c r="A146" t="s">
        <v>233</v>
      </c>
      <c r="B146" t="s">
        <v>89</v>
      </c>
      <c r="C146">
        <v>15</v>
      </c>
      <c r="D146">
        <v>0</v>
      </c>
      <c r="E146">
        <v>250</v>
      </c>
    </row>
    <row r="147" spans="1:5" x14ac:dyDescent="0.45">
      <c r="A147" t="s">
        <v>234</v>
      </c>
      <c r="B147" t="s">
        <v>89</v>
      </c>
      <c r="C147">
        <v>15</v>
      </c>
      <c r="D147">
        <v>0</v>
      </c>
      <c r="E147">
        <v>300</v>
      </c>
    </row>
    <row r="148" spans="1:5" x14ac:dyDescent="0.45">
      <c r="A148" t="s">
        <v>235</v>
      </c>
      <c r="B148" t="s">
        <v>89</v>
      </c>
      <c r="C148">
        <v>15</v>
      </c>
      <c r="D148">
        <v>0</v>
      </c>
      <c r="E148">
        <v>350</v>
      </c>
    </row>
    <row r="149" spans="1:5" x14ac:dyDescent="0.45">
      <c r="A149" t="s">
        <v>236</v>
      </c>
      <c r="B149" t="s">
        <v>89</v>
      </c>
      <c r="C149">
        <v>15</v>
      </c>
      <c r="D149">
        <v>0</v>
      </c>
      <c r="E149">
        <v>400</v>
      </c>
    </row>
    <row r="150" spans="1:5" x14ac:dyDescent="0.45">
      <c r="A150" t="s">
        <v>237</v>
      </c>
      <c r="B150" t="s">
        <v>89</v>
      </c>
      <c r="C150">
        <v>15</v>
      </c>
      <c r="D150">
        <v>0</v>
      </c>
      <c r="E150">
        <v>450</v>
      </c>
    </row>
    <row r="151" spans="1:5" x14ac:dyDescent="0.45">
      <c r="A151" t="s">
        <v>238</v>
      </c>
      <c r="B151" t="s">
        <v>89</v>
      </c>
      <c r="C151">
        <v>15</v>
      </c>
      <c r="D151">
        <v>0</v>
      </c>
      <c r="E151">
        <v>500</v>
      </c>
    </row>
    <row r="152" spans="1:5" x14ac:dyDescent="0.45">
      <c r="A152" t="s">
        <v>239</v>
      </c>
      <c r="B152" t="s">
        <v>89</v>
      </c>
      <c r="C152">
        <v>15</v>
      </c>
      <c r="D152">
        <v>0</v>
      </c>
      <c r="E152">
        <v>550</v>
      </c>
    </row>
    <row r="153" spans="1:5" x14ac:dyDescent="0.45">
      <c r="A153" t="s">
        <v>240</v>
      </c>
      <c r="B153" t="s">
        <v>89</v>
      </c>
      <c r="C153">
        <v>15</v>
      </c>
      <c r="D153">
        <v>0</v>
      </c>
      <c r="E153">
        <v>599</v>
      </c>
    </row>
    <row r="154" spans="1:5" x14ac:dyDescent="0.45">
      <c r="A154" t="s">
        <v>241</v>
      </c>
      <c r="B154" t="s">
        <v>89</v>
      </c>
      <c r="C154">
        <v>16</v>
      </c>
      <c r="D154">
        <v>0</v>
      </c>
      <c r="E154">
        <v>75</v>
      </c>
    </row>
    <row r="155" spans="1:5" x14ac:dyDescent="0.45">
      <c r="A155" t="s">
        <v>242</v>
      </c>
      <c r="B155" t="s">
        <v>89</v>
      </c>
      <c r="C155">
        <v>16</v>
      </c>
      <c r="D155">
        <v>0</v>
      </c>
      <c r="E155">
        <v>100</v>
      </c>
    </row>
    <row r="156" spans="1:5" x14ac:dyDescent="0.45">
      <c r="A156" t="s">
        <v>243</v>
      </c>
      <c r="B156" t="s">
        <v>89</v>
      </c>
      <c r="C156">
        <v>16</v>
      </c>
      <c r="D156">
        <v>0</v>
      </c>
      <c r="E156">
        <v>150</v>
      </c>
    </row>
    <row r="157" spans="1:5" x14ac:dyDescent="0.45">
      <c r="A157" t="s">
        <v>244</v>
      </c>
      <c r="B157" t="s">
        <v>89</v>
      </c>
      <c r="C157">
        <v>16</v>
      </c>
      <c r="D157">
        <v>0</v>
      </c>
      <c r="E157">
        <v>200</v>
      </c>
    </row>
    <row r="158" spans="1:5" x14ac:dyDescent="0.45">
      <c r="A158" t="s">
        <v>245</v>
      </c>
      <c r="B158" t="s">
        <v>89</v>
      </c>
      <c r="C158">
        <v>16</v>
      </c>
      <c r="D158">
        <v>0</v>
      </c>
      <c r="E158">
        <v>250</v>
      </c>
    </row>
    <row r="159" spans="1:5" x14ac:dyDescent="0.45">
      <c r="A159" t="s">
        <v>246</v>
      </c>
      <c r="B159" t="s">
        <v>89</v>
      </c>
      <c r="C159">
        <v>16</v>
      </c>
      <c r="D159">
        <v>0</v>
      </c>
      <c r="E159">
        <v>300</v>
      </c>
    </row>
    <row r="160" spans="1:5" x14ac:dyDescent="0.45">
      <c r="A160" t="s">
        <v>247</v>
      </c>
      <c r="B160" t="s">
        <v>89</v>
      </c>
      <c r="C160">
        <v>16</v>
      </c>
      <c r="D160">
        <v>0</v>
      </c>
      <c r="E160">
        <v>350</v>
      </c>
    </row>
    <row r="161" spans="1:5" x14ac:dyDescent="0.45">
      <c r="A161" t="s">
        <v>248</v>
      </c>
      <c r="B161" t="s">
        <v>89</v>
      </c>
      <c r="C161">
        <v>16</v>
      </c>
      <c r="D161">
        <v>0</v>
      </c>
      <c r="E161">
        <v>400</v>
      </c>
    </row>
    <row r="162" spans="1:5" x14ac:dyDescent="0.45">
      <c r="A162" t="s">
        <v>249</v>
      </c>
      <c r="B162" t="s">
        <v>89</v>
      </c>
      <c r="C162">
        <v>16</v>
      </c>
      <c r="D162">
        <v>0</v>
      </c>
      <c r="E162">
        <v>450</v>
      </c>
    </row>
    <row r="163" spans="1:5" x14ac:dyDescent="0.45">
      <c r="A163" t="s">
        <v>250</v>
      </c>
      <c r="B163" t="s">
        <v>89</v>
      </c>
      <c r="C163">
        <v>16</v>
      </c>
      <c r="D163">
        <v>0</v>
      </c>
      <c r="E163">
        <v>500</v>
      </c>
    </row>
    <row r="164" spans="1:5" x14ac:dyDescent="0.45">
      <c r="A164" t="s">
        <v>251</v>
      </c>
      <c r="B164" t="s">
        <v>89</v>
      </c>
      <c r="C164">
        <v>16</v>
      </c>
      <c r="D164">
        <v>0</v>
      </c>
      <c r="E164">
        <v>550</v>
      </c>
    </row>
    <row r="165" spans="1:5" x14ac:dyDescent="0.45">
      <c r="A165" t="s">
        <v>252</v>
      </c>
      <c r="B165" t="s">
        <v>89</v>
      </c>
      <c r="C165">
        <v>16</v>
      </c>
      <c r="D165">
        <v>0</v>
      </c>
      <c r="E165">
        <v>599</v>
      </c>
    </row>
    <row r="166" spans="1:5" x14ac:dyDescent="0.45">
      <c r="A166" t="s">
        <v>253</v>
      </c>
      <c r="B166" t="s">
        <v>89</v>
      </c>
      <c r="C166">
        <v>17</v>
      </c>
      <c r="D166">
        <v>0</v>
      </c>
      <c r="E166">
        <v>75</v>
      </c>
    </row>
    <row r="167" spans="1:5" x14ac:dyDescent="0.45">
      <c r="A167" t="s">
        <v>254</v>
      </c>
      <c r="B167" t="s">
        <v>89</v>
      </c>
      <c r="C167">
        <v>17</v>
      </c>
      <c r="D167">
        <v>0</v>
      </c>
      <c r="E167">
        <v>100</v>
      </c>
    </row>
    <row r="168" spans="1:5" x14ac:dyDescent="0.45">
      <c r="A168" t="s">
        <v>255</v>
      </c>
      <c r="B168" t="s">
        <v>89</v>
      </c>
      <c r="C168">
        <v>17</v>
      </c>
      <c r="D168">
        <v>0</v>
      </c>
      <c r="E168">
        <v>150</v>
      </c>
    </row>
    <row r="169" spans="1:5" x14ac:dyDescent="0.45">
      <c r="A169" t="s">
        <v>256</v>
      </c>
      <c r="B169" t="s">
        <v>89</v>
      </c>
      <c r="C169">
        <v>17</v>
      </c>
      <c r="D169">
        <v>0</v>
      </c>
      <c r="E169">
        <v>200</v>
      </c>
    </row>
    <row r="170" spans="1:5" x14ac:dyDescent="0.45">
      <c r="A170" t="s">
        <v>257</v>
      </c>
      <c r="B170" t="s">
        <v>89</v>
      </c>
      <c r="C170">
        <v>17</v>
      </c>
      <c r="D170">
        <v>0</v>
      </c>
      <c r="E170">
        <v>250</v>
      </c>
    </row>
    <row r="171" spans="1:5" x14ac:dyDescent="0.45">
      <c r="A171" t="s">
        <v>258</v>
      </c>
      <c r="B171" t="s">
        <v>89</v>
      </c>
      <c r="C171">
        <v>17</v>
      </c>
      <c r="D171">
        <v>0</v>
      </c>
      <c r="E171">
        <v>300</v>
      </c>
    </row>
    <row r="172" spans="1:5" x14ac:dyDescent="0.45">
      <c r="A172" t="s">
        <v>259</v>
      </c>
      <c r="B172" t="s">
        <v>89</v>
      </c>
      <c r="C172">
        <v>17</v>
      </c>
      <c r="D172">
        <v>0</v>
      </c>
      <c r="E172">
        <v>350</v>
      </c>
    </row>
    <row r="173" spans="1:5" x14ac:dyDescent="0.45">
      <c r="A173" t="s">
        <v>260</v>
      </c>
      <c r="B173" t="s">
        <v>89</v>
      </c>
      <c r="C173">
        <v>17</v>
      </c>
      <c r="D173">
        <v>0</v>
      </c>
      <c r="E173">
        <v>400</v>
      </c>
    </row>
    <row r="174" spans="1:5" x14ac:dyDescent="0.45">
      <c r="A174" t="s">
        <v>261</v>
      </c>
      <c r="B174" t="s">
        <v>89</v>
      </c>
      <c r="C174">
        <v>17</v>
      </c>
      <c r="D174">
        <v>0</v>
      </c>
      <c r="E174">
        <v>450</v>
      </c>
    </row>
    <row r="175" spans="1:5" x14ac:dyDescent="0.45">
      <c r="A175" t="s">
        <v>262</v>
      </c>
      <c r="B175" t="s">
        <v>89</v>
      </c>
      <c r="C175">
        <v>17</v>
      </c>
      <c r="D175">
        <v>0</v>
      </c>
      <c r="E175">
        <v>500</v>
      </c>
    </row>
    <row r="176" spans="1:5" x14ac:dyDescent="0.45">
      <c r="A176" t="s">
        <v>263</v>
      </c>
      <c r="B176" t="s">
        <v>89</v>
      </c>
      <c r="C176">
        <v>17</v>
      </c>
      <c r="D176">
        <v>0</v>
      </c>
      <c r="E176">
        <v>550</v>
      </c>
    </row>
    <row r="177" spans="1:5" x14ac:dyDescent="0.45">
      <c r="A177" t="s">
        <v>264</v>
      </c>
      <c r="B177" t="s">
        <v>89</v>
      </c>
      <c r="C177">
        <v>17</v>
      </c>
      <c r="D177">
        <v>0</v>
      </c>
      <c r="E177">
        <v>599</v>
      </c>
    </row>
    <row r="178" spans="1:5" x14ac:dyDescent="0.45">
      <c r="A178" t="s">
        <v>265</v>
      </c>
      <c r="B178" t="s">
        <v>89</v>
      </c>
      <c r="C178">
        <v>18</v>
      </c>
      <c r="D178">
        <v>0</v>
      </c>
      <c r="E178">
        <v>75</v>
      </c>
    </row>
    <row r="179" spans="1:5" x14ac:dyDescent="0.45">
      <c r="A179" t="s">
        <v>266</v>
      </c>
      <c r="B179" t="s">
        <v>89</v>
      </c>
      <c r="C179">
        <v>18</v>
      </c>
      <c r="D179">
        <v>0</v>
      </c>
      <c r="E179">
        <v>100</v>
      </c>
    </row>
    <row r="180" spans="1:5" x14ac:dyDescent="0.45">
      <c r="A180" t="s">
        <v>267</v>
      </c>
      <c r="B180" t="s">
        <v>89</v>
      </c>
      <c r="C180">
        <v>18</v>
      </c>
      <c r="D180">
        <v>0</v>
      </c>
      <c r="E180">
        <v>150</v>
      </c>
    </row>
    <row r="181" spans="1:5" x14ac:dyDescent="0.45">
      <c r="A181" t="s">
        <v>268</v>
      </c>
      <c r="B181" t="s">
        <v>89</v>
      </c>
      <c r="C181">
        <v>18</v>
      </c>
      <c r="D181">
        <v>0</v>
      </c>
      <c r="E181">
        <v>200</v>
      </c>
    </row>
    <row r="182" spans="1:5" x14ac:dyDescent="0.45">
      <c r="A182" t="s">
        <v>269</v>
      </c>
      <c r="B182" t="s">
        <v>89</v>
      </c>
      <c r="C182">
        <v>18</v>
      </c>
      <c r="D182">
        <v>0</v>
      </c>
      <c r="E182">
        <v>250</v>
      </c>
    </row>
    <row r="183" spans="1:5" x14ac:dyDescent="0.45">
      <c r="A183" t="s">
        <v>270</v>
      </c>
      <c r="B183" t="s">
        <v>89</v>
      </c>
      <c r="C183">
        <v>18</v>
      </c>
      <c r="D183">
        <v>0</v>
      </c>
      <c r="E183">
        <v>300</v>
      </c>
    </row>
    <row r="184" spans="1:5" x14ac:dyDescent="0.45">
      <c r="A184" t="s">
        <v>271</v>
      </c>
      <c r="B184" t="s">
        <v>89</v>
      </c>
      <c r="C184">
        <v>18</v>
      </c>
      <c r="D184">
        <v>0</v>
      </c>
      <c r="E184">
        <v>350</v>
      </c>
    </row>
    <row r="185" spans="1:5" x14ac:dyDescent="0.45">
      <c r="A185" t="s">
        <v>272</v>
      </c>
      <c r="B185" t="s">
        <v>89</v>
      </c>
      <c r="C185">
        <v>18</v>
      </c>
      <c r="D185">
        <v>0</v>
      </c>
      <c r="E185">
        <v>400</v>
      </c>
    </row>
    <row r="186" spans="1:5" x14ac:dyDescent="0.45">
      <c r="A186" t="s">
        <v>273</v>
      </c>
      <c r="B186" t="s">
        <v>89</v>
      </c>
      <c r="C186">
        <v>18</v>
      </c>
      <c r="D186">
        <v>0</v>
      </c>
      <c r="E186">
        <v>450</v>
      </c>
    </row>
    <row r="187" spans="1:5" x14ac:dyDescent="0.45">
      <c r="A187" t="s">
        <v>274</v>
      </c>
      <c r="B187" t="s">
        <v>89</v>
      </c>
      <c r="C187">
        <v>18</v>
      </c>
      <c r="D187">
        <v>0</v>
      </c>
      <c r="E187">
        <v>500</v>
      </c>
    </row>
    <row r="188" spans="1:5" x14ac:dyDescent="0.45">
      <c r="A188" t="s">
        <v>275</v>
      </c>
      <c r="B188" t="s">
        <v>89</v>
      </c>
      <c r="C188">
        <v>18</v>
      </c>
      <c r="D188">
        <v>0</v>
      </c>
      <c r="E188">
        <v>550</v>
      </c>
    </row>
    <row r="189" spans="1:5" x14ac:dyDescent="0.45">
      <c r="A189" t="s">
        <v>276</v>
      </c>
      <c r="B189" t="s">
        <v>89</v>
      </c>
      <c r="C189">
        <v>18</v>
      </c>
      <c r="D189">
        <v>0</v>
      </c>
      <c r="E189">
        <v>599</v>
      </c>
    </row>
    <row r="190" spans="1:5" x14ac:dyDescent="0.45">
      <c r="A190" t="s">
        <v>277</v>
      </c>
      <c r="B190" t="s">
        <v>89</v>
      </c>
      <c r="C190">
        <v>19</v>
      </c>
      <c r="D190">
        <v>0</v>
      </c>
      <c r="E190">
        <v>75</v>
      </c>
    </row>
    <row r="191" spans="1:5" x14ac:dyDescent="0.45">
      <c r="A191" t="s">
        <v>278</v>
      </c>
      <c r="B191" t="s">
        <v>89</v>
      </c>
      <c r="C191">
        <v>19</v>
      </c>
      <c r="D191">
        <v>0</v>
      </c>
      <c r="E191">
        <v>100</v>
      </c>
    </row>
    <row r="192" spans="1:5" x14ac:dyDescent="0.45">
      <c r="A192" t="s">
        <v>279</v>
      </c>
      <c r="B192" t="s">
        <v>89</v>
      </c>
      <c r="C192">
        <v>19</v>
      </c>
      <c r="D192">
        <v>0</v>
      </c>
      <c r="E192">
        <v>150</v>
      </c>
    </row>
    <row r="193" spans="1:5" x14ac:dyDescent="0.45">
      <c r="A193" t="s">
        <v>280</v>
      </c>
      <c r="B193" t="s">
        <v>89</v>
      </c>
      <c r="C193">
        <v>19</v>
      </c>
      <c r="D193">
        <v>0</v>
      </c>
      <c r="E193">
        <v>200</v>
      </c>
    </row>
    <row r="194" spans="1:5" x14ac:dyDescent="0.45">
      <c r="A194" t="s">
        <v>281</v>
      </c>
      <c r="B194" t="s">
        <v>89</v>
      </c>
      <c r="C194">
        <v>19</v>
      </c>
      <c r="D194">
        <v>0</v>
      </c>
      <c r="E194">
        <v>250</v>
      </c>
    </row>
    <row r="195" spans="1:5" x14ac:dyDescent="0.45">
      <c r="A195" t="s">
        <v>282</v>
      </c>
      <c r="B195" t="s">
        <v>89</v>
      </c>
      <c r="C195">
        <v>19</v>
      </c>
      <c r="D195">
        <v>0</v>
      </c>
      <c r="E195">
        <v>300</v>
      </c>
    </row>
    <row r="196" spans="1:5" x14ac:dyDescent="0.45">
      <c r="A196" t="s">
        <v>283</v>
      </c>
      <c r="B196" t="s">
        <v>89</v>
      </c>
      <c r="C196">
        <v>19</v>
      </c>
      <c r="D196">
        <v>0</v>
      </c>
      <c r="E196">
        <v>350</v>
      </c>
    </row>
    <row r="197" spans="1:5" x14ac:dyDescent="0.45">
      <c r="A197" t="s">
        <v>284</v>
      </c>
      <c r="B197" t="s">
        <v>89</v>
      </c>
      <c r="C197">
        <v>19</v>
      </c>
      <c r="D197">
        <v>0</v>
      </c>
      <c r="E197">
        <v>400</v>
      </c>
    </row>
    <row r="198" spans="1:5" x14ac:dyDescent="0.45">
      <c r="A198" t="s">
        <v>285</v>
      </c>
      <c r="B198" t="s">
        <v>89</v>
      </c>
      <c r="C198">
        <v>19</v>
      </c>
      <c r="D198">
        <v>0</v>
      </c>
      <c r="E198">
        <v>450</v>
      </c>
    </row>
    <row r="199" spans="1:5" x14ac:dyDescent="0.45">
      <c r="A199" t="s">
        <v>286</v>
      </c>
      <c r="B199" t="s">
        <v>89</v>
      </c>
      <c r="C199">
        <v>19</v>
      </c>
      <c r="D199">
        <v>0</v>
      </c>
      <c r="E199">
        <v>500</v>
      </c>
    </row>
    <row r="200" spans="1:5" x14ac:dyDescent="0.45">
      <c r="A200" t="s">
        <v>287</v>
      </c>
      <c r="B200" t="s">
        <v>89</v>
      </c>
      <c r="C200">
        <v>19</v>
      </c>
      <c r="D200">
        <v>0</v>
      </c>
      <c r="E200">
        <v>550</v>
      </c>
    </row>
    <row r="201" spans="1:5" x14ac:dyDescent="0.45">
      <c r="A201" t="s">
        <v>288</v>
      </c>
      <c r="B201" t="s">
        <v>89</v>
      </c>
      <c r="C201">
        <v>19</v>
      </c>
      <c r="D201">
        <v>0</v>
      </c>
      <c r="E201">
        <v>599</v>
      </c>
    </row>
    <row r="202" spans="1:5" x14ac:dyDescent="0.45">
      <c r="A202" t="s">
        <v>289</v>
      </c>
      <c r="B202" t="s">
        <v>89</v>
      </c>
      <c r="C202">
        <v>20</v>
      </c>
      <c r="D202">
        <v>0</v>
      </c>
      <c r="E202">
        <v>25</v>
      </c>
    </row>
    <row r="203" spans="1:5" x14ac:dyDescent="0.45">
      <c r="A203" t="s">
        <v>290</v>
      </c>
      <c r="B203" t="s">
        <v>89</v>
      </c>
      <c r="C203">
        <v>20</v>
      </c>
      <c r="D203">
        <v>0</v>
      </c>
      <c r="E203">
        <v>75</v>
      </c>
    </row>
    <row r="204" spans="1:5" x14ac:dyDescent="0.45">
      <c r="A204" t="s">
        <v>291</v>
      </c>
      <c r="B204" t="s">
        <v>89</v>
      </c>
      <c r="C204">
        <v>20</v>
      </c>
      <c r="D204">
        <v>0</v>
      </c>
      <c r="E204">
        <v>100</v>
      </c>
    </row>
    <row r="205" spans="1:5" x14ac:dyDescent="0.45">
      <c r="A205" t="s">
        <v>292</v>
      </c>
      <c r="B205" t="s">
        <v>89</v>
      </c>
      <c r="C205">
        <v>20</v>
      </c>
      <c r="D205">
        <v>0</v>
      </c>
      <c r="E205">
        <v>150</v>
      </c>
    </row>
    <row r="206" spans="1:5" x14ac:dyDescent="0.45">
      <c r="A206" t="s">
        <v>293</v>
      </c>
      <c r="B206" t="s">
        <v>89</v>
      </c>
      <c r="C206">
        <v>20</v>
      </c>
      <c r="D206">
        <v>0</v>
      </c>
      <c r="E206">
        <v>200</v>
      </c>
    </row>
    <row r="207" spans="1:5" x14ac:dyDescent="0.45">
      <c r="A207" t="s">
        <v>294</v>
      </c>
      <c r="B207" t="s">
        <v>89</v>
      </c>
      <c r="C207">
        <v>20</v>
      </c>
      <c r="D207">
        <v>0</v>
      </c>
      <c r="E207">
        <v>250</v>
      </c>
    </row>
    <row r="208" spans="1:5" x14ac:dyDescent="0.45">
      <c r="A208" t="s">
        <v>295</v>
      </c>
      <c r="B208" t="s">
        <v>89</v>
      </c>
      <c r="C208">
        <v>20</v>
      </c>
      <c r="D208">
        <v>0</v>
      </c>
      <c r="E208">
        <v>300</v>
      </c>
    </row>
    <row r="209" spans="1:5" x14ac:dyDescent="0.45">
      <c r="A209" t="s">
        <v>296</v>
      </c>
      <c r="B209" t="s">
        <v>89</v>
      </c>
      <c r="C209">
        <v>20</v>
      </c>
      <c r="D209">
        <v>0</v>
      </c>
      <c r="E209">
        <v>350</v>
      </c>
    </row>
    <row r="210" spans="1:5" x14ac:dyDescent="0.45">
      <c r="A210" t="s">
        <v>297</v>
      </c>
      <c r="B210" t="s">
        <v>89</v>
      </c>
      <c r="C210">
        <v>20</v>
      </c>
      <c r="D210">
        <v>0</v>
      </c>
      <c r="E210">
        <v>400</v>
      </c>
    </row>
    <row r="211" spans="1:5" x14ac:dyDescent="0.45">
      <c r="A211" t="s">
        <v>298</v>
      </c>
      <c r="B211" t="s">
        <v>89</v>
      </c>
      <c r="C211">
        <v>20</v>
      </c>
      <c r="D211">
        <v>0</v>
      </c>
      <c r="E211">
        <v>450</v>
      </c>
    </row>
    <row r="212" spans="1:5" x14ac:dyDescent="0.45">
      <c r="A212" t="s">
        <v>299</v>
      </c>
      <c r="B212" t="s">
        <v>89</v>
      </c>
      <c r="C212">
        <v>20</v>
      </c>
      <c r="D212">
        <v>0</v>
      </c>
      <c r="E212">
        <v>500</v>
      </c>
    </row>
    <row r="213" spans="1:5" x14ac:dyDescent="0.45">
      <c r="A213" t="s">
        <v>300</v>
      </c>
      <c r="B213" t="s">
        <v>89</v>
      </c>
      <c r="C213">
        <v>20</v>
      </c>
      <c r="D213">
        <v>0</v>
      </c>
      <c r="E213">
        <v>550</v>
      </c>
    </row>
    <row r="214" spans="1:5" x14ac:dyDescent="0.45">
      <c r="A214" t="s">
        <v>301</v>
      </c>
      <c r="B214" t="s">
        <v>89</v>
      </c>
      <c r="C214">
        <v>20</v>
      </c>
      <c r="D214">
        <v>0</v>
      </c>
      <c r="E214">
        <v>599</v>
      </c>
    </row>
    <row r="215" spans="1:5" x14ac:dyDescent="0.45">
      <c r="A215" t="s">
        <v>302</v>
      </c>
      <c r="B215" t="s">
        <v>89</v>
      </c>
      <c r="C215">
        <v>21</v>
      </c>
      <c r="D215">
        <v>0</v>
      </c>
      <c r="E215">
        <v>25</v>
      </c>
    </row>
    <row r="216" spans="1:5" x14ac:dyDescent="0.45">
      <c r="A216" t="s">
        <v>303</v>
      </c>
      <c r="B216" t="s">
        <v>89</v>
      </c>
      <c r="C216">
        <v>21</v>
      </c>
      <c r="D216">
        <v>0</v>
      </c>
      <c r="E216">
        <v>75</v>
      </c>
    </row>
    <row r="217" spans="1:5" x14ac:dyDescent="0.45">
      <c r="A217" t="s">
        <v>304</v>
      </c>
      <c r="B217" t="s">
        <v>89</v>
      </c>
      <c r="C217">
        <v>21</v>
      </c>
      <c r="D217">
        <v>0</v>
      </c>
      <c r="E217">
        <v>100</v>
      </c>
    </row>
    <row r="218" spans="1:5" x14ac:dyDescent="0.45">
      <c r="A218" t="s">
        <v>305</v>
      </c>
      <c r="B218" t="s">
        <v>89</v>
      </c>
      <c r="C218">
        <v>21</v>
      </c>
      <c r="D218">
        <v>0</v>
      </c>
      <c r="E218">
        <v>150</v>
      </c>
    </row>
    <row r="219" spans="1:5" x14ac:dyDescent="0.45">
      <c r="A219" t="s">
        <v>306</v>
      </c>
      <c r="B219" t="s">
        <v>89</v>
      </c>
      <c r="C219">
        <v>21</v>
      </c>
      <c r="D219">
        <v>0</v>
      </c>
      <c r="E219">
        <v>200</v>
      </c>
    </row>
    <row r="220" spans="1:5" x14ac:dyDescent="0.45">
      <c r="A220" t="s">
        <v>307</v>
      </c>
      <c r="B220" t="s">
        <v>89</v>
      </c>
      <c r="C220">
        <v>21</v>
      </c>
      <c r="D220">
        <v>0</v>
      </c>
      <c r="E220">
        <v>250</v>
      </c>
    </row>
    <row r="221" spans="1:5" x14ac:dyDescent="0.45">
      <c r="A221" t="s">
        <v>308</v>
      </c>
      <c r="B221" t="s">
        <v>89</v>
      </c>
      <c r="C221">
        <v>21</v>
      </c>
      <c r="D221">
        <v>0</v>
      </c>
      <c r="E221">
        <v>300</v>
      </c>
    </row>
    <row r="222" spans="1:5" x14ac:dyDescent="0.45">
      <c r="A222" t="s">
        <v>309</v>
      </c>
      <c r="B222" t="s">
        <v>89</v>
      </c>
      <c r="C222">
        <v>21</v>
      </c>
      <c r="D222">
        <v>0</v>
      </c>
      <c r="E222">
        <v>350</v>
      </c>
    </row>
    <row r="223" spans="1:5" x14ac:dyDescent="0.45">
      <c r="A223" t="s">
        <v>310</v>
      </c>
      <c r="B223" t="s">
        <v>89</v>
      </c>
      <c r="C223">
        <v>21</v>
      </c>
      <c r="D223">
        <v>0</v>
      </c>
      <c r="E223">
        <v>400</v>
      </c>
    </row>
    <row r="224" spans="1:5" x14ac:dyDescent="0.45">
      <c r="A224" t="s">
        <v>311</v>
      </c>
      <c r="B224" t="s">
        <v>89</v>
      </c>
      <c r="C224">
        <v>21</v>
      </c>
      <c r="D224">
        <v>0</v>
      </c>
      <c r="E224">
        <v>450</v>
      </c>
    </row>
    <row r="225" spans="1:5" x14ac:dyDescent="0.45">
      <c r="A225" t="s">
        <v>312</v>
      </c>
      <c r="B225" t="s">
        <v>89</v>
      </c>
      <c r="C225">
        <v>21</v>
      </c>
      <c r="D225">
        <v>0</v>
      </c>
      <c r="E225">
        <v>500</v>
      </c>
    </row>
    <row r="226" spans="1:5" x14ac:dyDescent="0.45">
      <c r="A226" t="s">
        <v>313</v>
      </c>
      <c r="B226" t="s">
        <v>89</v>
      </c>
      <c r="C226">
        <v>21</v>
      </c>
      <c r="D226">
        <v>0</v>
      </c>
      <c r="E226">
        <v>550</v>
      </c>
    </row>
    <row r="227" spans="1:5" x14ac:dyDescent="0.45">
      <c r="A227" t="s">
        <v>314</v>
      </c>
      <c r="B227" t="s">
        <v>89</v>
      </c>
      <c r="C227">
        <v>21</v>
      </c>
      <c r="D227">
        <v>0</v>
      </c>
      <c r="E227">
        <v>599</v>
      </c>
    </row>
    <row r="228" spans="1:5" x14ac:dyDescent="0.45">
      <c r="A228" t="s">
        <v>315</v>
      </c>
      <c r="B228" t="s">
        <v>89</v>
      </c>
      <c r="C228">
        <v>22</v>
      </c>
      <c r="D228">
        <v>0</v>
      </c>
      <c r="E228">
        <v>25</v>
      </c>
    </row>
    <row r="229" spans="1:5" x14ac:dyDescent="0.45">
      <c r="A229" t="s">
        <v>316</v>
      </c>
      <c r="B229" t="s">
        <v>89</v>
      </c>
      <c r="C229">
        <v>22</v>
      </c>
      <c r="D229">
        <v>0</v>
      </c>
      <c r="E229">
        <v>75</v>
      </c>
    </row>
    <row r="230" spans="1:5" x14ac:dyDescent="0.45">
      <c r="A230" t="s">
        <v>317</v>
      </c>
      <c r="B230" t="s">
        <v>89</v>
      </c>
      <c r="C230">
        <v>22</v>
      </c>
      <c r="D230">
        <v>0</v>
      </c>
      <c r="E230">
        <v>100</v>
      </c>
    </row>
    <row r="231" spans="1:5" x14ac:dyDescent="0.45">
      <c r="A231" t="s">
        <v>318</v>
      </c>
      <c r="B231" t="s">
        <v>89</v>
      </c>
      <c r="C231">
        <v>22</v>
      </c>
      <c r="D231">
        <v>0</v>
      </c>
      <c r="E231">
        <v>150</v>
      </c>
    </row>
    <row r="232" spans="1:5" x14ac:dyDescent="0.45">
      <c r="A232" t="s">
        <v>319</v>
      </c>
      <c r="B232" t="s">
        <v>89</v>
      </c>
      <c r="C232">
        <v>22</v>
      </c>
      <c r="D232">
        <v>0</v>
      </c>
      <c r="E232">
        <v>200</v>
      </c>
    </row>
    <row r="233" spans="1:5" x14ac:dyDescent="0.45">
      <c r="A233" t="s">
        <v>320</v>
      </c>
      <c r="B233" t="s">
        <v>89</v>
      </c>
      <c r="C233">
        <v>22</v>
      </c>
      <c r="D233">
        <v>0</v>
      </c>
      <c r="E233">
        <v>250</v>
      </c>
    </row>
    <row r="234" spans="1:5" x14ac:dyDescent="0.45">
      <c r="A234" t="s">
        <v>321</v>
      </c>
      <c r="B234" t="s">
        <v>89</v>
      </c>
      <c r="C234">
        <v>22</v>
      </c>
      <c r="D234">
        <v>0</v>
      </c>
      <c r="E234">
        <v>300</v>
      </c>
    </row>
    <row r="235" spans="1:5" x14ac:dyDescent="0.45">
      <c r="A235" t="s">
        <v>322</v>
      </c>
      <c r="B235" t="s">
        <v>89</v>
      </c>
      <c r="C235">
        <v>22</v>
      </c>
      <c r="D235">
        <v>0</v>
      </c>
      <c r="E235">
        <v>350</v>
      </c>
    </row>
    <row r="236" spans="1:5" x14ac:dyDescent="0.45">
      <c r="A236" t="s">
        <v>323</v>
      </c>
      <c r="B236" t="s">
        <v>89</v>
      </c>
      <c r="C236">
        <v>22</v>
      </c>
      <c r="D236">
        <v>0</v>
      </c>
      <c r="E236">
        <v>400</v>
      </c>
    </row>
    <row r="237" spans="1:5" x14ac:dyDescent="0.45">
      <c r="A237" t="s">
        <v>324</v>
      </c>
      <c r="B237" t="s">
        <v>89</v>
      </c>
      <c r="C237">
        <v>22</v>
      </c>
      <c r="D237">
        <v>0</v>
      </c>
      <c r="E237">
        <v>450</v>
      </c>
    </row>
    <row r="238" spans="1:5" x14ac:dyDescent="0.45">
      <c r="A238" t="s">
        <v>325</v>
      </c>
      <c r="B238" t="s">
        <v>89</v>
      </c>
      <c r="C238">
        <v>22</v>
      </c>
      <c r="D238">
        <v>0</v>
      </c>
      <c r="E238">
        <v>500</v>
      </c>
    </row>
    <row r="239" spans="1:5" x14ac:dyDescent="0.45">
      <c r="A239" t="s">
        <v>326</v>
      </c>
      <c r="B239" t="s">
        <v>89</v>
      </c>
      <c r="C239">
        <v>22</v>
      </c>
      <c r="D239">
        <v>0</v>
      </c>
      <c r="E239">
        <v>550</v>
      </c>
    </row>
    <row r="240" spans="1:5" x14ac:dyDescent="0.45">
      <c r="A240" t="s">
        <v>327</v>
      </c>
      <c r="B240" t="s">
        <v>89</v>
      </c>
      <c r="C240">
        <v>22</v>
      </c>
      <c r="D240">
        <v>0</v>
      </c>
      <c r="E240">
        <v>599</v>
      </c>
    </row>
    <row r="241" spans="1:5" x14ac:dyDescent="0.45">
      <c r="A241" t="s">
        <v>328</v>
      </c>
      <c r="B241" t="s">
        <v>89</v>
      </c>
      <c r="C241">
        <v>23</v>
      </c>
      <c r="D241">
        <v>0</v>
      </c>
      <c r="E241">
        <v>25</v>
      </c>
    </row>
    <row r="242" spans="1:5" x14ac:dyDescent="0.45">
      <c r="A242" t="s">
        <v>329</v>
      </c>
      <c r="B242" t="s">
        <v>89</v>
      </c>
      <c r="C242">
        <v>23</v>
      </c>
      <c r="D242">
        <v>0</v>
      </c>
      <c r="E242">
        <v>75</v>
      </c>
    </row>
    <row r="243" spans="1:5" x14ac:dyDescent="0.45">
      <c r="A243" t="s">
        <v>330</v>
      </c>
      <c r="B243" t="s">
        <v>89</v>
      </c>
      <c r="C243">
        <v>23</v>
      </c>
      <c r="D243">
        <v>0</v>
      </c>
      <c r="E243">
        <v>100</v>
      </c>
    </row>
    <row r="244" spans="1:5" x14ac:dyDescent="0.45">
      <c r="A244" t="s">
        <v>331</v>
      </c>
      <c r="B244" t="s">
        <v>89</v>
      </c>
      <c r="C244">
        <v>23</v>
      </c>
      <c r="D244">
        <v>0</v>
      </c>
      <c r="E244">
        <v>150</v>
      </c>
    </row>
    <row r="245" spans="1:5" x14ac:dyDescent="0.45">
      <c r="A245" t="s">
        <v>332</v>
      </c>
      <c r="B245" t="s">
        <v>89</v>
      </c>
      <c r="C245">
        <v>23</v>
      </c>
      <c r="D245">
        <v>0</v>
      </c>
      <c r="E245">
        <v>200</v>
      </c>
    </row>
    <row r="246" spans="1:5" x14ac:dyDescent="0.45">
      <c r="A246" t="s">
        <v>333</v>
      </c>
      <c r="B246" t="s">
        <v>89</v>
      </c>
      <c r="C246">
        <v>23</v>
      </c>
      <c r="D246">
        <v>0</v>
      </c>
      <c r="E246">
        <v>250</v>
      </c>
    </row>
    <row r="247" spans="1:5" x14ac:dyDescent="0.45">
      <c r="A247" t="s">
        <v>334</v>
      </c>
      <c r="B247" t="s">
        <v>89</v>
      </c>
      <c r="C247">
        <v>23</v>
      </c>
      <c r="D247">
        <v>0</v>
      </c>
      <c r="E247">
        <v>300</v>
      </c>
    </row>
    <row r="248" spans="1:5" x14ac:dyDescent="0.45">
      <c r="A248" t="s">
        <v>335</v>
      </c>
      <c r="B248" t="s">
        <v>89</v>
      </c>
      <c r="C248">
        <v>23</v>
      </c>
      <c r="D248">
        <v>0</v>
      </c>
      <c r="E248">
        <v>350</v>
      </c>
    </row>
    <row r="249" spans="1:5" x14ac:dyDescent="0.45">
      <c r="A249" t="s">
        <v>336</v>
      </c>
      <c r="B249" t="s">
        <v>89</v>
      </c>
      <c r="C249">
        <v>23</v>
      </c>
      <c r="D249">
        <v>0</v>
      </c>
      <c r="E249">
        <v>400</v>
      </c>
    </row>
    <row r="250" spans="1:5" x14ac:dyDescent="0.45">
      <c r="A250" t="s">
        <v>337</v>
      </c>
      <c r="B250" t="s">
        <v>89</v>
      </c>
      <c r="C250">
        <v>23</v>
      </c>
      <c r="D250">
        <v>0</v>
      </c>
      <c r="E250">
        <v>450</v>
      </c>
    </row>
    <row r="251" spans="1:5" x14ac:dyDescent="0.45">
      <c r="A251" t="s">
        <v>338</v>
      </c>
      <c r="B251" t="s">
        <v>89</v>
      </c>
      <c r="C251">
        <v>23</v>
      </c>
      <c r="D251">
        <v>0</v>
      </c>
      <c r="E251">
        <v>500</v>
      </c>
    </row>
    <row r="252" spans="1:5" x14ac:dyDescent="0.45">
      <c r="A252" t="s">
        <v>339</v>
      </c>
      <c r="B252" t="s">
        <v>89</v>
      </c>
      <c r="C252">
        <v>23</v>
      </c>
      <c r="D252">
        <v>0</v>
      </c>
      <c r="E252">
        <v>550</v>
      </c>
    </row>
    <row r="253" spans="1:5" x14ac:dyDescent="0.45">
      <c r="A253" t="s">
        <v>340</v>
      </c>
      <c r="B253" t="s">
        <v>89</v>
      </c>
      <c r="C253">
        <v>23</v>
      </c>
      <c r="D253">
        <v>0</v>
      </c>
      <c r="E253">
        <v>599</v>
      </c>
    </row>
    <row r="254" spans="1:5" x14ac:dyDescent="0.45">
      <c r="A254" t="s">
        <v>341</v>
      </c>
      <c r="B254" t="s">
        <v>89</v>
      </c>
      <c r="C254">
        <v>24</v>
      </c>
      <c r="D254">
        <v>0</v>
      </c>
      <c r="E254">
        <v>25</v>
      </c>
    </row>
    <row r="255" spans="1:5" x14ac:dyDescent="0.45">
      <c r="A255" t="s">
        <v>342</v>
      </c>
      <c r="B255" t="s">
        <v>89</v>
      </c>
      <c r="C255">
        <v>24</v>
      </c>
      <c r="D255">
        <v>0</v>
      </c>
      <c r="E255">
        <v>75</v>
      </c>
    </row>
    <row r="256" spans="1:5" x14ac:dyDescent="0.45">
      <c r="A256" t="s">
        <v>343</v>
      </c>
      <c r="B256" t="s">
        <v>89</v>
      </c>
      <c r="C256">
        <v>24</v>
      </c>
      <c r="D256">
        <v>0</v>
      </c>
      <c r="E256">
        <v>100</v>
      </c>
    </row>
    <row r="257" spans="1:5" x14ac:dyDescent="0.45">
      <c r="A257" t="s">
        <v>344</v>
      </c>
      <c r="B257" t="s">
        <v>89</v>
      </c>
      <c r="C257">
        <v>24</v>
      </c>
      <c r="D257">
        <v>0</v>
      </c>
      <c r="E257">
        <v>150</v>
      </c>
    </row>
    <row r="258" spans="1:5" x14ac:dyDescent="0.45">
      <c r="A258" t="s">
        <v>345</v>
      </c>
      <c r="B258" t="s">
        <v>89</v>
      </c>
      <c r="C258">
        <v>24</v>
      </c>
      <c r="D258">
        <v>0</v>
      </c>
      <c r="E258">
        <v>200</v>
      </c>
    </row>
    <row r="259" spans="1:5" x14ac:dyDescent="0.45">
      <c r="A259" t="s">
        <v>346</v>
      </c>
      <c r="B259" t="s">
        <v>89</v>
      </c>
      <c r="C259">
        <v>24</v>
      </c>
      <c r="D259">
        <v>0</v>
      </c>
      <c r="E259">
        <v>250</v>
      </c>
    </row>
    <row r="260" spans="1:5" x14ac:dyDescent="0.45">
      <c r="A260" t="s">
        <v>347</v>
      </c>
      <c r="B260" t="s">
        <v>89</v>
      </c>
      <c r="C260">
        <v>24</v>
      </c>
      <c r="D260">
        <v>0</v>
      </c>
      <c r="E260">
        <v>300</v>
      </c>
    </row>
    <row r="261" spans="1:5" x14ac:dyDescent="0.45">
      <c r="A261" t="s">
        <v>348</v>
      </c>
      <c r="B261" t="s">
        <v>89</v>
      </c>
      <c r="C261">
        <v>24</v>
      </c>
      <c r="D261">
        <v>0</v>
      </c>
      <c r="E261">
        <v>350</v>
      </c>
    </row>
    <row r="262" spans="1:5" x14ac:dyDescent="0.45">
      <c r="A262" t="s">
        <v>349</v>
      </c>
      <c r="B262" t="s">
        <v>89</v>
      </c>
      <c r="C262">
        <v>24</v>
      </c>
      <c r="D262">
        <v>0</v>
      </c>
      <c r="E262">
        <v>400</v>
      </c>
    </row>
    <row r="263" spans="1:5" x14ac:dyDescent="0.45">
      <c r="A263" t="s">
        <v>350</v>
      </c>
      <c r="B263" t="s">
        <v>89</v>
      </c>
      <c r="C263">
        <v>24</v>
      </c>
      <c r="D263">
        <v>0</v>
      </c>
      <c r="E263">
        <v>450</v>
      </c>
    </row>
    <row r="264" spans="1:5" x14ac:dyDescent="0.45">
      <c r="A264" t="s">
        <v>351</v>
      </c>
      <c r="B264" t="s">
        <v>89</v>
      </c>
      <c r="C264">
        <v>24</v>
      </c>
      <c r="D264">
        <v>0</v>
      </c>
      <c r="E264">
        <v>500</v>
      </c>
    </row>
    <row r="265" spans="1:5" x14ac:dyDescent="0.45">
      <c r="A265" t="s">
        <v>352</v>
      </c>
      <c r="B265" t="s">
        <v>89</v>
      </c>
      <c r="C265">
        <v>24</v>
      </c>
      <c r="D265">
        <v>0</v>
      </c>
      <c r="E265">
        <v>550</v>
      </c>
    </row>
    <row r="266" spans="1:5" x14ac:dyDescent="0.45">
      <c r="A266" t="s">
        <v>353</v>
      </c>
      <c r="B266" t="s">
        <v>89</v>
      </c>
      <c r="C266">
        <v>24</v>
      </c>
      <c r="D266">
        <v>0</v>
      </c>
      <c r="E26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9" sqref="F9"/>
    </sheetView>
  </sheetViews>
  <sheetFormatPr baseColWidth="10" defaultRowHeight="14.25" x14ac:dyDescent="0.45"/>
  <sheetData>
    <row r="1" spans="1:5" x14ac:dyDescent="0.45">
      <c r="A1" s="14" t="s">
        <v>354</v>
      </c>
      <c r="B1" s="14" t="s">
        <v>85</v>
      </c>
      <c r="C1" s="14" t="s">
        <v>86</v>
      </c>
      <c r="D1" s="14" t="s">
        <v>87</v>
      </c>
      <c r="E1" s="14" t="s">
        <v>355</v>
      </c>
    </row>
    <row r="2" spans="1:5" x14ac:dyDescent="0.45">
      <c r="A2" t="s">
        <v>356</v>
      </c>
      <c r="B2">
        <v>12</v>
      </c>
      <c r="C2">
        <v>0</v>
      </c>
      <c r="D2">
        <v>400</v>
      </c>
      <c r="E2">
        <v>0</v>
      </c>
    </row>
    <row r="3" spans="1:5" x14ac:dyDescent="0.45">
      <c r="A3" t="s">
        <v>357</v>
      </c>
      <c r="B3">
        <v>12</v>
      </c>
      <c r="C3">
        <v>0</v>
      </c>
      <c r="D3">
        <v>399</v>
      </c>
      <c r="E3">
        <v>0</v>
      </c>
    </row>
    <row r="4" spans="1:5" x14ac:dyDescent="0.45">
      <c r="A4" t="s">
        <v>358</v>
      </c>
      <c r="B4">
        <v>12</v>
      </c>
      <c r="C4">
        <v>0</v>
      </c>
      <c r="D4">
        <v>401</v>
      </c>
      <c r="E4">
        <v>0</v>
      </c>
    </row>
    <row r="5" spans="1:5" x14ac:dyDescent="0.45">
      <c r="A5" t="s">
        <v>359</v>
      </c>
      <c r="B5">
        <v>12</v>
      </c>
      <c r="C5">
        <v>0</v>
      </c>
      <c r="D5">
        <v>402</v>
      </c>
      <c r="E5">
        <v>0</v>
      </c>
    </row>
    <row r="6" spans="1:5" x14ac:dyDescent="0.45">
      <c r="A6" t="s">
        <v>360</v>
      </c>
      <c r="B6">
        <v>12</v>
      </c>
      <c r="C6">
        <v>0</v>
      </c>
      <c r="D6">
        <v>398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G17" sqref="G17"/>
    </sheetView>
  </sheetViews>
  <sheetFormatPr baseColWidth="10" defaultColWidth="9.06640625" defaultRowHeight="14.25" x14ac:dyDescent="0.45"/>
  <sheetData>
    <row r="1" spans="1:6" x14ac:dyDescent="0.45">
      <c r="A1" s="7" t="s">
        <v>354</v>
      </c>
      <c r="B1" s="7" t="s">
        <v>82</v>
      </c>
      <c r="C1" s="7" t="s">
        <v>85</v>
      </c>
      <c r="D1" s="7" t="s">
        <v>86</v>
      </c>
      <c r="E1" s="7" t="s">
        <v>87</v>
      </c>
      <c r="F1" s="7" t="s">
        <v>355</v>
      </c>
    </row>
    <row r="2" spans="1:6" x14ac:dyDescent="0.45">
      <c r="A2" t="s">
        <v>356</v>
      </c>
      <c r="B2">
        <v>0</v>
      </c>
      <c r="C2">
        <v>12</v>
      </c>
      <c r="D2">
        <v>0</v>
      </c>
      <c r="E2">
        <v>400</v>
      </c>
      <c r="F2">
        <v>0</v>
      </c>
    </row>
    <row r="3" spans="1:6" x14ac:dyDescent="0.45">
      <c r="A3" t="s">
        <v>356</v>
      </c>
      <c r="B3">
        <v>3600000</v>
      </c>
      <c r="C3">
        <v>12</v>
      </c>
      <c r="D3">
        <v>0</v>
      </c>
      <c r="E3">
        <v>400</v>
      </c>
      <c r="F3">
        <v>0</v>
      </c>
    </row>
    <row r="4" spans="1:6" x14ac:dyDescent="0.45">
      <c r="A4" t="s">
        <v>356</v>
      </c>
      <c r="B4" s="1">
        <v>40000000000</v>
      </c>
      <c r="C4">
        <v>12</v>
      </c>
      <c r="D4">
        <v>0</v>
      </c>
      <c r="E4">
        <v>400</v>
      </c>
      <c r="F4">
        <v>0</v>
      </c>
    </row>
    <row r="5" spans="1:6" x14ac:dyDescent="0.45">
      <c r="A5" t="s">
        <v>357</v>
      </c>
      <c r="B5">
        <v>0</v>
      </c>
      <c r="C5">
        <v>12</v>
      </c>
      <c r="D5">
        <v>0</v>
      </c>
      <c r="E5">
        <v>399</v>
      </c>
      <c r="F5">
        <v>0</v>
      </c>
    </row>
    <row r="6" spans="1:6" x14ac:dyDescent="0.45">
      <c r="A6" t="s">
        <v>357</v>
      </c>
      <c r="B6">
        <v>3600000</v>
      </c>
      <c r="C6">
        <v>12</v>
      </c>
      <c r="D6">
        <v>0</v>
      </c>
      <c r="E6">
        <v>399</v>
      </c>
      <c r="F6">
        <v>0</v>
      </c>
    </row>
    <row r="7" spans="1:6" x14ac:dyDescent="0.45">
      <c r="A7" t="s">
        <v>357</v>
      </c>
      <c r="B7" s="1">
        <v>40000000000</v>
      </c>
      <c r="C7">
        <v>12</v>
      </c>
      <c r="D7">
        <v>0</v>
      </c>
      <c r="E7">
        <v>399</v>
      </c>
      <c r="F7">
        <v>0</v>
      </c>
    </row>
    <row r="8" spans="1:6" x14ac:dyDescent="0.45">
      <c r="A8" t="s">
        <v>358</v>
      </c>
      <c r="B8">
        <v>0</v>
      </c>
      <c r="C8">
        <v>12</v>
      </c>
      <c r="D8">
        <v>0</v>
      </c>
      <c r="E8">
        <v>401</v>
      </c>
      <c r="F8">
        <v>0</v>
      </c>
    </row>
    <row r="9" spans="1:6" x14ac:dyDescent="0.45">
      <c r="A9" t="s">
        <v>358</v>
      </c>
      <c r="B9">
        <v>3600000</v>
      </c>
      <c r="C9">
        <v>12</v>
      </c>
      <c r="D9">
        <v>0</v>
      </c>
      <c r="E9">
        <v>401</v>
      </c>
      <c r="F9">
        <v>0</v>
      </c>
    </row>
    <row r="10" spans="1:6" x14ac:dyDescent="0.45">
      <c r="A10" t="s">
        <v>358</v>
      </c>
      <c r="B10" s="1">
        <v>40000000000</v>
      </c>
      <c r="C10">
        <v>12</v>
      </c>
      <c r="D10">
        <v>0</v>
      </c>
      <c r="E10">
        <v>401</v>
      </c>
      <c r="F10">
        <v>0</v>
      </c>
    </row>
    <row r="11" spans="1:6" x14ac:dyDescent="0.45">
      <c r="A11" t="s">
        <v>359</v>
      </c>
      <c r="B11">
        <v>0</v>
      </c>
      <c r="C11">
        <v>12</v>
      </c>
      <c r="D11">
        <v>0</v>
      </c>
      <c r="E11">
        <v>402</v>
      </c>
      <c r="F11">
        <v>0</v>
      </c>
    </row>
    <row r="12" spans="1:6" x14ac:dyDescent="0.45">
      <c r="A12" t="s">
        <v>359</v>
      </c>
      <c r="B12">
        <v>3600000</v>
      </c>
      <c r="C12">
        <v>12</v>
      </c>
      <c r="D12">
        <v>0</v>
      </c>
      <c r="E12">
        <v>402</v>
      </c>
      <c r="F12">
        <v>0</v>
      </c>
    </row>
    <row r="13" spans="1:6" x14ac:dyDescent="0.45">
      <c r="A13" t="s">
        <v>359</v>
      </c>
      <c r="B13" s="1">
        <v>40000000000</v>
      </c>
      <c r="C13">
        <v>12</v>
      </c>
      <c r="D13">
        <v>0</v>
      </c>
      <c r="E13">
        <v>402</v>
      </c>
      <c r="F13">
        <v>0</v>
      </c>
    </row>
    <row r="14" spans="1:6" x14ac:dyDescent="0.45">
      <c r="A14" t="s">
        <v>360</v>
      </c>
      <c r="B14">
        <v>0</v>
      </c>
      <c r="C14">
        <v>12</v>
      </c>
      <c r="D14">
        <v>0</v>
      </c>
      <c r="E14">
        <v>398</v>
      </c>
      <c r="F14">
        <v>0</v>
      </c>
    </row>
    <row r="15" spans="1:6" x14ac:dyDescent="0.45">
      <c r="A15" t="s">
        <v>360</v>
      </c>
      <c r="B15">
        <v>3600000</v>
      </c>
      <c r="C15">
        <v>12</v>
      </c>
      <c r="D15">
        <v>0</v>
      </c>
      <c r="E15">
        <v>398</v>
      </c>
      <c r="F15">
        <v>0</v>
      </c>
    </row>
    <row r="16" spans="1:6" x14ac:dyDescent="0.45">
      <c r="A16" t="s">
        <v>360</v>
      </c>
      <c r="B16" s="1">
        <v>40000000000</v>
      </c>
      <c r="C16">
        <v>12</v>
      </c>
      <c r="D16">
        <v>0</v>
      </c>
      <c r="E16">
        <v>398</v>
      </c>
      <c r="F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C9" sqref="C9"/>
    </sheetView>
  </sheetViews>
  <sheetFormatPr baseColWidth="10" defaultRowHeight="14.25" x14ac:dyDescent="0.45"/>
  <cols>
    <col min="1" max="1" width="16.33203125" style="4" bestFit="1" customWidth="1"/>
    <col min="5" max="5" width="11.73046875" style="4" bestFit="1" customWidth="1"/>
  </cols>
  <sheetData>
    <row r="1" spans="1:3" x14ac:dyDescent="0.45">
      <c r="A1" t="s">
        <v>361</v>
      </c>
      <c r="B1" t="s">
        <v>36</v>
      </c>
      <c r="C1" t="s">
        <v>32</v>
      </c>
    </row>
    <row r="2" spans="1:3" x14ac:dyDescent="0.45">
      <c r="A2" t="s">
        <v>362</v>
      </c>
      <c r="B2">
        <v>0.01</v>
      </c>
      <c r="C2" t="s">
        <v>363</v>
      </c>
    </row>
    <row r="3" spans="1:3" x14ac:dyDescent="0.45">
      <c r="A3" t="s">
        <v>364</v>
      </c>
      <c r="B3">
        <v>3600000</v>
      </c>
      <c r="C3" t="s">
        <v>365</v>
      </c>
    </row>
    <row r="4" spans="1:3" x14ac:dyDescent="0.45">
      <c r="A4" t="s">
        <v>366</v>
      </c>
      <c r="B4">
        <v>1</v>
      </c>
      <c r="C4" t="s">
        <v>367</v>
      </c>
    </row>
    <row r="5" spans="1:3" x14ac:dyDescent="0.45">
      <c r="A5" t="s">
        <v>368</v>
      </c>
      <c r="B5">
        <v>0.01</v>
      </c>
      <c r="C5" t="s">
        <v>369</v>
      </c>
    </row>
    <row r="6" spans="1:3" x14ac:dyDescent="0.45">
      <c r="A6" t="s">
        <v>370</v>
      </c>
      <c r="B6">
        <v>5</v>
      </c>
      <c r="C6" t="s">
        <v>371</v>
      </c>
    </row>
    <row r="7" spans="1:3" x14ac:dyDescent="0.45">
      <c r="A7" t="s">
        <v>372</v>
      </c>
      <c r="C7" t="s">
        <v>373</v>
      </c>
    </row>
    <row r="8" spans="1:3" x14ac:dyDescent="0.45">
      <c r="A8" t="s">
        <v>374</v>
      </c>
      <c r="B8">
        <v>70000</v>
      </c>
      <c r="C8" t="s">
        <v>375</v>
      </c>
    </row>
    <row r="9" spans="1:3" x14ac:dyDescent="0.45">
      <c r="A9" t="s">
        <v>376</v>
      </c>
      <c r="B9">
        <v>500</v>
      </c>
      <c r="C9" t="s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F26" sqref="F26"/>
    </sheetView>
  </sheetViews>
  <sheetFormatPr baseColWidth="10" defaultRowHeight="14.25" x14ac:dyDescent="0.45"/>
  <sheetData>
    <row r="1" spans="1:7" x14ac:dyDescent="0.45">
      <c r="A1" t="s">
        <v>354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45">
      <c r="A2" t="s">
        <v>356</v>
      </c>
      <c r="B2">
        <v>0</v>
      </c>
      <c r="C2">
        <v>-0.02</v>
      </c>
      <c r="D2">
        <v>-0.2</v>
      </c>
      <c r="E2">
        <v>-1</v>
      </c>
      <c r="F2">
        <v>-2</v>
      </c>
      <c r="G2">
        <v>-3</v>
      </c>
    </row>
    <row r="3" spans="1:7" x14ac:dyDescent="0.45">
      <c r="A3" t="s">
        <v>357</v>
      </c>
      <c r="B3">
        <v>0</v>
      </c>
      <c r="C3">
        <v>-0.02</v>
      </c>
      <c r="D3">
        <v>-0.2</v>
      </c>
      <c r="E3">
        <v>-1</v>
      </c>
      <c r="F3">
        <v>-2</v>
      </c>
      <c r="G3">
        <v>-3</v>
      </c>
    </row>
    <row r="4" spans="1:7" x14ac:dyDescent="0.45">
      <c r="A4" t="s">
        <v>358</v>
      </c>
      <c r="B4">
        <v>0</v>
      </c>
      <c r="C4">
        <v>-0.02</v>
      </c>
      <c r="D4">
        <v>-0.2</v>
      </c>
      <c r="E4">
        <v>-1</v>
      </c>
      <c r="F4">
        <v>-2</v>
      </c>
      <c r="G4">
        <v>-3</v>
      </c>
    </row>
    <row r="5" spans="1:7" x14ac:dyDescent="0.45">
      <c r="A5" t="s">
        <v>359</v>
      </c>
      <c r="B5">
        <v>0</v>
      </c>
      <c r="C5">
        <v>-0.02</v>
      </c>
      <c r="D5">
        <v>-0.2</v>
      </c>
      <c r="E5">
        <v>-1</v>
      </c>
      <c r="F5">
        <v>-2</v>
      </c>
      <c r="G5">
        <v>-3</v>
      </c>
    </row>
    <row r="6" spans="1:7" x14ac:dyDescent="0.45">
      <c r="A6" t="s">
        <v>360</v>
      </c>
      <c r="B6">
        <v>0</v>
      </c>
      <c r="C6">
        <v>-0.02</v>
      </c>
      <c r="D6">
        <v>-0.2</v>
      </c>
      <c r="E6">
        <v>-1</v>
      </c>
      <c r="F6">
        <v>-2</v>
      </c>
      <c r="G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selection activeCell="E17" sqref="E17"/>
    </sheetView>
  </sheetViews>
  <sheetFormatPr baseColWidth="10" defaultRowHeight="14.25" x14ac:dyDescent="0.45"/>
  <cols>
    <col min="3" max="3" width="10.9296875" style="4" customWidth="1"/>
    <col min="8" max="8" width="10.9296875" style="4" customWidth="1"/>
  </cols>
  <sheetData>
    <row r="1" spans="1:3" x14ac:dyDescent="0.45">
      <c r="A1" t="s">
        <v>354</v>
      </c>
      <c r="B1" t="s">
        <v>82</v>
      </c>
      <c r="C1" t="s">
        <v>384</v>
      </c>
    </row>
    <row r="2" spans="1:3" x14ac:dyDescent="0.45">
      <c r="A2" t="s">
        <v>356</v>
      </c>
      <c r="B2">
        <v>0</v>
      </c>
      <c r="C2">
        <v>0</v>
      </c>
    </row>
    <row r="3" spans="1:3" x14ac:dyDescent="0.45">
      <c r="A3" t="s">
        <v>356</v>
      </c>
      <c r="B3">
        <v>3600000</v>
      </c>
      <c r="C3">
        <v>0</v>
      </c>
    </row>
    <row r="4" spans="1:3" x14ac:dyDescent="0.45">
      <c r="A4" t="s">
        <v>356</v>
      </c>
      <c r="B4" s="1">
        <v>40000000000</v>
      </c>
      <c r="C4">
        <v>0</v>
      </c>
    </row>
    <row r="5" spans="1:3" x14ac:dyDescent="0.45">
      <c r="A5" t="s">
        <v>357</v>
      </c>
      <c r="B5">
        <v>0</v>
      </c>
      <c r="C5">
        <v>0</v>
      </c>
    </row>
    <row r="6" spans="1:3" x14ac:dyDescent="0.45">
      <c r="A6" t="s">
        <v>357</v>
      </c>
      <c r="B6">
        <v>3600000</v>
      </c>
      <c r="C6">
        <v>0</v>
      </c>
    </row>
    <row r="7" spans="1:3" x14ac:dyDescent="0.45">
      <c r="A7" t="s">
        <v>357</v>
      </c>
      <c r="B7" s="1">
        <v>40000000000</v>
      </c>
      <c r="C7">
        <v>0</v>
      </c>
    </row>
    <row r="8" spans="1:3" x14ac:dyDescent="0.45">
      <c r="A8" t="s">
        <v>358</v>
      </c>
      <c r="B8">
        <v>0</v>
      </c>
      <c r="C8">
        <v>0</v>
      </c>
    </row>
    <row r="9" spans="1:3" x14ac:dyDescent="0.45">
      <c r="A9" t="s">
        <v>358</v>
      </c>
      <c r="B9">
        <v>3600000</v>
      </c>
      <c r="C9">
        <v>0</v>
      </c>
    </row>
    <row r="10" spans="1:3" x14ac:dyDescent="0.45">
      <c r="A10" t="s">
        <v>358</v>
      </c>
      <c r="B10" s="1">
        <v>40000000000</v>
      </c>
      <c r="C10">
        <v>0</v>
      </c>
    </row>
    <row r="11" spans="1:3" x14ac:dyDescent="0.45">
      <c r="A11" t="s">
        <v>359</v>
      </c>
      <c r="B11">
        <v>0</v>
      </c>
      <c r="C11">
        <v>0</v>
      </c>
    </row>
    <row r="12" spans="1:3" x14ac:dyDescent="0.45">
      <c r="A12" t="s">
        <v>359</v>
      </c>
      <c r="B12">
        <v>3600000</v>
      </c>
      <c r="C12">
        <v>0</v>
      </c>
    </row>
    <row r="13" spans="1:3" x14ac:dyDescent="0.45">
      <c r="A13" t="s">
        <v>359</v>
      </c>
      <c r="B13" s="1">
        <v>40000000000</v>
      </c>
      <c r="C13">
        <v>0</v>
      </c>
    </row>
    <row r="14" spans="1:3" x14ac:dyDescent="0.45">
      <c r="A14" t="s">
        <v>360</v>
      </c>
      <c r="B14">
        <v>0</v>
      </c>
      <c r="C14">
        <v>0</v>
      </c>
    </row>
    <row r="15" spans="1:3" x14ac:dyDescent="0.45">
      <c r="A15" t="s">
        <v>360</v>
      </c>
      <c r="B15">
        <v>3600000</v>
      </c>
      <c r="C15">
        <v>0</v>
      </c>
    </row>
    <row r="16" spans="1:3" x14ac:dyDescent="0.45">
      <c r="A16" t="s">
        <v>360</v>
      </c>
      <c r="B16" s="1">
        <v>40000000000</v>
      </c>
      <c r="C16">
        <v>0</v>
      </c>
    </row>
    <row r="18" spans="2:16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1" spans="2:16" x14ac:dyDescent="0.45">
      <c r="B21" s="3"/>
      <c r="C21" s="3"/>
    </row>
    <row r="24" spans="2:16" x14ac:dyDescent="0.45">
      <c r="B24" s="3"/>
      <c r="C24" s="3"/>
    </row>
    <row r="27" spans="2:16" x14ac:dyDescent="0.45">
      <c r="B27" s="3"/>
      <c r="C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27"/>
  <sheetViews>
    <sheetView tabSelected="1" zoomScale="70" zoomScaleNormal="70" workbookViewId="0"/>
  </sheetViews>
  <sheetFormatPr baseColWidth="10" defaultRowHeight="14.25" x14ac:dyDescent="0.45"/>
  <cols>
    <col min="2" max="2" width="12.265625" style="4" customWidth="1"/>
    <col min="5" max="5" width="10.9296875" style="4" customWidth="1"/>
    <col min="7" max="7" width="10.9296875" style="4" customWidth="1"/>
    <col min="9" max="10" width="17" style="4" bestFit="1" customWidth="1"/>
  </cols>
  <sheetData>
    <row r="1" spans="1:151" x14ac:dyDescent="0.45">
      <c r="A1" t="s">
        <v>35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  <c r="BH1" t="s">
        <v>443</v>
      </c>
      <c r="BI1" t="s">
        <v>444</v>
      </c>
      <c r="BJ1" t="s">
        <v>445</v>
      </c>
      <c r="BK1" t="s">
        <v>446</v>
      </c>
      <c r="BL1" t="s">
        <v>447</v>
      </c>
      <c r="BM1" t="s">
        <v>448</v>
      </c>
      <c r="BN1" t="s">
        <v>449</v>
      </c>
      <c r="BO1" t="s">
        <v>450</v>
      </c>
      <c r="BP1" t="s">
        <v>451</v>
      </c>
      <c r="BQ1" t="s">
        <v>452</v>
      </c>
      <c r="BR1" t="s">
        <v>453</v>
      </c>
      <c r="BS1" t="s">
        <v>454</v>
      </c>
      <c r="BT1" t="s">
        <v>455</v>
      </c>
      <c r="BU1" t="s">
        <v>456</v>
      </c>
      <c r="BV1" t="s">
        <v>457</v>
      </c>
      <c r="BW1" t="s">
        <v>458</v>
      </c>
      <c r="BX1" t="s">
        <v>459</v>
      </c>
      <c r="BY1" t="s">
        <v>460</v>
      </c>
      <c r="BZ1" t="s">
        <v>461</v>
      </c>
      <c r="CA1" t="s">
        <v>462</v>
      </c>
      <c r="CB1" t="s">
        <v>463</v>
      </c>
      <c r="CC1" t="s">
        <v>464</v>
      </c>
      <c r="CD1" t="s">
        <v>465</v>
      </c>
      <c r="CE1" t="s">
        <v>466</v>
      </c>
      <c r="CF1" t="s">
        <v>467</v>
      </c>
      <c r="CG1" t="s">
        <v>468</v>
      </c>
      <c r="CH1" t="s">
        <v>469</v>
      </c>
      <c r="CI1" t="s">
        <v>470</v>
      </c>
      <c r="CJ1" t="s">
        <v>471</v>
      </c>
      <c r="CK1" t="s">
        <v>472</v>
      </c>
      <c r="CL1" t="s">
        <v>473</v>
      </c>
      <c r="CM1" t="s">
        <v>474</v>
      </c>
      <c r="CN1" t="s">
        <v>475</v>
      </c>
      <c r="CO1" t="s">
        <v>476</v>
      </c>
      <c r="CP1" t="s">
        <v>477</v>
      </c>
      <c r="CQ1" t="s">
        <v>478</v>
      </c>
      <c r="CR1" t="s">
        <v>479</v>
      </c>
      <c r="CS1" t="s">
        <v>480</v>
      </c>
      <c r="CT1" t="s">
        <v>481</v>
      </c>
      <c r="CU1" t="s">
        <v>482</v>
      </c>
      <c r="CV1" t="s">
        <v>483</v>
      </c>
      <c r="CW1" t="s">
        <v>484</v>
      </c>
      <c r="CX1" t="s">
        <v>485</v>
      </c>
      <c r="CY1" t="s">
        <v>486</v>
      </c>
      <c r="CZ1" t="s">
        <v>487</v>
      </c>
      <c r="DA1" t="s">
        <v>488</v>
      </c>
      <c r="DB1" t="s">
        <v>489</v>
      </c>
      <c r="DC1" t="s">
        <v>490</v>
      </c>
      <c r="DD1" t="s">
        <v>491</v>
      </c>
      <c r="DE1" t="s">
        <v>492</v>
      </c>
      <c r="DF1" t="s">
        <v>493</v>
      </c>
      <c r="DG1" t="s">
        <v>494</v>
      </c>
      <c r="DH1" t="s">
        <v>495</v>
      </c>
      <c r="DI1" t="s">
        <v>496</v>
      </c>
      <c r="DJ1" t="s">
        <v>497</v>
      </c>
      <c r="DK1" t="s">
        <v>498</v>
      </c>
      <c r="DL1" t="s">
        <v>499</v>
      </c>
      <c r="DM1" t="s">
        <v>500</v>
      </c>
      <c r="DN1" t="s">
        <v>501</v>
      </c>
    </row>
    <row r="2" spans="1:151" x14ac:dyDescent="0.45">
      <c r="A2" s="8" t="s">
        <v>42</v>
      </c>
      <c r="B2" s="1">
        <v>8.6400000000000001E-3</v>
      </c>
      <c r="C2" s="1">
        <v>2.5919999999999999E-2</v>
      </c>
      <c r="D2" s="1">
        <v>8.6400000000000005E-2</v>
      </c>
      <c r="E2" s="1">
        <v>0.25919999999999999</v>
      </c>
      <c r="F2" s="1">
        <v>0.86399999999999999</v>
      </c>
      <c r="G2" s="1">
        <v>2.5920000000000001</v>
      </c>
      <c r="H2" s="1">
        <v>8.64</v>
      </c>
      <c r="I2" s="1">
        <v>25.92</v>
      </c>
      <c r="J2" s="1">
        <v>86.4</v>
      </c>
      <c r="K2" s="1">
        <v>8.6400000000000001E-3</v>
      </c>
      <c r="L2" s="1">
        <v>2.5919999999999999E-2</v>
      </c>
      <c r="M2" s="1">
        <v>8.6400000000000005E-2</v>
      </c>
      <c r="N2" s="1">
        <v>0.25919999999999999</v>
      </c>
      <c r="O2" s="1">
        <v>0.86399999999999999</v>
      </c>
      <c r="P2" s="1">
        <v>2.5920000000000001</v>
      </c>
      <c r="Q2" s="1">
        <v>8.64</v>
      </c>
      <c r="R2" s="1">
        <v>25.92</v>
      </c>
      <c r="S2" s="1">
        <v>86.4</v>
      </c>
      <c r="T2" s="1">
        <v>8.6400000000000001E-3</v>
      </c>
      <c r="U2" s="1">
        <v>2.5919999999999999E-2</v>
      </c>
      <c r="V2" s="1">
        <v>8.6400000000000005E-2</v>
      </c>
      <c r="W2" s="1">
        <v>0.25919999999999999</v>
      </c>
      <c r="X2" s="1">
        <v>0.86399999999999999</v>
      </c>
      <c r="Y2" s="1">
        <v>2.5920000000000001</v>
      </c>
      <c r="Z2" s="1">
        <v>8.64</v>
      </c>
      <c r="AA2" s="1">
        <v>25.92</v>
      </c>
      <c r="AB2" s="1">
        <v>86.4</v>
      </c>
      <c r="AC2" s="1">
        <v>8.6400000000000001E-3</v>
      </c>
      <c r="AD2" s="1">
        <v>2.5919999999999999E-2</v>
      </c>
      <c r="AE2" s="1">
        <v>8.6400000000000005E-2</v>
      </c>
      <c r="AF2" s="1">
        <v>0.25919999999999999</v>
      </c>
      <c r="AG2" s="1">
        <v>0.86399999999999999</v>
      </c>
      <c r="AH2" s="1">
        <v>2.5920000000000001</v>
      </c>
      <c r="AI2" s="1">
        <v>8.64</v>
      </c>
      <c r="AJ2" s="1">
        <v>25.92</v>
      </c>
      <c r="AK2" s="1">
        <v>86.4</v>
      </c>
      <c r="AL2" s="1">
        <v>8.6400000000000001E-3</v>
      </c>
      <c r="AM2" s="1">
        <v>2.5919999999999999E-2</v>
      </c>
      <c r="AN2" s="1">
        <v>8.6400000000000005E-2</v>
      </c>
      <c r="AO2" s="1">
        <v>0.25919999999999999</v>
      </c>
      <c r="AP2" s="1">
        <v>0.86399999999999999</v>
      </c>
      <c r="AQ2" s="1">
        <v>2.5920000000000001</v>
      </c>
      <c r="AR2" s="1">
        <v>8.64</v>
      </c>
      <c r="AS2" s="1">
        <v>25.92</v>
      </c>
      <c r="AT2" s="1">
        <v>86.4</v>
      </c>
      <c r="AU2" s="1">
        <v>8.6400000000000001E-3</v>
      </c>
      <c r="AV2" s="1">
        <v>2.5919999999999999E-2</v>
      </c>
      <c r="AW2" s="1">
        <v>8.6400000000000005E-2</v>
      </c>
      <c r="AX2" s="1">
        <v>0.25919999999999999</v>
      </c>
      <c r="AY2" s="1">
        <v>0.86399999999999999</v>
      </c>
      <c r="AZ2" s="1">
        <v>2.5920000000000001</v>
      </c>
      <c r="BA2" s="1">
        <v>8.64</v>
      </c>
      <c r="BB2" s="1">
        <v>25.92</v>
      </c>
      <c r="BC2" s="1">
        <v>86.4</v>
      </c>
      <c r="BD2" s="1">
        <v>8.6400000000000001E-3</v>
      </c>
      <c r="BE2" s="1">
        <v>2.5919999999999999E-2</v>
      </c>
      <c r="BF2" s="1">
        <v>8.6400000000000005E-2</v>
      </c>
      <c r="BG2" s="1">
        <v>0.25919999999999999</v>
      </c>
      <c r="BH2" s="1">
        <v>0.86399999999999999</v>
      </c>
      <c r="BI2" s="1">
        <v>2.5920000000000001</v>
      </c>
      <c r="BJ2" s="1">
        <v>8.64</v>
      </c>
      <c r="BK2" s="1">
        <v>25.92</v>
      </c>
      <c r="BL2" s="1">
        <v>86.4</v>
      </c>
      <c r="BM2" s="1">
        <v>8.6400000000000001E-3</v>
      </c>
      <c r="BN2" s="1">
        <v>2.5919999999999999E-2</v>
      </c>
      <c r="BO2" s="1">
        <v>8.6400000000000005E-2</v>
      </c>
      <c r="BP2" s="1">
        <v>0.25919999999999999</v>
      </c>
      <c r="BQ2" s="1">
        <v>0.86399999999999999</v>
      </c>
      <c r="BR2" s="1">
        <v>2.5920000000000001</v>
      </c>
      <c r="BS2" s="1">
        <v>8.64</v>
      </c>
      <c r="BT2" s="1">
        <v>25.92</v>
      </c>
      <c r="BU2" s="1">
        <v>86.4</v>
      </c>
      <c r="BV2" s="1">
        <v>8.6400000000000001E-3</v>
      </c>
      <c r="BW2" s="1">
        <v>2.5919999999999999E-2</v>
      </c>
      <c r="BX2" s="1">
        <v>8.6400000000000005E-2</v>
      </c>
      <c r="BY2" s="1">
        <v>0.25919999999999999</v>
      </c>
      <c r="BZ2" s="1">
        <v>0.86399999999999999</v>
      </c>
      <c r="CA2" s="1">
        <v>2.5920000000000001</v>
      </c>
      <c r="CB2" s="1">
        <v>8.64</v>
      </c>
      <c r="CC2" s="1">
        <v>25.92</v>
      </c>
      <c r="CD2" s="1">
        <v>86.4</v>
      </c>
      <c r="CE2" s="1">
        <v>8.6400000000000001E-3</v>
      </c>
      <c r="CF2" s="1">
        <v>2.5919999999999999E-2</v>
      </c>
      <c r="CG2" s="1">
        <v>8.6400000000000005E-2</v>
      </c>
      <c r="CH2" s="1">
        <v>0.25919999999999999</v>
      </c>
      <c r="CI2" s="1">
        <v>0.86399999999999999</v>
      </c>
      <c r="CJ2" s="1">
        <v>2.5920000000000001</v>
      </c>
      <c r="CK2" s="1">
        <v>8.64</v>
      </c>
      <c r="CL2" s="1">
        <v>25.92</v>
      </c>
      <c r="CM2" s="1">
        <v>86.4</v>
      </c>
      <c r="CN2" s="1">
        <v>8.6400000000000001E-3</v>
      </c>
      <c r="CO2" s="1">
        <v>2.5919999999999999E-2</v>
      </c>
      <c r="CP2" s="1">
        <v>8.6400000000000005E-2</v>
      </c>
      <c r="CQ2" s="1">
        <v>0.25919999999999999</v>
      </c>
      <c r="CR2" s="1">
        <v>0.86399999999999999</v>
      </c>
      <c r="CS2" s="1">
        <v>2.5920000000000001</v>
      </c>
      <c r="CT2" s="1">
        <v>8.64</v>
      </c>
      <c r="CU2" s="1">
        <v>25.92</v>
      </c>
      <c r="CV2" s="1">
        <v>86.4</v>
      </c>
      <c r="CW2" s="1">
        <v>8.6400000000000001E-3</v>
      </c>
      <c r="CX2" s="1">
        <v>2.5919999999999999E-2</v>
      </c>
      <c r="CY2" s="1">
        <v>8.6400000000000005E-2</v>
      </c>
      <c r="CZ2" s="1">
        <v>0.25919999999999999</v>
      </c>
      <c r="DA2" s="1">
        <v>0.86399999999999999</v>
      </c>
      <c r="DB2" s="1">
        <v>2.5920000000000001</v>
      </c>
      <c r="DC2" s="1">
        <v>8.64</v>
      </c>
      <c r="DD2" s="1">
        <v>25.92</v>
      </c>
      <c r="DE2" s="1">
        <v>86.4</v>
      </c>
      <c r="DF2" s="1">
        <v>8.6400000000000001E-3</v>
      </c>
      <c r="DG2" s="1">
        <v>2.5919999999999999E-2</v>
      </c>
      <c r="DH2" s="1">
        <v>8.6400000000000005E-2</v>
      </c>
      <c r="DI2" s="1">
        <v>0.25919999999999999</v>
      </c>
      <c r="DJ2" s="1">
        <v>0.86399999999999999</v>
      </c>
      <c r="DK2" s="1">
        <v>2.5920000000000001</v>
      </c>
      <c r="DL2" s="1">
        <v>8.64</v>
      </c>
      <c r="DM2" s="1">
        <v>25.92</v>
      </c>
      <c r="DN2" s="1">
        <v>86.4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45">
      <c r="A3" s="9" t="s">
        <v>46</v>
      </c>
      <c r="B3" s="10">
        <v>8.6399999999999999E-9</v>
      </c>
      <c r="C3" s="10">
        <v>8.6399999999999999E-9</v>
      </c>
      <c r="D3" s="10">
        <v>8.6399999999999999E-9</v>
      </c>
      <c r="E3" s="10">
        <v>8.6399999999999999E-9</v>
      </c>
      <c r="F3" s="10">
        <v>8.6399999999999999E-9</v>
      </c>
      <c r="G3" s="10">
        <v>8.6399999999999999E-9</v>
      </c>
      <c r="H3" s="10">
        <v>8.6399999999999999E-9</v>
      </c>
      <c r="I3" s="10">
        <v>8.6399999999999999E-9</v>
      </c>
      <c r="J3" s="10">
        <v>8.6399999999999999E-9</v>
      </c>
      <c r="K3" s="10">
        <v>2.592E-8</v>
      </c>
      <c r="L3" s="10">
        <v>2.592E-8</v>
      </c>
      <c r="M3" s="10">
        <v>2.592E-8</v>
      </c>
      <c r="N3" s="10">
        <v>2.592E-8</v>
      </c>
      <c r="O3" s="10">
        <v>2.592E-8</v>
      </c>
      <c r="P3" s="10">
        <v>2.592E-8</v>
      </c>
      <c r="Q3" s="10">
        <v>2.592E-8</v>
      </c>
      <c r="R3" s="10">
        <v>2.592E-8</v>
      </c>
      <c r="S3" s="10">
        <v>2.592E-8</v>
      </c>
      <c r="T3" s="10">
        <v>8.6400000000000006E-8</v>
      </c>
      <c r="U3" s="10">
        <v>8.6400000000000006E-8</v>
      </c>
      <c r="V3" s="10">
        <v>8.6400000000000006E-8</v>
      </c>
      <c r="W3" s="10">
        <v>8.6400000000000006E-8</v>
      </c>
      <c r="X3" s="10">
        <v>8.6400000000000006E-8</v>
      </c>
      <c r="Y3" s="10">
        <v>8.6400000000000006E-8</v>
      </c>
      <c r="Z3" s="10">
        <v>8.6400000000000006E-8</v>
      </c>
      <c r="AA3" s="10">
        <v>8.6400000000000006E-8</v>
      </c>
      <c r="AB3" s="10">
        <v>8.6400000000000006E-8</v>
      </c>
      <c r="AC3" s="10">
        <v>2.5919999999999999E-7</v>
      </c>
      <c r="AD3" s="10">
        <v>2.5919999999999999E-7</v>
      </c>
      <c r="AE3" s="10">
        <v>2.5919999999999999E-7</v>
      </c>
      <c r="AF3" s="10">
        <v>2.5919999999999999E-7</v>
      </c>
      <c r="AG3" s="10">
        <v>2.5919999999999999E-7</v>
      </c>
      <c r="AH3" s="10">
        <v>2.5919999999999999E-7</v>
      </c>
      <c r="AI3" s="10">
        <v>2.5919999999999999E-7</v>
      </c>
      <c r="AJ3" s="10">
        <v>2.5919999999999999E-7</v>
      </c>
      <c r="AK3" s="10">
        <v>2.5919999999999999E-7</v>
      </c>
      <c r="AL3" s="10">
        <v>8.6400000000000001E-7</v>
      </c>
      <c r="AM3" s="10">
        <v>8.6400000000000001E-7</v>
      </c>
      <c r="AN3" s="10">
        <v>8.6400000000000001E-7</v>
      </c>
      <c r="AO3" s="10">
        <v>8.6400000000000001E-7</v>
      </c>
      <c r="AP3" s="10">
        <v>8.6400000000000001E-7</v>
      </c>
      <c r="AQ3" s="10">
        <v>8.6400000000000001E-7</v>
      </c>
      <c r="AR3" s="10">
        <v>8.6400000000000001E-7</v>
      </c>
      <c r="AS3" s="10">
        <v>8.6400000000000001E-7</v>
      </c>
      <c r="AT3" s="10">
        <v>8.6400000000000001E-7</v>
      </c>
      <c r="AU3" s="10">
        <v>2.5919999999999999E-6</v>
      </c>
      <c r="AV3" s="10">
        <v>2.5919999999999999E-6</v>
      </c>
      <c r="AW3" s="10">
        <v>2.5919999999999999E-6</v>
      </c>
      <c r="AX3" s="10">
        <v>2.5919999999999999E-6</v>
      </c>
      <c r="AY3" s="10">
        <v>2.5919999999999999E-6</v>
      </c>
      <c r="AZ3" s="10">
        <v>2.5919999999999999E-6</v>
      </c>
      <c r="BA3" s="10">
        <v>2.5919999999999999E-6</v>
      </c>
      <c r="BB3" s="10">
        <v>2.5919999999999999E-6</v>
      </c>
      <c r="BC3" s="10">
        <v>2.5919999999999999E-6</v>
      </c>
      <c r="BD3" s="10">
        <v>8.6400000000000003E-6</v>
      </c>
      <c r="BE3" s="10">
        <v>8.6400000000000003E-6</v>
      </c>
      <c r="BF3" s="10">
        <v>8.6400000000000003E-6</v>
      </c>
      <c r="BG3" s="10">
        <v>8.6400000000000003E-6</v>
      </c>
      <c r="BH3" s="10">
        <v>8.6400000000000003E-6</v>
      </c>
      <c r="BI3" s="10">
        <v>8.6400000000000003E-6</v>
      </c>
      <c r="BJ3" s="10">
        <v>8.6400000000000003E-6</v>
      </c>
      <c r="BK3" s="10">
        <v>8.6400000000000003E-6</v>
      </c>
      <c r="BL3" s="10">
        <v>8.6400000000000003E-6</v>
      </c>
      <c r="BM3" s="10">
        <v>2.5919999999999999E-5</v>
      </c>
      <c r="BN3" s="10">
        <v>2.5919999999999999E-5</v>
      </c>
      <c r="BO3" s="10">
        <v>2.5919999999999999E-5</v>
      </c>
      <c r="BP3" s="10">
        <v>2.5919999999999999E-5</v>
      </c>
      <c r="BQ3" s="10">
        <v>2.5919999999999999E-5</v>
      </c>
      <c r="BR3" s="10">
        <v>2.5919999999999999E-5</v>
      </c>
      <c r="BS3" s="10">
        <v>2.5919999999999999E-5</v>
      </c>
      <c r="BT3" s="10">
        <v>2.5919999999999999E-5</v>
      </c>
      <c r="BU3" s="10">
        <v>2.5919999999999999E-5</v>
      </c>
      <c r="BV3" s="10">
        <v>8.6399999999999999E-5</v>
      </c>
      <c r="BW3" s="10">
        <v>8.6399999999999999E-5</v>
      </c>
      <c r="BX3" s="10">
        <v>8.6399999999999999E-5</v>
      </c>
      <c r="BY3" s="10">
        <v>8.6399999999999999E-5</v>
      </c>
      <c r="BZ3" s="10">
        <v>8.6399999999999999E-5</v>
      </c>
      <c r="CA3" s="10">
        <v>8.6399999999999999E-5</v>
      </c>
      <c r="CB3" s="10">
        <v>8.6399999999999999E-5</v>
      </c>
      <c r="CC3" s="10">
        <v>8.6399999999999999E-5</v>
      </c>
      <c r="CD3" s="10">
        <v>8.6399999999999999E-5</v>
      </c>
      <c r="CE3" s="10">
        <v>2.5920000000000001E-4</v>
      </c>
      <c r="CF3" s="10">
        <v>2.5920000000000001E-4</v>
      </c>
      <c r="CG3" s="10">
        <v>2.5920000000000001E-4</v>
      </c>
      <c r="CH3" s="10">
        <v>2.5920000000000001E-4</v>
      </c>
      <c r="CI3" s="10">
        <v>2.5920000000000001E-4</v>
      </c>
      <c r="CJ3" s="10">
        <v>2.5920000000000001E-4</v>
      </c>
      <c r="CK3" s="10">
        <v>2.5920000000000001E-4</v>
      </c>
      <c r="CL3" s="10">
        <v>2.5920000000000001E-4</v>
      </c>
      <c r="CM3" s="10">
        <v>2.5920000000000001E-4</v>
      </c>
      <c r="CN3" s="10">
        <v>8.6399999999999997E-4</v>
      </c>
      <c r="CO3" s="10">
        <v>8.6399999999999997E-4</v>
      </c>
      <c r="CP3" s="10">
        <v>8.6399999999999997E-4</v>
      </c>
      <c r="CQ3" s="10">
        <v>8.6399999999999997E-4</v>
      </c>
      <c r="CR3" s="10">
        <v>8.6399999999999997E-4</v>
      </c>
      <c r="CS3" s="10">
        <v>8.6399999999999997E-4</v>
      </c>
      <c r="CT3" s="10">
        <v>8.6399999999999997E-4</v>
      </c>
      <c r="CU3" s="10">
        <v>8.6399999999999997E-4</v>
      </c>
      <c r="CV3" s="10">
        <v>8.6399999999999997E-4</v>
      </c>
      <c r="CW3" s="10">
        <v>2.5920000000000001E-3</v>
      </c>
      <c r="CX3" s="10">
        <v>2.5920000000000001E-3</v>
      </c>
      <c r="CY3" s="10">
        <v>2.5920000000000001E-3</v>
      </c>
      <c r="CZ3" s="10">
        <v>2.5920000000000001E-3</v>
      </c>
      <c r="DA3" s="10">
        <v>2.5920000000000001E-3</v>
      </c>
      <c r="DB3" s="10">
        <v>2.5920000000000001E-3</v>
      </c>
      <c r="DC3" s="10">
        <v>2.5920000000000001E-3</v>
      </c>
      <c r="DD3" s="10">
        <v>2.5920000000000001E-3</v>
      </c>
      <c r="DE3" s="10">
        <v>2.5920000000000001E-3</v>
      </c>
      <c r="DF3" s="10">
        <v>8.6400000000000001E-3</v>
      </c>
      <c r="DG3" s="10">
        <v>8.6400000000000001E-3</v>
      </c>
      <c r="DH3" s="10">
        <v>8.6400000000000001E-3</v>
      </c>
      <c r="DI3" s="10">
        <v>8.6400000000000001E-3</v>
      </c>
      <c r="DJ3" s="10">
        <v>8.6400000000000001E-3</v>
      </c>
      <c r="DK3" s="10">
        <v>8.6400000000000001E-3</v>
      </c>
      <c r="DL3" s="10">
        <v>8.6400000000000001E-3</v>
      </c>
      <c r="DM3" s="10">
        <v>8.6400000000000001E-3</v>
      </c>
      <c r="DN3" s="10">
        <v>8.6400000000000001E-3</v>
      </c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45">
      <c r="A4" s="8" t="s">
        <v>48</v>
      </c>
      <c r="B4" s="1">
        <v>8.6400000000000001E-3</v>
      </c>
      <c r="C4" s="1">
        <v>2.5919999999999999E-2</v>
      </c>
      <c r="D4" s="1">
        <v>8.6400000000000005E-2</v>
      </c>
      <c r="E4" s="1">
        <v>0.25919999999999999</v>
      </c>
      <c r="F4" s="1">
        <v>0.86399999999999999</v>
      </c>
      <c r="G4" s="1">
        <v>2.5920000000000001</v>
      </c>
      <c r="H4" s="1">
        <v>8.64</v>
      </c>
      <c r="I4" s="1">
        <v>25.92</v>
      </c>
      <c r="J4" s="1">
        <v>86.4</v>
      </c>
      <c r="K4" s="1">
        <v>8.6400000000000001E-3</v>
      </c>
      <c r="L4" s="1">
        <v>2.5919999999999999E-2</v>
      </c>
      <c r="M4" s="1">
        <v>8.6400000000000005E-2</v>
      </c>
      <c r="N4" s="1">
        <v>0.25919999999999999</v>
      </c>
      <c r="O4" s="1">
        <v>0.86399999999999999</v>
      </c>
      <c r="P4" s="1">
        <v>2.5920000000000001</v>
      </c>
      <c r="Q4" s="1">
        <v>8.64</v>
      </c>
      <c r="R4" s="1">
        <v>25.92</v>
      </c>
      <c r="S4" s="1">
        <v>86.4</v>
      </c>
      <c r="T4" s="1">
        <v>8.6400000000000001E-3</v>
      </c>
      <c r="U4" s="1">
        <v>2.5919999999999999E-2</v>
      </c>
      <c r="V4" s="1">
        <v>8.6400000000000005E-2</v>
      </c>
      <c r="W4" s="1">
        <v>0.25919999999999999</v>
      </c>
      <c r="X4" s="1">
        <v>0.86399999999999999</v>
      </c>
      <c r="Y4" s="1">
        <v>2.5920000000000001</v>
      </c>
      <c r="Z4" s="1">
        <v>8.64</v>
      </c>
      <c r="AA4" s="1">
        <v>25.92</v>
      </c>
      <c r="AB4" s="1">
        <v>86.4</v>
      </c>
      <c r="AC4" s="1">
        <v>8.6400000000000001E-3</v>
      </c>
      <c r="AD4" s="1">
        <v>2.5919999999999999E-2</v>
      </c>
      <c r="AE4" s="1">
        <v>8.6400000000000005E-2</v>
      </c>
      <c r="AF4" s="1">
        <v>0.25919999999999999</v>
      </c>
      <c r="AG4" s="1">
        <v>0.86399999999999999</v>
      </c>
      <c r="AH4" s="1">
        <v>2.5920000000000001</v>
      </c>
      <c r="AI4" s="1">
        <v>8.64</v>
      </c>
      <c r="AJ4" s="1">
        <v>25.92</v>
      </c>
      <c r="AK4" s="1">
        <v>86.4</v>
      </c>
      <c r="AL4" s="1">
        <v>8.6400000000000001E-3</v>
      </c>
      <c r="AM4" s="1">
        <v>2.5919999999999999E-2</v>
      </c>
      <c r="AN4" s="1">
        <v>8.6400000000000005E-2</v>
      </c>
      <c r="AO4" s="1">
        <v>0.25919999999999999</v>
      </c>
      <c r="AP4" s="1">
        <v>0.86399999999999999</v>
      </c>
      <c r="AQ4" s="1">
        <v>2.5920000000000001</v>
      </c>
      <c r="AR4" s="1">
        <v>8.64</v>
      </c>
      <c r="AS4" s="1">
        <v>25.92</v>
      </c>
      <c r="AT4" s="1">
        <v>86.4</v>
      </c>
      <c r="AU4" s="1">
        <v>8.6400000000000001E-3</v>
      </c>
      <c r="AV4" s="1">
        <v>2.5919999999999999E-2</v>
      </c>
      <c r="AW4" s="1">
        <v>8.6400000000000005E-2</v>
      </c>
      <c r="AX4" s="1">
        <v>0.25919999999999999</v>
      </c>
      <c r="AY4" s="1">
        <v>0.86399999999999999</v>
      </c>
      <c r="AZ4" s="1">
        <v>2.5920000000000001</v>
      </c>
      <c r="BA4" s="1">
        <v>8.64</v>
      </c>
      <c r="BB4" s="1">
        <v>25.92</v>
      </c>
      <c r="BC4" s="1">
        <v>86.4</v>
      </c>
      <c r="BD4" s="1">
        <v>8.6400000000000001E-3</v>
      </c>
      <c r="BE4" s="1">
        <v>2.5919999999999999E-2</v>
      </c>
      <c r="BF4" s="1">
        <v>8.6400000000000005E-2</v>
      </c>
      <c r="BG4" s="1">
        <v>0.25919999999999999</v>
      </c>
      <c r="BH4" s="1">
        <v>0.86399999999999999</v>
      </c>
      <c r="BI4" s="1">
        <v>2.5920000000000001</v>
      </c>
      <c r="BJ4" s="1">
        <v>8.64</v>
      </c>
      <c r="BK4" s="1">
        <v>25.92</v>
      </c>
      <c r="BL4" s="1">
        <v>86.4</v>
      </c>
      <c r="BM4" s="1">
        <v>8.6400000000000001E-3</v>
      </c>
      <c r="BN4" s="1">
        <v>2.5919999999999999E-2</v>
      </c>
      <c r="BO4" s="1">
        <v>8.6400000000000005E-2</v>
      </c>
      <c r="BP4" s="1">
        <v>0.25919999999999999</v>
      </c>
      <c r="BQ4" s="1">
        <v>0.86399999999999999</v>
      </c>
      <c r="BR4" s="1">
        <v>2.5920000000000001</v>
      </c>
      <c r="BS4" s="1">
        <v>8.64</v>
      </c>
      <c r="BT4" s="1">
        <v>25.92</v>
      </c>
      <c r="BU4" s="1">
        <v>86.4</v>
      </c>
      <c r="BV4" s="1">
        <v>8.6400000000000001E-3</v>
      </c>
      <c r="BW4" s="1">
        <v>2.5919999999999999E-2</v>
      </c>
      <c r="BX4" s="1">
        <v>8.6400000000000005E-2</v>
      </c>
      <c r="BY4" s="1">
        <v>0.25919999999999999</v>
      </c>
      <c r="BZ4" s="1">
        <v>0.86399999999999999</v>
      </c>
      <c r="CA4" s="1">
        <v>2.5920000000000001</v>
      </c>
      <c r="CB4" s="1">
        <v>8.64</v>
      </c>
      <c r="CC4" s="1">
        <v>25.92</v>
      </c>
      <c r="CD4" s="1">
        <v>86.4</v>
      </c>
      <c r="CE4" s="1">
        <v>8.6400000000000001E-3</v>
      </c>
      <c r="CF4" s="1">
        <v>2.5919999999999999E-2</v>
      </c>
      <c r="CG4" s="1">
        <v>8.6400000000000005E-2</v>
      </c>
      <c r="CH4" s="1">
        <v>0.25919999999999999</v>
      </c>
      <c r="CI4" s="1">
        <v>0.86399999999999999</v>
      </c>
      <c r="CJ4" s="1">
        <v>2.5920000000000001</v>
      </c>
      <c r="CK4" s="1">
        <v>8.64</v>
      </c>
      <c r="CL4" s="1">
        <v>25.92</v>
      </c>
      <c r="CM4" s="1">
        <v>86.4</v>
      </c>
      <c r="CN4" s="1">
        <v>8.6400000000000001E-3</v>
      </c>
      <c r="CO4" s="1">
        <v>2.5919999999999999E-2</v>
      </c>
      <c r="CP4" s="1">
        <v>8.6400000000000005E-2</v>
      </c>
      <c r="CQ4" s="1">
        <v>0.25919999999999999</v>
      </c>
      <c r="CR4" s="1">
        <v>0.86399999999999999</v>
      </c>
      <c r="CS4" s="1">
        <v>2.5920000000000001</v>
      </c>
      <c r="CT4" s="1">
        <v>8.64</v>
      </c>
      <c r="CU4" s="1">
        <v>25.92</v>
      </c>
      <c r="CV4" s="1">
        <v>86.4</v>
      </c>
      <c r="CW4" s="1">
        <v>8.6400000000000001E-3</v>
      </c>
      <c r="CX4" s="1">
        <v>2.5919999999999999E-2</v>
      </c>
      <c r="CY4" s="1">
        <v>8.6400000000000005E-2</v>
      </c>
      <c r="CZ4" s="1">
        <v>0.25919999999999999</v>
      </c>
      <c r="DA4" s="1">
        <v>0.86399999999999999</v>
      </c>
      <c r="DB4" s="1">
        <v>2.5920000000000001</v>
      </c>
      <c r="DC4" s="1">
        <v>8.64</v>
      </c>
      <c r="DD4" s="1">
        <v>25.92</v>
      </c>
      <c r="DE4" s="1">
        <v>86.4</v>
      </c>
      <c r="DF4" s="1">
        <v>8.6400000000000001E-3</v>
      </c>
      <c r="DG4" s="1">
        <v>2.5919999999999999E-2</v>
      </c>
      <c r="DH4" s="1">
        <v>8.6400000000000005E-2</v>
      </c>
      <c r="DI4" s="1">
        <v>0.25919999999999999</v>
      </c>
      <c r="DJ4" s="1">
        <v>0.86399999999999999</v>
      </c>
      <c r="DK4" s="1">
        <v>2.5920000000000001</v>
      </c>
      <c r="DL4" s="1">
        <v>8.64</v>
      </c>
      <c r="DM4" s="1">
        <v>25.92</v>
      </c>
      <c r="DN4" s="1">
        <v>86.4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45">
      <c r="A5" s="9" t="s">
        <v>50</v>
      </c>
      <c r="B5" s="10">
        <v>8.6399999999999999E-9</v>
      </c>
      <c r="C5" s="10">
        <v>8.6399999999999999E-9</v>
      </c>
      <c r="D5" s="10">
        <v>8.6399999999999999E-9</v>
      </c>
      <c r="E5" s="10">
        <v>8.6399999999999999E-9</v>
      </c>
      <c r="F5" s="10">
        <v>8.6399999999999999E-9</v>
      </c>
      <c r="G5" s="10">
        <v>8.6399999999999999E-9</v>
      </c>
      <c r="H5" s="10">
        <v>8.6399999999999999E-9</v>
      </c>
      <c r="I5" s="10">
        <v>8.6399999999999999E-9</v>
      </c>
      <c r="J5" s="10">
        <v>8.6399999999999999E-9</v>
      </c>
      <c r="K5" s="10">
        <v>2.592E-8</v>
      </c>
      <c r="L5" s="10">
        <v>2.592E-8</v>
      </c>
      <c r="M5" s="10">
        <v>2.592E-8</v>
      </c>
      <c r="N5" s="10">
        <v>2.592E-8</v>
      </c>
      <c r="O5" s="10">
        <v>2.592E-8</v>
      </c>
      <c r="P5" s="10">
        <v>2.592E-8</v>
      </c>
      <c r="Q5" s="10">
        <v>2.592E-8</v>
      </c>
      <c r="R5" s="10">
        <v>2.592E-8</v>
      </c>
      <c r="S5" s="10">
        <v>2.592E-8</v>
      </c>
      <c r="T5" s="10">
        <v>8.6400000000000006E-8</v>
      </c>
      <c r="U5" s="10">
        <v>8.6400000000000006E-8</v>
      </c>
      <c r="V5" s="10">
        <v>8.6400000000000006E-8</v>
      </c>
      <c r="W5" s="10">
        <v>8.6400000000000006E-8</v>
      </c>
      <c r="X5" s="10">
        <v>8.6400000000000006E-8</v>
      </c>
      <c r="Y5" s="10">
        <v>8.6400000000000006E-8</v>
      </c>
      <c r="Z5" s="10">
        <v>8.6400000000000006E-8</v>
      </c>
      <c r="AA5" s="10">
        <v>8.6400000000000006E-8</v>
      </c>
      <c r="AB5" s="10">
        <v>8.6400000000000006E-8</v>
      </c>
      <c r="AC5" s="10">
        <v>2.5919999999999999E-7</v>
      </c>
      <c r="AD5" s="10">
        <v>2.5919999999999999E-7</v>
      </c>
      <c r="AE5" s="10">
        <v>2.5919999999999999E-7</v>
      </c>
      <c r="AF5" s="10">
        <v>2.5919999999999999E-7</v>
      </c>
      <c r="AG5" s="10">
        <v>2.5919999999999999E-7</v>
      </c>
      <c r="AH5" s="10">
        <v>2.5919999999999999E-7</v>
      </c>
      <c r="AI5" s="10">
        <v>2.5919999999999999E-7</v>
      </c>
      <c r="AJ5" s="10">
        <v>2.5919999999999999E-7</v>
      </c>
      <c r="AK5" s="10">
        <v>2.5919999999999999E-7</v>
      </c>
      <c r="AL5" s="10">
        <v>8.6400000000000001E-7</v>
      </c>
      <c r="AM5" s="10">
        <v>8.6400000000000001E-7</v>
      </c>
      <c r="AN5" s="10">
        <v>8.6400000000000001E-7</v>
      </c>
      <c r="AO5" s="10">
        <v>8.6400000000000001E-7</v>
      </c>
      <c r="AP5" s="10">
        <v>8.6400000000000001E-7</v>
      </c>
      <c r="AQ5" s="10">
        <v>8.6400000000000001E-7</v>
      </c>
      <c r="AR5" s="10">
        <v>8.6400000000000001E-7</v>
      </c>
      <c r="AS5" s="10">
        <v>8.6400000000000001E-7</v>
      </c>
      <c r="AT5" s="10">
        <v>8.6400000000000001E-7</v>
      </c>
      <c r="AU5" s="10">
        <v>2.5919999999999999E-6</v>
      </c>
      <c r="AV5" s="10">
        <v>2.5919999999999999E-6</v>
      </c>
      <c r="AW5" s="10">
        <v>2.5919999999999999E-6</v>
      </c>
      <c r="AX5" s="10">
        <v>2.5919999999999999E-6</v>
      </c>
      <c r="AY5" s="10">
        <v>2.5919999999999999E-6</v>
      </c>
      <c r="AZ5" s="10">
        <v>2.5919999999999999E-6</v>
      </c>
      <c r="BA5" s="10">
        <v>2.5919999999999999E-6</v>
      </c>
      <c r="BB5" s="10">
        <v>2.5919999999999999E-6</v>
      </c>
      <c r="BC5" s="10">
        <v>2.5919999999999999E-6</v>
      </c>
      <c r="BD5" s="10">
        <v>8.6400000000000003E-6</v>
      </c>
      <c r="BE5" s="10">
        <v>8.6400000000000003E-6</v>
      </c>
      <c r="BF5" s="10">
        <v>8.6400000000000003E-6</v>
      </c>
      <c r="BG5" s="10">
        <v>8.6400000000000003E-6</v>
      </c>
      <c r="BH5" s="10">
        <v>8.6400000000000003E-6</v>
      </c>
      <c r="BI5" s="10">
        <v>8.6400000000000003E-6</v>
      </c>
      <c r="BJ5" s="10">
        <v>8.6400000000000003E-6</v>
      </c>
      <c r="BK5" s="10">
        <v>8.6400000000000003E-6</v>
      </c>
      <c r="BL5" s="10">
        <v>8.6400000000000003E-6</v>
      </c>
      <c r="BM5" s="10">
        <v>2.5919999999999999E-5</v>
      </c>
      <c r="BN5" s="10">
        <v>2.5919999999999999E-5</v>
      </c>
      <c r="BO5" s="10">
        <v>2.5919999999999999E-5</v>
      </c>
      <c r="BP5" s="10">
        <v>2.5919999999999999E-5</v>
      </c>
      <c r="BQ5" s="10">
        <v>2.5919999999999999E-5</v>
      </c>
      <c r="BR5" s="10">
        <v>2.5919999999999999E-5</v>
      </c>
      <c r="BS5" s="10">
        <v>2.5919999999999999E-5</v>
      </c>
      <c r="BT5" s="10">
        <v>2.5919999999999999E-5</v>
      </c>
      <c r="BU5" s="10">
        <v>2.5919999999999999E-5</v>
      </c>
      <c r="BV5" s="10">
        <v>8.6399999999999999E-5</v>
      </c>
      <c r="BW5" s="10">
        <v>8.6399999999999999E-5</v>
      </c>
      <c r="BX5" s="10">
        <v>8.6399999999999999E-5</v>
      </c>
      <c r="BY5" s="10">
        <v>8.6399999999999999E-5</v>
      </c>
      <c r="BZ5" s="10">
        <v>8.6399999999999999E-5</v>
      </c>
      <c r="CA5" s="10">
        <v>8.6399999999999999E-5</v>
      </c>
      <c r="CB5" s="10">
        <v>8.6399999999999999E-5</v>
      </c>
      <c r="CC5" s="10">
        <v>8.6399999999999999E-5</v>
      </c>
      <c r="CD5" s="10">
        <v>8.6399999999999999E-5</v>
      </c>
      <c r="CE5" s="10">
        <v>2.5920000000000001E-4</v>
      </c>
      <c r="CF5" s="10">
        <v>2.5920000000000001E-4</v>
      </c>
      <c r="CG5" s="10">
        <v>2.5920000000000001E-4</v>
      </c>
      <c r="CH5" s="10">
        <v>2.5920000000000001E-4</v>
      </c>
      <c r="CI5" s="10">
        <v>2.5920000000000001E-4</v>
      </c>
      <c r="CJ5" s="10">
        <v>2.5920000000000001E-4</v>
      </c>
      <c r="CK5" s="10">
        <v>2.5920000000000001E-4</v>
      </c>
      <c r="CL5" s="10">
        <v>2.5920000000000001E-4</v>
      </c>
      <c r="CM5" s="10">
        <v>2.5920000000000001E-4</v>
      </c>
      <c r="CN5" s="10">
        <v>8.6399999999999997E-4</v>
      </c>
      <c r="CO5" s="10">
        <v>8.6399999999999997E-4</v>
      </c>
      <c r="CP5" s="10">
        <v>8.6399999999999997E-4</v>
      </c>
      <c r="CQ5" s="10">
        <v>8.6399999999999997E-4</v>
      </c>
      <c r="CR5" s="10">
        <v>8.6399999999999997E-4</v>
      </c>
      <c r="CS5" s="10">
        <v>8.6399999999999997E-4</v>
      </c>
      <c r="CT5" s="10">
        <v>8.6399999999999997E-4</v>
      </c>
      <c r="CU5" s="10">
        <v>8.6399999999999997E-4</v>
      </c>
      <c r="CV5" s="10">
        <v>8.6399999999999997E-4</v>
      </c>
      <c r="CW5" s="10">
        <v>2.5920000000000001E-3</v>
      </c>
      <c r="CX5" s="10">
        <v>2.5920000000000001E-3</v>
      </c>
      <c r="CY5" s="10">
        <v>2.5920000000000001E-3</v>
      </c>
      <c r="CZ5" s="10">
        <v>2.5920000000000001E-3</v>
      </c>
      <c r="DA5" s="10">
        <v>2.5920000000000001E-3</v>
      </c>
      <c r="DB5" s="10">
        <v>2.5920000000000001E-3</v>
      </c>
      <c r="DC5" s="10">
        <v>2.5920000000000001E-3</v>
      </c>
      <c r="DD5" s="10">
        <v>2.5920000000000001E-3</v>
      </c>
      <c r="DE5" s="10">
        <v>2.5920000000000001E-3</v>
      </c>
      <c r="DF5" s="10">
        <v>8.6400000000000001E-3</v>
      </c>
      <c r="DG5" s="10">
        <v>8.6400000000000001E-3</v>
      </c>
      <c r="DH5" s="10">
        <v>8.6400000000000001E-3</v>
      </c>
      <c r="DI5" s="10">
        <v>8.6400000000000001E-3</v>
      </c>
      <c r="DJ5" s="10">
        <v>8.6400000000000001E-3</v>
      </c>
      <c r="DK5" s="10">
        <v>8.6400000000000001E-3</v>
      </c>
      <c r="DL5" s="10">
        <v>8.6400000000000001E-3</v>
      </c>
      <c r="DM5" s="10">
        <v>8.6400000000000001E-3</v>
      </c>
      <c r="DN5" s="10">
        <v>8.6400000000000001E-3</v>
      </c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45">
      <c r="A6" s="8" t="s">
        <v>52</v>
      </c>
      <c r="B6" s="1">
        <v>8.6400000000000001E-3</v>
      </c>
      <c r="C6" s="1">
        <v>2.5919999999999999E-2</v>
      </c>
      <c r="D6" s="1">
        <v>8.6400000000000005E-2</v>
      </c>
      <c r="E6" s="1">
        <v>0.25919999999999999</v>
      </c>
      <c r="F6" s="1">
        <v>0.86399999999999999</v>
      </c>
      <c r="G6" s="1">
        <v>2.5920000000000001</v>
      </c>
      <c r="H6" s="1">
        <v>8.64</v>
      </c>
      <c r="I6" s="1">
        <v>25.92</v>
      </c>
      <c r="J6" s="1">
        <v>86.4</v>
      </c>
      <c r="K6" s="1">
        <v>8.6400000000000001E-3</v>
      </c>
      <c r="L6" s="1">
        <v>2.5919999999999999E-2</v>
      </c>
      <c r="M6" s="1">
        <v>8.6400000000000005E-2</v>
      </c>
      <c r="N6" s="1">
        <v>0.25919999999999999</v>
      </c>
      <c r="O6" s="1">
        <v>0.86399999999999999</v>
      </c>
      <c r="P6" s="1">
        <v>2.5920000000000001</v>
      </c>
      <c r="Q6" s="1">
        <v>8.64</v>
      </c>
      <c r="R6" s="1">
        <v>25.92</v>
      </c>
      <c r="S6" s="1">
        <v>86.4</v>
      </c>
      <c r="T6" s="1">
        <v>8.6400000000000001E-3</v>
      </c>
      <c r="U6" s="1">
        <v>2.5919999999999999E-2</v>
      </c>
      <c r="V6" s="1">
        <v>8.6400000000000005E-2</v>
      </c>
      <c r="W6" s="1">
        <v>0.25919999999999999</v>
      </c>
      <c r="X6" s="1">
        <v>0.86399999999999999</v>
      </c>
      <c r="Y6" s="1">
        <v>2.5920000000000001</v>
      </c>
      <c r="Z6" s="1">
        <v>8.64</v>
      </c>
      <c r="AA6" s="1">
        <v>25.92</v>
      </c>
      <c r="AB6" s="1">
        <v>86.4</v>
      </c>
      <c r="AC6" s="1">
        <v>8.6400000000000001E-3</v>
      </c>
      <c r="AD6" s="1">
        <v>2.5919999999999999E-2</v>
      </c>
      <c r="AE6" s="1">
        <v>8.6400000000000005E-2</v>
      </c>
      <c r="AF6" s="1">
        <v>0.25919999999999999</v>
      </c>
      <c r="AG6" s="1">
        <v>0.86399999999999999</v>
      </c>
      <c r="AH6" s="1">
        <v>2.5920000000000001</v>
      </c>
      <c r="AI6" s="1">
        <v>8.64</v>
      </c>
      <c r="AJ6" s="1">
        <v>25.92</v>
      </c>
      <c r="AK6" s="1">
        <v>86.4</v>
      </c>
      <c r="AL6" s="1">
        <v>8.6400000000000001E-3</v>
      </c>
      <c r="AM6" s="1">
        <v>2.5919999999999999E-2</v>
      </c>
      <c r="AN6" s="1">
        <v>8.6400000000000005E-2</v>
      </c>
      <c r="AO6" s="1">
        <v>0.25919999999999999</v>
      </c>
      <c r="AP6" s="1">
        <v>0.86399999999999999</v>
      </c>
      <c r="AQ6" s="1">
        <v>2.5920000000000001</v>
      </c>
      <c r="AR6" s="1">
        <v>8.64</v>
      </c>
      <c r="AS6" s="1">
        <v>25.92</v>
      </c>
      <c r="AT6" s="1">
        <v>86.4</v>
      </c>
      <c r="AU6" s="1">
        <v>8.6400000000000001E-3</v>
      </c>
      <c r="AV6" s="1">
        <v>2.5919999999999999E-2</v>
      </c>
      <c r="AW6" s="1">
        <v>8.6400000000000005E-2</v>
      </c>
      <c r="AX6" s="1">
        <v>0.25919999999999999</v>
      </c>
      <c r="AY6" s="1">
        <v>0.86399999999999999</v>
      </c>
      <c r="AZ6" s="1">
        <v>2.5920000000000001</v>
      </c>
      <c r="BA6" s="1">
        <v>8.64</v>
      </c>
      <c r="BB6" s="1">
        <v>25.92</v>
      </c>
      <c r="BC6" s="1">
        <v>86.4</v>
      </c>
      <c r="BD6" s="1">
        <v>8.6400000000000001E-3</v>
      </c>
      <c r="BE6" s="1">
        <v>2.5919999999999999E-2</v>
      </c>
      <c r="BF6" s="1">
        <v>8.6400000000000005E-2</v>
      </c>
      <c r="BG6" s="1">
        <v>0.25919999999999999</v>
      </c>
      <c r="BH6" s="1">
        <v>0.86399999999999999</v>
      </c>
      <c r="BI6" s="1">
        <v>2.5920000000000001</v>
      </c>
      <c r="BJ6" s="1">
        <v>8.64</v>
      </c>
      <c r="BK6" s="1">
        <v>25.92</v>
      </c>
      <c r="BL6" s="1">
        <v>86.4</v>
      </c>
      <c r="BM6" s="1">
        <v>8.6400000000000001E-3</v>
      </c>
      <c r="BN6" s="1">
        <v>2.5919999999999999E-2</v>
      </c>
      <c r="BO6" s="1">
        <v>8.6400000000000005E-2</v>
      </c>
      <c r="BP6" s="1">
        <v>0.25919999999999999</v>
      </c>
      <c r="BQ6" s="1">
        <v>0.86399999999999999</v>
      </c>
      <c r="BR6" s="1">
        <v>2.5920000000000001</v>
      </c>
      <c r="BS6" s="1">
        <v>8.64</v>
      </c>
      <c r="BT6" s="1">
        <v>25.92</v>
      </c>
      <c r="BU6" s="1">
        <v>86.4</v>
      </c>
      <c r="BV6" s="1">
        <v>8.6400000000000001E-3</v>
      </c>
      <c r="BW6" s="1">
        <v>2.5919999999999999E-2</v>
      </c>
      <c r="BX6" s="1">
        <v>8.6400000000000005E-2</v>
      </c>
      <c r="BY6" s="1">
        <v>0.25919999999999999</v>
      </c>
      <c r="BZ6" s="1">
        <v>0.86399999999999999</v>
      </c>
      <c r="CA6" s="1">
        <v>2.5920000000000001</v>
      </c>
      <c r="CB6" s="1">
        <v>8.64</v>
      </c>
      <c r="CC6" s="1">
        <v>25.92</v>
      </c>
      <c r="CD6" s="1">
        <v>86.4</v>
      </c>
      <c r="CE6" s="1">
        <v>8.6400000000000001E-3</v>
      </c>
      <c r="CF6" s="1">
        <v>2.5919999999999999E-2</v>
      </c>
      <c r="CG6" s="1">
        <v>8.6400000000000005E-2</v>
      </c>
      <c r="CH6" s="1">
        <v>0.25919999999999999</v>
      </c>
      <c r="CI6" s="1">
        <v>0.86399999999999999</v>
      </c>
      <c r="CJ6" s="1">
        <v>2.5920000000000001</v>
      </c>
      <c r="CK6" s="1">
        <v>8.64</v>
      </c>
      <c r="CL6" s="1">
        <v>25.92</v>
      </c>
      <c r="CM6" s="1">
        <v>86.4</v>
      </c>
      <c r="CN6" s="1">
        <v>8.6400000000000001E-3</v>
      </c>
      <c r="CO6" s="1">
        <v>2.5919999999999999E-2</v>
      </c>
      <c r="CP6" s="1">
        <v>8.6400000000000005E-2</v>
      </c>
      <c r="CQ6" s="1">
        <v>0.25919999999999999</v>
      </c>
      <c r="CR6" s="1">
        <v>0.86399999999999999</v>
      </c>
      <c r="CS6" s="1">
        <v>2.5920000000000001</v>
      </c>
      <c r="CT6" s="1">
        <v>8.64</v>
      </c>
      <c r="CU6" s="1">
        <v>25.92</v>
      </c>
      <c r="CV6" s="1">
        <v>86.4</v>
      </c>
      <c r="CW6" s="1">
        <v>8.6400000000000001E-3</v>
      </c>
      <c r="CX6" s="1">
        <v>2.5919999999999999E-2</v>
      </c>
      <c r="CY6" s="1">
        <v>8.6400000000000005E-2</v>
      </c>
      <c r="CZ6" s="1">
        <v>0.25919999999999999</v>
      </c>
      <c r="DA6" s="1">
        <v>0.86399999999999999</v>
      </c>
      <c r="DB6" s="1">
        <v>2.5920000000000001</v>
      </c>
      <c r="DC6" s="1">
        <v>8.64</v>
      </c>
      <c r="DD6" s="1">
        <v>25.92</v>
      </c>
      <c r="DE6" s="1">
        <v>86.4</v>
      </c>
      <c r="DF6" s="1">
        <v>8.6400000000000001E-3</v>
      </c>
      <c r="DG6" s="1">
        <v>2.5919999999999999E-2</v>
      </c>
      <c r="DH6" s="1">
        <v>8.6400000000000005E-2</v>
      </c>
      <c r="DI6" s="1">
        <v>0.25919999999999999</v>
      </c>
      <c r="DJ6" s="1">
        <v>0.86399999999999999</v>
      </c>
      <c r="DK6" s="1">
        <v>2.5920000000000001</v>
      </c>
      <c r="DL6" s="1">
        <v>8.64</v>
      </c>
      <c r="DM6" s="1">
        <v>25.92</v>
      </c>
      <c r="DN6" s="1">
        <v>86.4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45">
      <c r="A7" s="8" t="s">
        <v>54</v>
      </c>
      <c r="B7" s="1">
        <v>8.6400000000000001E-3</v>
      </c>
      <c r="C7" s="1">
        <v>2.5919999999999999E-2</v>
      </c>
      <c r="D7" s="1">
        <v>8.6400000000000005E-2</v>
      </c>
      <c r="E7" s="1">
        <v>0.25919999999999999</v>
      </c>
      <c r="F7" s="1">
        <v>0.86399999999999999</v>
      </c>
      <c r="G7" s="1">
        <v>2.5920000000000001</v>
      </c>
      <c r="H7" s="1">
        <v>8.64</v>
      </c>
      <c r="I7" s="1">
        <v>25.92</v>
      </c>
      <c r="J7" s="1">
        <v>86.4</v>
      </c>
      <c r="K7" s="1">
        <v>8.6400000000000001E-3</v>
      </c>
      <c r="L7" s="1">
        <v>2.5919999999999999E-2</v>
      </c>
      <c r="M7" s="1">
        <v>8.6400000000000005E-2</v>
      </c>
      <c r="N7" s="1">
        <v>0.25919999999999999</v>
      </c>
      <c r="O7" s="1">
        <v>0.86399999999999999</v>
      </c>
      <c r="P7" s="1">
        <v>2.5920000000000001</v>
      </c>
      <c r="Q7" s="1">
        <v>8.64</v>
      </c>
      <c r="R7" s="1">
        <v>25.92</v>
      </c>
      <c r="S7" s="1">
        <v>86.4</v>
      </c>
      <c r="T7" s="1">
        <v>8.6400000000000001E-3</v>
      </c>
      <c r="U7" s="1">
        <v>2.5919999999999999E-2</v>
      </c>
      <c r="V7" s="1">
        <v>8.6400000000000005E-2</v>
      </c>
      <c r="W7" s="1">
        <v>0.25919999999999999</v>
      </c>
      <c r="X7" s="1">
        <v>0.86399999999999999</v>
      </c>
      <c r="Y7" s="1">
        <v>2.5920000000000001</v>
      </c>
      <c r="Z7" s="1">
        <v>8.64</v>
      </c>
      <c r="AA7" s="1">
        <v>25.92</v>
      </c>
      <c r="AB7" s="1">
        <v>86.4</v>
      </c>
      <c r="AC7" s="1">
        <v>8.6400000000000001E-3</v>
      </c>
      <c r="AD7" s="1">
        <v>2.5919999999999999E-2</v>
      </c>
      <c r="AE7" s="1">
        <v>8.6400000000000005E-2</v>
      </c>
      <c r="AF7" s="1">
        <v>0.25919999999999999</v>
      </c>
      <c r="AG7" s="1">
        <v>0.86399999999999999</v>
      </c>
      <c r="AH7" s="1">
        <v>2.5920000000000001</v>
      </c>
      <c r="AI7" s="1">
        <v>8.64</v>
      </c>
      <c r="AJ7" s="1">
        <v>25.92</v>
      </c>
      <c r="AK7" s="1">
        <v>86.4</v>
      </c>
      <c r="AL7" s="1">
        <v>8.6400000000000001E-3</v>
      </c>
      <c r="AM7" s="1">
        <v>2.5919999999999999E-2</v>
      </c>
      <c r="AN7" s="1">
        <v>8.6400000000000005E-2</v>
      </c>
      <c r="AO7" s="1">
        <v>0.25919999999999999</v>
      </c>
      <c r="AP7" s="1">
        <v>0.86399999999999999</v>
      </c>
      <c r="AQ7" s="1">
        <v>2.5920000000000001</v>
      </c>
      <c r="AR7" s="1">
        <v>8.64</v>
      </c>
      <c r="AS7" s="1">
        <v>25.92</v>
      </c>
      <c r="AT7" s="1">
        <v>86.4</v>
      </c>
      <c r="AU7" s="1">
        <v>8.6400000000000001E-3</v>
      </c>
      <c r="AV7" s="1">
        <v>2.5919999999999999E-2</v>
      </c>
      <c r="AW7" s="1">
        <v>8.6400000000000005E-2</v>
      </c>
      <c r="AX7" s="1">
        <v>0.25919999999999999</v>
      </c>
      <c r="AY7" s="1">
        <v>0.86399999999999999</v>
      </c>
      <c r="AZ7" s="1">
        <v>2.5920000000000001</v>
      </c>
      <c r="BA7" s="1">
        <v>8.64</v>
      </c>
      <c r="BB7" s="1">
        <v>25.92</v>
      </c>
      <c r="BC7" s="1">
        <v>86.4</v>
      </c>
      <c r="BD7" s="1">
        <v>8.6400000000000001E-3</v>
      </c>
      <c r="BE7" s="1">
        <v>2.5919999999999999E-2</v>
      </c>
      <c r="BF7" s="1">
        <v>8.6400000000000005E-2</v>
      </c>
      <c r="BG7" s="1">
        <v>0.25919999999999999</v>
      </c>
      <c r="BH7" s="1">
        <v>0.86399999999999999</v>
      </c>
      <c r="BI7" s="1">
        <v>2.5920000000000001</v>
      </c>
      <c r="BJ7" s="1">
        <v>8.64</v>
      </c>
      <c r="BK7" s="1">
        <v>25.92</v>
      </c>
      <c r="BL7" s="1">
        <v>86.4</v>
      </c>
      <c r="BM7" s="1">
        <v>8.6400000000000001E-3</v>
      </c>
      <c r="BN7" s="1">
        <v>2.5919999999999999E-2</v>
      </c>
      <c r="BO7" s="1">
        <v>8.6400000000000005E-2</v>
      </c>
      <c r="BP7" s="1">
        <v>0.25919999999999999</v>
      </c>
      <c r="BQ7" s="1">
        <v>0.86399999999999999</v>
      </c>
      <c r="BR7" s="1">
        <v>2.5920000000000001</v>
      </c>
      <c r="BS7" s="1">
        <v>8.64</v>
      </c>
      <c r="BT7" s="1">
        <v>25.92</v>
      </c>
      <c r="BU7" s="1">
        <v>86.4</v>
      </c>
      <c r="BV7" s="1">
        <v>8.6400000000000001E-3</v>
      </c>
      <c r="BW7" s="1">
        <v>2.5919999999999999E-2</v>
      </c>
      <c r="BX7" s="1">
        <v>8.6400000000000005E-2</v>
      </c>
      <c r="BY7" s="1">
        <v>0.25919999999999999</v>
      </c>
      <c r="BZ7" s="1">
        <v>0.86399999999999999</v>
      </c>
      <c r="CA7" s="1">
        <v>2.5920000000000001</v>
      </c>
      <c r="CB7" s="1">
        <v>8.64</v>
      </c>
      <c r="CC7" s="1">
        <v>25.92</v>
      </c>
      <c r="CD7" s="1">
        <v>86.4</v>
      </c>
      <c r="CE7" s="1">
        <v>8.6400000000000001E-3</v>
      </c>
      <c r="CF7" s="1">
        <v>2.5919999999999999E-2</v>
      </c>
      <c r="CG7" s="1">
        <v>8.6400000000000005E-2</v>
      </c>
      <c r="CH7" s="1">
        <v>0.25919999999999999</v>
      </c>
      <c r="CI7" s="1">
        <v>0.86399999999999999</v>
      </c>
      <c r="CJ7" s="1">
        <v>2.5920000000000001</v>
      </c>
      <c r="CK7" s="1">
        <v>8.64</v>
      </c>
      <c r="CL7" s="1">
        <v>25.92</v>
      </c>
      <c r="CM7" s="1">
        <v>86.4</v>
      </c>
      <c r="CN7" s="1">
        <v>8.6400000000000001E-3</v>
      </c>
      <c r="CO7" s="1">
        <v>2.5919999999999999E-2</v>
      </c>
      <c r="CP7" s="1">
        <v>8.6400000000000005E-2</v>
      </c>
      <c r="CQ7" s="1">
        <v>0.25919999999999999</v>
      </c>
      <c r="CR7" s="1">
        <v>0.86399999999999999</v>
      </c>
      <c r="CS7" s="1">
        <v>2.5920000000000001</v>
      </c>
      <c r="CT7" s="1">
        <v>8.64</v>
      </c>
      <c r="CU7" s="1">
        <v>25.92</v>
      </c>
      <c r="CV7" s="1">
        <v>86.4</v>
      </c>
      <c r="CW7" s="1">
        <v>8.6400000000000001E-3</v>
      </c>
      <c r="CX7" s="1">
        <v>2.5919999999999999E-2</v>
      </c>
      <c r="CY7" s="1">
        <v>8.6400000000000005E-2</v>
      </c>
      <c r="CZ7" s="1">
        <v>0.25919999999999999</v>
      </c>
      <c r="DA7" s="1">
        <v>0.86399999999999999</v>
      </c>
      <c r="DB7" s="1">
        <v>2.5920000000000001</v>
      </c>
      <c r="DC7" s="1">
        <v>8.64</v>
      </c>
      <c r="DD7" s="1">
        <v>25.92</v>
      </c>
      <c r="DE7" s="1">
        <v>86.4</v>
      </c>
      <c r="DF7" s="1">
        <v>8.6400000000000001E-3</v>
      </c>
      <c r="DG7" s="1">
        <v>2.5919999999999999E-2</v>
      </c>
      <c r="DH7" s="1">
        <v>8.6400000000000005E-2</v>
      </c>
      <c r="DI7" s="1">
        <v>0.25919999999999999</v>
      </c>
      <c r="DJ7" s="1">
        <v>0.86399999999999999</v>
      </c>
      <c r="DK7" s="1">
        <v>2.5920000000000001</v>
      </c>
      <c r="DL7" s="1">
        <v>8.64</v>
      </c>
      <c r="DM7" s="1">
        <v>25.92</v>
      </c>
      <c r="DN7" s="1">
        <v>86.4</v>
      </c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45">
      <c r="A8" s="9" t="s">
        <v>55</v>
      </c>
      <c r="B8" s="10">
        <v>8.6399999999999999E-9</v>
      </c>
      <c r="C8" s="10">
        <v>8.6399999999999999E-9</v>
      </c>
      <c r="D8" s="10">
        <v>8.6399999999999999E-9</v>
      </c>
      <c r="E8" s="10">
        <v>8.6399999999999999E-9</v>
      </c>
      <c r="F8" s="10">
        <v>8.6399999999999999E-9</v>
      </c>
      <c r="G8" s="10">
        <v>8.6399999999999999E-9</v>
      </c>
      <c r="H8" s="10">
        <v>8.6399999999999999E-9</v>
      </c>
      <c r="I8" s="10">
        <v>8.6399999999999999E-9</v>
      </c>
      <c r="J8" s="10">
        <v>8.6399999999999999E-9</v>
      </c>
      <c r="K8" s="10">
        <v>2.592E-8</v>
      </c>
      <c r="L8" s="10">
        <v>2.592E-8</v>
      </c>
      <c r="M8" s="10">
        <v>2.592E-8</v>
      </c>
      <c r="N8" s="10">
        <v>2.592E-8</v>
      </c>
      <c r="O8" s="10">
        <v>2.592E-8</v>
      </c>
      <c r="P8" s="10">
        <v>2.592E-8</v>
      </c>
      <c r="Q8" s="10">
        <v>2.592E-8</v>
      </c>
      <c r="R8" s="10">
        <v>2.592E-8</v>
      </c>
      <c r="S8" s="10">
        <v>2.592E-8</v>
      </c>
      <c r="T8" s="10">
        <v>8.6400000000000006E-8</v>
      </c>
      <c r="U8" s="10">
        <v>8.6400000000000006E-8</v>
      </c>
      <c r="V8" s="10">
        <v>8.6400000000000006E-8</v>
      </c>
      <c r="W8" s="10">
        <v>8.6400000000000006E-8</v>
      </c>
      <c r="X8" s="10">
        <v>8.6400000000000006E-8</v>
      </c>
      <c r="Y8" s="10">
        <v>8.6400000000000006E-8</v>
      </c>
      <c r="Z8" s="10">
        <v>8.6400000000000006E-8</v>
      </c>
      <c r="AA8" s="10">
        <v>8.6400000000000006E-8</v>
      </c>
      <c r="AB8" s="10">
        <v>8.6400000000000006E-8</v>
      </c>
      <c r="AC8" s="10">
        <v>2.5919999999999999E-7</v>
      </c>
      <c r="AD8" s="10">
        <v>2.5919999999999999E-7</v>
      </c>
      <c r="AE8" s="10">
        <v>2.5919999999999999E-7</v>
      </c>
      <c r="AF8" s="10">
        <v>2.5919999999999999E-7</v>
      </c>
      <c r="AG8" s="10">
        <v>2.5919999999999999E-7</v>
      </c>
      <c r="AH8" s="10">
        <v>2.5919999999999999E-7</v>
      </c>
      <c r="AI8" s="10">
        <v>2.5919999999999999E-7</v>
      </c>
      <c r="AJ8" s="10">
        <v>2.5919999999999999E-7</v>
      </c>
      <c r="AK8" s="10">
        <v>2.5919999999999999E-7</v>
      </c>
      <c r="AL8" s="10">
        <v>8.6400000000000001E-7</v>
      </c>
      <c r="AM8" s="10">
        <v>8.6400000000000001E-7</v>
      </c>
      <c r="AN8" s="10">
        <v>8.6400000000000001E-7</v>
      </c>
      <c r="AO8" s="10">
        <v>8.6400000000000001E-7</v>
      </c>
      <c r="AP8" s="10">
        <v>8.6400000000000001E-7</v>
      </c>
      <c r="AQ8" s="10">
        <v>8.6400000000000001E-7</v>
      </c>
      <c r="AR8" s="10">
        <v>8.6400000000000001E-7</v>
      </c>
      <c r="AS8" s="10">
        <v>8.6400000000000001E-7</v>
      </c>
      <c r="AT8" s="10">
        <v>8.6400000000000001E-7</v>
      </c>
      <c r="AU8" s="10">
        <v>2.5919999999999999E-6</v>
      </c>
      <c r="AV8" s="10">
        <v>2.5919999999999999E-6</v>
      </c>
      <c r="AW8" s="10">
        <v>2.5919999999999999E-6</v>
      </c>
      <c r="AX8" s="10">
        <v>2.5919999999999999E-6</v>
      </c>
      <c r="AY8" s="10">
        <v>2.5919999999999999E-6</v>
      </c>
      <c r="AZ8" s="10">
        <v>2.5919999999999999E-6</v>
      </c>
      <c r="BA8" s="10">
        <v>2.5919999999999999E-6</v>
      </c>
      <c r="BB8" s="10">
        <v>2.5919999999999999E-6</v>
      </c>
      <c r="BC8" s="10">
        <v>2.5919999999999999E-6</v>
      </c>
      <c r="BD8" s="10">
        <v>8.6400000000000003E-6</v>
      </c>
      <c r="BE8" s="10">
        <v>8.6400000000000003E-6</v>
      </c>
      <c r="BF8" s="10">
        <v>8.6400000000000003E-6</v>
      </c>
      <c r="BG8" s="10">
        <v>8.6400000000000003E-6</v>
      </c>
      <c r="BH8" s="10">
        <v>8.6400000000000003E-6</v>
      </c>
      <c r="BI8" s="10">
        <v>8.6400000000000003E-6</v>
      </c>
      <c r="BJ8" s="10">
        <v>8.6400000000000003E-6</v>
      </c>
      <c r="BK8" s="10">
        <v>8.6400000000000003E-6</v>
      </c>
      <c r="BL8" s="10">
        <v>8.6400000000000003E-6</v>
      </c>
      <c r="BM8" s="10">
        <v>2.5919999999999999E-5</v>
      </c>
      <c r="BN8" s="10">
        <v>2.5919999999999999E-5</v>
      </c>
      <c r="BO8" s="10">
        <v>2.5919999999999999E-5</v>
      </c>
      <c r="BP8" s="10">
        <v>2.5919999999999999E-5</v>
      </c>
      <c r="BQ8" s="10">
        <v>2.5919999999999999E-5</v>
      </c>
      <c r="BR8" s="10">
        <v>2.5919999999999999E-5</v>
      </c>
      <c r="BS8" s="10">
        <v>2.5919999999999999E-5</v>
      </c>
      <c r="BT8" s="10">
        <v>2.5919999999999999E-5</v>
      </c>
      <c r="BU8" s="10">
        <v>2.5919999999999999E-5</v>
      </c>
      <c r="BV8" s="10">
        <v>8.6399999999999999E-5</v>
      </c>
      <c r="BW8" s="10">
        <v>8.6399999999999999E-5</v>
      </c>
      <c r="BX8" s="10">
        <v>8.6399999999999999E-5</v>
      </c>
      <c r="BY8" s="10">
        <v>8.6399999999999999E-5</v>
      </c>
      <c r="BZ8" s="10">
        <v>8.6399999999999999E-5</v>
      </c>
      <c r="CA8" s="10">
        <v>8.6399999999999999E-5</v>
      </c>
      <c r="CB8" s="10">
        <v>8.6399999999999999E-5</v>
      </c>
      <c r="CC8" s="10">
        <v>8.6399999999999999E-5</v>
      </c>
      <c r="CD8" s="10">
        <v>8.6399999999999999E-5</v>
      </c>
      <c r="CE8" s="10">
        <v>2.5920000000000001E-4</v>
      </c>
      <c r="CF8" s="10">
        <v>2.5920000000000001E-4</v>
      </c>
      <c r="CG8" s="10">
        <v>2.5920000000000001E-4</v>
      </c>
      <c r="CH8" s="10">
        <v>2.5920000000000001E-4</v>
      </c>
      <c r="CI8" s="10">
        <v>2.5920000000000001E-4</v>
      </c>
      <c r="CJ8" s="10">
        <v>2.5920000000000001E-4</v>
      </c>
      <c r="CK8" s="10">
        <v>2.5920000000000001E-4</v>
      </c>
      <c r="CL8" s="10">
        <v>2.5920000000000001E-4</v>
      </c>
      <c r="CM8" s="10">
        <v>2.5920000000000001E-4</v>
      </c>
      <c r="CN8" s="10">
        <v>8.6399999999999997E-4</v>
      </c>
      <c r="CO8" s="10">
        <v>8.6399999999999997E-4</v>
      </c>
      <c r="CP8" s="10">
        <v>8.6399999999999997E-4</v>
      </c>
      <c r="CQ8" s="10">
        <v>8.6399999999999997E-4</v>
      </c>
      <c r="CR8" s="10">
        <v>8.6399999999999997E-4</v>
      </c>
      <c r="CS8" s="10">
        <v>8.6399999999999997E-4</v>
      </c>
      <c r="CT8" s="10">
        <v>8.6399999999999997E-4</v>
      </c>
      <c r="CU8" s="10">
        <v>8.6399999999999997E-4</v>
      </c>
      <c r="CV8" s="10">
        <v>8.6399999999999997E-4</v>
      </c>
      <c r="CW8" s="10">
        <v>2.5920000000000001E-3</v>
      </c>
      <c r="CX8" s="10">
        <v>2.5920000000000001E-3</v>
      </c>
      <c r="CY8" s="10">
        <v>2.5920000000000001E-3</v>
      </c>
      <c r="CZ8" s="10">
        <v>2.5920000000000001E-3</v>
      </c>
      <c r="DA8" s="10">
        <v>2.5920000000000001E-3</v>
      </c>
      <c r="DB8" s="10">
        <v>2.5920000000000001E-3</v>
      </c>
      <c r="DC8" s="10">
        <v>2.5920000000000001E-3</v>
      </c>
      <c r="DD8" s="10">
        <v>2.5920000000000001E-3</v>
      </c>
      <c r="DE8" s="10">
        <v>2.5920000000000001E-3</v>
      </c>
      <c r="DF8" s="10">
        <v>8.6400000000000001E-3</v>
      </c>
      <c r="DG8" s="10">
        <v>8.6400000000000001E-3</v>
      </c>
      <c r="DH8" s="10">
        <v>8.6400000000000001E-3</v>
      </c>
      <c r="DI8" s="10">
        <v>8.6400000000000001E-3</v>
      </c>
      <c r="DJ8" s="10">
        <v>8.6400000000000001E-3</v>
      </c>
      <c r="DK8" s="10">
        <v>8.6400000000000001E-3</v>
      </c>
      <c r="DL8" s="10">
        <v>8.6400000000000001E-3</v>
      </c>
      <c r="DM8" s="10">
        <v>8.6400000000000001E-3</v>
      </c>
      <c r="DN8" s="10">
        <v>8.6400000000000001E-3</v>
      </c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45">
      <c r="A9" s="8" t="s">
        <v>56</v>
      </c>
      <c r="B9" s="1">
        <v>8.6400000000000001E-3</v>
      </c>
      <c r="C9" s="1">
        <v>2.5919999999999999E-2</v>
      </c>
      <c r="D9" s="1">
        <v>8.6400000000000005E-2</v>
      </c>
      <c r="E9" s="1">
        <v>0.25919999999999999</v>
      </c>
      <c r="F9" s="1">
        <v>0.86399999999999999</v>
      </c>
      <c r="G9" s="1">
        <v>2.5920000000000001</v>
      </c>
      <c r="H9" s="1">
        <v>8.64</v>
      </c>
      <c r="I9" s="1">
        <v>25.92</v>
      </c>
      <c r="J9" s="1">
        <v>86.4</v>
      </c>
      <c r="K9" s="1">
        <v>8.6400000000000001E-3</v>
      </c>
      <c r="L9" s="1">
        <v>2.5919999999999999E-2</v>
      </c>
      <c r="M9" s="1">
        <v>8.6400000000000005E-2</v>
      </c>
      <c r="N9" s="1">
        <v>0.25919999999999999</v>
      </c>
      <c r="O9" s="1">
        <v>0.86399999999999999</v>
      </c>
      <c r="P9" s="1">
        <v>2.5920000000000001</v>
      </c>
      <c r="Q9" s="1">
        <v>8.64</v>
      </c>
      <c r="R9" s="1">
        <v>25.92</v>
      </c>
      <c r="S9" s="1">
        <v>86.4</v>
      </c>
      <c r="T9" s="1">
        <v>8.6400000000000001E-3</v>
      </c>
      <c r="U9" s="1">
        <v>2.5919999999999999E-2</v>
      </c>
      <c r="V9" s="1">
        <v>8.6400000000000005E-2</v>
      </c>
      <c r="W9" s="1">
        <v>0.25919999999999999</v>
      </c>
      <c r="X9" s="1">
        <v>0.86399999999999999</v>
      </c>
      <c r="Y9" s="1">
        <v>2.5920000000000001</v>
      </c>
      <c r="Z9" s="1">
        <v>8.64</v>
      </c>
      <c r="AA9" s="1">
        <v>25.92</v>
      </c>
      <c r="AB9" s="1">
        <v>86.4</v>
      </c>
      <c r="AC9" s="1">
        <v>8.6400000000000001E-3</v>
      </c>
      <c r="AD9" s="1">
        <v>2.5919999999999999E-2</v>
      </c>
      <c r="AE9" s="1">
        <v>8.6400000000000005E-2</v>
      </c>
      <c r="AF9" s="1">
        <v>0.25919999999999999</v>
      </c>
      <c r="AG9" s="1">
        <v>0.86399999999999999</v>
      </c>
      <c r="AH9" s="1">
        <v>2.5920000000000001</v>
      </c>
      <c r="AI9" s="1">
        <v>8.64</v>
      </c>
      <c r="AJ9" s="1">
        <v>25.92</v>
      </c>
      <c r="AK9" s="1">
        <v>86.4</v>
      </c>
      <c r="AL9" s="1">
        <v>8.6400000000000001E-3</v>
      </c>
      <c r="AM9" s="1">
        <v>2.5919999999999999E-2</v>
      </c>
      <c r="AN9" s="1">
        <v>8.6400000000000005E-2</v>
      </c>
      <c r="AO9" s="1">
        <v>0.25919999999999999</v>
      </c>
      <c r="AP9" s="1">
        <v>0.86399999999999999</v>
      </c>
      <c r="AQ9" s="1">
        <v>2.5920000000000001</v>
      </c>
      <c r="AR9" s="1">
        <v>8.64</v>
      </c>
      <c r="AS9" s="1">
        <v>25.92</v>
      </c>
      <c r="AT9" s="1">
        <v>86.4</v>
      </c>
      <c r="AU9" s="1">
        <v>8.6400000000000001E-3</v>
      </c>
      <c r="AV9" s="1">
        <v>2.5919999999999999E-2</v>
      </c>
      <c r="AW9" s="1">
        <v>8.6400000000000005E-2</v>
      </c>
      <c r="AX9" s="1">
        <v>0.25919999999999999</v>
      </c>
      <c r="AY9" s="1">
        <v>0.86399999999999999</v>
      </c>
      <c r="AZ9" s="1">
        <v>2.5920000000000001</v>
      </c>
      <c r="BA9" s="1">
        <v>8.64</v>
      </c>
      <c r="BB9" s="1">
        <v>25.92</v>
      </c>
      <c r="BC9" s="1">
        <v>86.4</v>
      </c>
      <c r="BD9" s="1">
        <v>8.6400000000000001E-3</v>
      </c>
      <c r="BE9" s="1">
        <v>2.5919999999999999E-2</v>
      </c>
      <c r="BF9" s="1">
        <v>8.6400000000000005E-2</v>
      </c>
      <c r="BG9" s="1">
        <v>0.25919999999999999</v>
      </c>
      <c r="BH9" s="1">
        <v>0.86399999999999999</v>
      </c>
      <c r="BI9" s="1">
        <v>2.5920000000000001</v>
      </c>
      <c r="BJ9" s="1">
        <v>8.64</v>
      </c>
      <c r="BK9" s="1">
        <v>25.92</v>
      </c>
      <c r="BL9" s="1">
        <v>86.4</v>
      </c>
      <c r="BM9" s="1">
        <v>8.6400000000000001E-3</v>
      </c>
      <c r="BN9" s="1">
        <v>2.5919999999999999E-2</v>
      </c>
      <c r="BO9" s="1">
        <v>8.6400000000000005E-2</v>
      </c>
      <c r="BP9" s="1">
        <v>0.25919999999999999</v>
      </c>
      <c r="BQ9" s="1">
        <v>0.86399999999999999</v>
      </c>
      <c r="BR9" s="1">
        <v>2.5920000000000001</v>
      </c>
      <c r="BS9" s="1">
        <v>8.64</v>
      </c>
      <c r="BT9" s="1">
        <v>25.92</v>
      </c>
      <c r="BU9" s="1">
        <v>86.4</v>
      </c>
      <c r="BV9" s="1">
        <v>8.6400000000000001E-3</v>
      </c>
      <c r="BW9" s="1">
        <v>2.5919999999999999E-2</v>
      </c>
      <c r="BX9" s="1">
        <v>8.6400000000000005E-2</v>
      </c>
      <c r="BY9" s="1">
        <v>0.25919999999999999</v>
      </c>
      <c r="BZ9" s="1">
        <v>0.86399999999999999</v>
      </c>
      <c r="CA9" s="1">
        <v>2.5920000000000001</v>
      </c>
      <c r="CB9" s="1">
        <v>8.64</v>
      </c>
      <c r="CC9" s="1">
        <v>25.92</v>
      </c>
      <c r="CD9" s="1">
        <v>86.4</v>
      </c>
      <c r="CE9" s="1">
        <v>8.6400000000000001E-3</v>
      </c>
      <c r="CF9" s="1">
        <v>2.5919999999999999E-2</v>
      </c>
      <c r="CG9" s="1">
        <v>8.6400000000000005E-2</v>
      </c>
      <c r="CH9" s="1">
        <v>0.25919999999999999</v>
      </c>
      <c r="CI9" s="1">
        <v>0.86399999999999999</v>
      </c>
      <c r="CJ9" s="1">
        <v>2.5920000000000001</v>
      </c>
      <c r="CK9" s="1">
        <v>8.64</v>
      </c>
      <c r="CL9" s="1">
        <v>25.92</v>
      </c>
      <c r="CM9" s="1">
        <v>86.4</v>
      </c>
      <c r="CN9" s="1">
        <v>8.6400000000000001E-3</v>
      </c>
      <c r="CO9" s="1">
        <v>2.5919999999999999E-2</v>
      </c>
      <c r="CP9" s="1">
        <v>8.6400000000000005E-2</v>
      </c>
      <c r="CQ9" s="1">
        <v>0.25919999999999999</v>
      </c>
      <c r="CR9" s="1">
        <v>0.86399999999999999</v>
      </c>
      <c r="CS9" s="1">
        <v>2.5920000000000001</v>
      </c>
      <c r="CT9" s="1">
        <v>8.64</v>
      </c>
      <c r="CU9" s="1">
        <v>25.92</v>
      </c>
      <c r="CV9" s="1">
        <v>86.4</v>
      </c>
      <c r="CW9" s="1">
        <v>8.6400000000000001E-3</v>
      </c>
      <c r="CX9" s="1">
        <v>2.5919999999999999E-2</v>
      </c>
      <c r="CY9" s="1">
        <v>8.6400000000000005E-2</v>
      </c>
      <c r="CZ9" s="1">
        <v>0.25919999999999999</v>
      </c>
      <c r="DA9" s="1">
        <v>0.86399999999999999</v>
      </c>
      <c r="DB9" s="1">
        <v>2.5920000000000001</v>
      </c>
      <c r="DC9" s="1">
        <v>8.64</v>
      </c>
      <c r="DD9" s="1">
        <v>25.92</v>
      </c>
      <c r="DE9" s="1">
        <v>86.4</v>
      </c>
      <c r="DF9" s="1">
        <v>8.6400000000000001E-3</v>
      </c>
      <c r="DG9" s="1">
        <v>2.5919999999999999E-2</v>
      </c>
      <c r="DH9" s="1">
        <v>8.6400000000000005E-2</v>
      </c>
      <c r="DI9" s="1">
        <v>0.25919999999999999</v>
      </c>
      <c r="DJ9" s="1">
        <v>0.86399999999999999</v>
      </c>
      <c r="DK9" s="1">
        <v>2.5920000000000001</v>
      </c>
      <c r="DL9" s="1">
        <v>8.64</v>
      </c>
      <c r="DM9" s="1">
        <v>25.92</v>
      </c>
      <c r="DN9" s="1">
        <v>86.4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45">
      <c r="A10" s="9" t="s">
        <v>57</v>
      </c>
      <c r="B10" s="10">
        <v>8.6399999999999999E-9</v>
      </c>
      <c r="C10" s="10">
        <v>8.6399999999999999E-9</v>
      </c>
      <c r="D10" s="10">
        <v>8.6399999999999999E-9</v>
      </c>
      <c r="E10" s="10">
        <v>8.6399999999999999E-9</v>
      </c>
      <c r="F10" s="10">
        <v>8.6399999999999999E-9</v>
      </c>
      <c r="G10" s="10">
        <v>8.6399999999999999E-9</v>
      </c>
      <c r="H10" s="10">
        <v>8.6399999999999999E-9</v>
      </c>
      <c r="I10" s="10">
        <v>8.6399999999999999E-9</v>
      </c>
      <c r="J10" s="10">
        <v>8.6399999999999999E-9</v>
      </c>
      <c r="K10" s="10">
        <v>2.592E-8</v>
      </c>
      <c r="L10" s="10">
        <v>2.592E-8</v>
      </c>
      <c r="M10" s="10">
        <v>2.592E-8</v>
      </c>
      <c r="N10" s="10">
        <v>2.592E-8</v>
      </c>
      <c r="O10" s="10">
        <v>2.592E-8</v>
      </c>
      <c r="P10" s="10">
        <v>2.592E-8</v>
      </c>
      <c r="Q10" s="10">
        <v>2.592E-8</v>
      </c>
      <c r="R10" s="10">
        <v>2.592E-8</v>
      </c>
      <c r="S10" s="10">
        <v>2.592E-8</v>
      </c>
      <c r="T10" s="10">
        <v>8.6400000000000006E-8</v>
      </c>
      <c r="U10" s="10">
        <v>8.6400000000000006E-8</v>
      </c>
      <c r="V10" s="10">
        <v>8.6400000000000006E-8</v>
      </c>
      <c r="W10" s="10">
        <v>8.6400000000000006E-8</v>
      </c>
      <c r="X10" s="10">
        <v>8.6400000000000006E-8</v>
      </c>
      <c r="Y10" s="10">
        <v>8.6400000000000006E-8</v>
      </c>
      <c r="Z10" s="10">
        <v>8.6400000000000006E-8</v>
      </c>
      <c r="AA10" s="10">
        <v>8.6400000000000006E-8</v>
      </c>
      <c r="AB10" s="10">
        <v>8.6400000000000006E-8</v>
      </c>
      <c r="AC10" s="10">
        <v>2.5919999999999999E-7</v>
      </c>
      <c r="AD10" s="10">
        <v>2.5919999999999999E-7</v>
      </c>
      <c r="AE10" s="10">
        <v>2.5919999999999999E-7</v>
      </c>
      <c r="AF10" s="10">
        <v>2.5919999999999999E-7</v>
      </c>
      <c r="AG10" s="10">
        <v>2.5919999999999999E-7</v>
      </c>
      <c r="AH10" s="10">
        <v>2.5919999999999999E-7</v>
      </c>
      <c r="AI10" s="10">
        <v>2.5919999999999999E-7</v>
      </c>
      <c r="AJ10" s="10">
        <v>2.5919999999999999E-7</v>
      </c>
      <c r="AK10" s="10">
        <v>2.5919999999999999E-7</v>
      </c>
      <c r="AL10" s="10">
        <v>8.6400000000000001E-7</v>
      </c>
      <c r="AM10" s="10">
        <v>8.6400000000000001E-7</v>
      </c>
      <c r="AN10" s="10">
        <v>8.6400000000000001E-7</v>
      </c>
      <c r="AO10" s="10">
        <v>8.6400000000000001E-7</v>
      </c>
      <c r="AP10" s="10">
        <v>8.6400000000000001E-7</v>
      </c>
      <c r="AQ10" s="10">
        <v>8.6400000000000001E-7</v>
      </c>
      <c r="AR10" s="10">
        <v>8.6400000000000001E-7</v>
      </c>
      <c r="AS10" s="10">
        <v>8.6400000000000001E-7</v>
      </c>
      <c r="AT10" s="10">
        <v>8.6400000000000001E-7</v>
      </c>
      <c r="AU10" s="10">
        <v>2.5919999999999999E-6</v>
      </c>
      <c r="AV10" s="10">
        <v>2.5919999999999999E-6</v>
      </c>
      <c r="AW10" s="10">
        <v>2.5919999999999999E-6</v>
      </c>
      <c r="AX10" s="10">
        <v>2.5919999999999999E-6</v>
      </c>
      <c r="AY10" s="10">
        <v>2.5919999999999999E-6</v>
      </c>
      <c r="AZ10" s="10">
        <v>2.5919999999999999E-6</v>
      </c>
      <c r="BA10" s="10">
        <v>2.5919999999999999E-6</v>
      </c>
      <c r="BB10" s="10">
        <v>2.5919999999999999E-6</v>
      </c>
      <c r="BC10" s="10">
        <v>2.5919999999999999E-6</v>
      </c>
      <c r="BD10" s="10">
        <v>8.6400000000000003E-6</v>
      </c>
      <c r="BE10" s="10">
        <v>8.6400000000000003E-6</v>
      </c>
      <c r="BF10" s="10">
        <v>8.6400000000000003E-6</v>
      </c>
      <c r="BG10" s="10">
        <v>8.6400000000000003E-6</v>
      </c>
      <c r="BH10" s="10">
        <v>8.6400000000000003E-6</v>
      </c>
      <c r="BI10" s="10">
        <v>8.6400000000000003E-6</v>
      </c>
      <c r="BJ10" s="10">
        <v>8.6400000000000003E-6</v>
      </c>
      <c r="BK10" s="10">
        <v>8.6400000000000003E-6</v>
      </c>
      <c r="BL10" s="10">
        <v>8.6400000000000003E-6</v>
      </c>
      <c r="BM10" s="10">
        <v>2.5919999999999999E-5</v>
      </c>
      <c r="BN10" s="10">
        <v>2.5919999999999999E-5</v>
      </c>
      <c r="BO10" s="10">
        <v>2.5919999999999999E-5</v>
      </c>
      <c r="BP10" s="10">
        <v>2.5919999999999999E-5</v>
      </c>
      <c r="BQ10" s="10">
        <v>2.5919999999999999E-5</v>
      </c>
      <c r="BR10" s="10">
        <v>2.5919999999999999E-5</v>
      </c>
      <c r="BS10" s="10">
        <v>2.5919999999999999E-5</v>
      </c>
      <c r="BT10" s="10">
        <v>2.5919999999999999E-5</v>
      </c>
      <c r="BU10" s="10">
        <v>2.5919999999999999E-5</v>
      </c>
      <c r="BV10" s="10">
        <v>8.6399999999999999E-5</v>
      </c>
      <c r="BW10" s="10">
        <v>8.6399999999999999E-5</v>
      </c>
      <c r="BX10" s="10">
        <v>8.6399999999999999E-5</v>
      </c>
      <c r="BY10" s="10">
        <v>8.6399999999999999E-5</v>
      </c>
      <c r="BZ10" s="10">
        <v>8.6399999999999999E-5</v>
      </c>
      <c r="CA10" s="10">
        <v>8.6399999999999999E-5</v>
      </c>
      <c r="CB10" s="10">
        <v>8.6399999999999999E-5</v>
      </c>
      <c r="CC10" s="10">
        <v>8.6399999999999999E-5</v>
      </c>
      <c r="CD10" s="10">
        <v>8.6399999999999999E-5</v>
      </c>
      <c r="CE10" s="10">
        <v>2.5920000000000001E-4</v>
      </c>
      <c r="CF10" s="10">
        <v>2.5920000000000001E-4</v>
      </c>
      <c r="CG10" s="10">
        <v>2.5920000000000001E-4</v>
      </c>
      <c r="CH10" s="10">
        <v>2.5920000000000001E-4</v>
      </c>
      <c r="CI10" s="10">
        <v>2.5920000000000001E-4</v>
      </c>
      <c r="CJ10" s="10">
        <v>2.5920000000000001E-4</v>
      </c>
      <c r="CK10" s="10">
        <v>2.5920000000000001E-4</v>
      </c>
      <c r="CL10" s="10">
        <v>2.5920000000000001E-4</v>
      </c>
      <c r="CM10" s="10">
        <v>2.5920000000000001E-4</v>
      </c>
      <c r="CN10" s="10">
        <v>8.6399999999999997E-4</v>
      </c>
      <c r="CO10" s="10">
        <v>8.6399999999999997E-4</v>
      </c>
      <c r="CP10" s="10">
        <v>8.6399999999999997E-4</v>
      </c>
      <c r="CQ10" s="10">
        <v>8.6399999999999997E-4</v>
      </c>
      <c r="CR10" s="10">
        <v>8.6399999999999997E-4</v>
      </c>
      <c r="CS10" s="10">
        <v>8.6399999999999997E-4</v>
      </c>
      <c r="CT10" s="10">
        <v>8.6399999999999997E-4</v>
      </c>
      <c r="CU10" s="10">
        <v>8.6399999999999997E-4</v>
      </c>
      <c r="CV10" s="10">
        <v>8.6399999999999997E-4</v>
      </c>
      <c r="CW10" s="10">
        <v>2.5920000000000001E-3</v>
      </c>
      <c r="CX10" s="10">
        <v>2.5920000000000001E-3</v>
      </c>
      <c r="CY10" s="10">
        <v>2.5920000000000001E-3</v>
      </c>
      <c r="CZ10" s="10">
        <v>2.5920000000000001E-3</v>
      </c>
      <c r="DA10" s="10">
        <v>2.5920000000000001E-3</v>
      </c>
      <c r="DB10" s="10">
        <v>2.5920000000000001E-3</v>
      </c>
      <c r="DC10" s="10">
        <v>2.5920000000000001E-3</v>
      </c>
      <c r="DD10" s="10">
        <v>2.5920000000000001E-3</v>
      </c>
      <c r="DE10" s="10">
        <v>2.5920000000000001E-3</v>
      </c>
      <c r="DF10" s="10">
        <v>8.6400000000000001E-3</v>
      </c>
      <c r="DG10" s="10">
        <v>8.6400000000000001E-3</v>
      </c>
      <c r="DH10" s="10">
        <v>8.6400000000000001E-3</v>
      </c>
      <c r="DI10" s="10">
        <v>8.6400000000000001E-3</v>
      </c>
      <c r="DJ10" s="10">
        <v>8.6400000000000001E-3</v>
      </c>
      <c r="DK10" s="10">
        <v>8.6400000000000001E-3</v>
      </c>
      <c r="DL10" s="10">
        <v>8.6400000000000001E-3</v>
      </c>
      <c r="DM10" s="10">
        <v>8.6400000000000001E-3</v>
      </c>
      <c r="DN10" s="10">
        <v>8.6400000000000001E-3</v>
      </c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45">
      <c r="A11" s="8" t="s">
        <v>58</v>
      </c>
      <c r="B11" s="1">
        <v>8.6400000000000001E-3</v>
      </c>
      <c r="C11" s="1">
        <v>2.5919999999999999E-2</v>
      </c>
      <c r="D11" s="1">
        <v>8.6400000000000005E-2</v>
      </c>
      <c r="E11" s="1">
        <v>0.25919999999999999</v>
      </c>
      <c r="F11" s="1">
        <v>0.86399999999999999</v>
      </c>
      <c r="G11" s="1">
        <v>2.5920000000000001</v>
      </c>
      <c r="H11" s="1">
        <v>8.64</v>
      </c>
      <c r="I11" s="1">
        <v>25.92</v>
      </c>
      <c r="J11" s="1">
        <v>86.4</v>
      </c>
      <c r="K11" s="1">
        <v>8.6400000000000001E-3</v>
      </c>
      <c r="L11" s="1">
        <v>2.5919999999999999E-2</v>
      </c>
      <c r="M11" s="1">
        <v>8.6400000000000005E-2</v>
      </c>
      <c r="N11" s="1">
        <v>0.25919999999999999</v>
      </c>
      <c r="O11" s="1">
        <v>0.86399999999999999</v>
      </c>
      <c r="P11" s="1">
        <v>2.5920000000000001</v>
      </c>
      <c r="Q11" s="1">
        <v>8.64</v>
      </c>
      <c r="R11" s="1">
        <v>25.92</v>
      </c>
      <c r="S11" s="1">
        <v>86.4</v>
      </c>
      <c r="T11" s="1">
        <v>8.6400000000000001E-3</v>
      </c>
      <c r="U11" s="1">
        <v>2.5919999999999999E-2</v>
      </c>
      <c r="V11" s="1">
        <v>8.6400000000000005E-2</v>
      </c>
      <c r="W11" s="1">
        <v>0.25919999999999999</v>
      </c>
      <c r="X11" s="1">
        <v>0.86399999999999999</v>
      </c>
      <c r="Y11" s="1">
        <v>2.5920000000000001</v>
      </c>
      <c r="Z11" s="1">
        <v>8.64</v>
      </c>
      <c r="AA11" s="1">
        <v>25.92</v>
      </c>
      <c r="AB11" s="1">
        <v>86.4</v>
      </c>
      <c r="AC11" s="1">
        <v>8.6400000000000001E-3</v>
      </c>
      <c r="AD11" s="1">
        <v>2.5919999999999999E-2</v>
      </c>
      <c r="AE11" s="1">
        <v>8.6400000000000005E-2</v>
      </c>
      <c r="AF11" s="1">
        <v>0.25919999999999999</v>
      </c>
      <c r="AG11" s="1">
        <v>0.86399999999999999</v>
      </c>
      <c r="AH11" s="1">
        <v>2.5920000000000001</v>
      </c>
      <c r="AI11" s="1">
        <v>8.64</v>
      </c>
      <c r="AJ11" s="1">
        <v>25.92</v>
      </c>
      <c r="AK11" s="1">
        <v>86.4</v>
      </c>
      <c r="AL11" s="1">
        <v>8.6400000000000001E-3</v>
      </c>
      <c r="AM11" s="1">
        <v>2.5919999999999999E-2</v>
      </c>
      <c r="AN11" s="1">
        <v>8.6400000000000005E-2</v>
      </c>
      <c r="AO11" s="1">
        <v>0.25919999999999999</v>
      </c>
      <c r="AP11" s="1">
        <v>0.86399999999999999</v>
      </c>
      <c r="AQ11" s="1">
        <v>2.5920000000000001</v>
      </c>
      <c r="AR11" s="1">
        <v>8.64</v>
      </c>
      <c r="AS11" s="1">
        <v>25.92</v>
      </c>
      <c r="AT11" s="1">
        <v>86.4</v>
      </c>
      <c r="AU11" s="1">
        <v>8.6400000000000001E-3</v>
      </c>
      <c r="AV11" s="1">
        <v>2.5919999999999999E-2</v>
      </c>
      <c r="AW11" s="1">
        <v>8.6400000000000005E-2</v>
      </c>
      <c r="AX11" s="1">
        <v>0.25919999999999999</v>
      </c>
      <c r="AY11" s="1">
        <v>0.86399999999999999</v>
      </c>
      <c r="AZ11" s="1">
        <v>2.5920000000000001</v>
      </c>
      <c r="BA11" s="1">
        <v>8.64</v>
      </c>
      <c r="BB11" s="1">
        <v>25.92</v>
      </c>
      <c r="BC11" s="1">
        <v>86.4</v>
      </c>
      <c r="BD11" s="1">
        <v>8.6400000000000001E-3</v>
      </c>
      <c r="BE11" s="1">
        <v>2.5919999999999999E-2</v>
      </c>
      <c r="BF11" s="1">
        <v>8.6400000000000005E-2</v>
      </c>
      <c r="BG11" s="1">
        <v>0.25919999999999999</v>
      </c>
      <c r="BH11" s="1">
        <v>0.86399999999999999</v>
      </c>
      <c r="BI11" s="1">
        <v>2.5920000000000001</v>
      </c>
      <c r="BJ11" s="1">
        <v>8.64</v>
      </c>
      <c r="BK11" s="1">
        <v>25.92</v>
      </c>
      <c r="BL11" s="1">
        <v>86.4</v>
      </c>
      <c r="BM11" s="1">
        <v>8.6400000000000001E-3</v>
      </c>
      <c r="BN11" s="1">
        <v>2.5919999999999999E-2</v>
      </c>
      <c r="BO11" s="1">
        <v>8.6400000000000005E-2</v>
      </c>
      <c r="BP11" s="1">
        <v>0.25919999999999999</v>
      </c>
      <c r="BQ11" s="1">
        <v>0.86399999999999999</v>
      </c>
      <c r="BR11" s="1">
        <v>2.5920000000000001</v>
      </c>
      <c r="BS11" s="1">
        <v>8.64</v>
      </c>
      <c r="BT11" s="1">
        <v>25.92</v>
      </c>
      <c r="BU11" s="1">
        <v>86.4</v>
      </c>
      <c r="BV11" s="1">
        <v>8.6400000000000001E-3</v>
      </c>
      <c r="BW11" s="1">
        <v>2.5919999999999999E-2</v>
      </c>
      <c r="BX11" s="1">
        <v>8.6400000000000005E-2</v>
      </c>
      <c r="BY11" s="1">
        <v>0.25919999999999999</v>
      </c>
      <c r="BZ11" s="1">
        <v>0.86399999999999999</v>
      </c>
      <c r="CA11" s="1">
        <v>2.5920000000000001</v>
      </c>
      <c r="CB11" s="1">
        <v>8.64</v>
      </c>
      <c r="CC11" s="1">
        <v>25.92</v>
      </c>
      <c r="CD11" s="1">
        <v>86.4</v>
      </c>
      <c r="CE11" s="1">
        <v>8.6400000000000001E-3</v>
      </c>
      <c r="CF11" s="1">
        <v>2.5919999999999999E-2</v>
      </c>
      <c r="CG11" s="1">
        <v>8.6400000000000005E-2</v>
      </c>
      <c r="CH11" s="1">
        <v>0.25919999999999999</v>
      </c>
      <c r="CI11" s="1">
        <v>0.86399999999999999</v>
      </c>
      <c r="CJ11" s="1">
        <v>2.5920000000000001</v>
      </c>
      <c r="CK11" s="1">
        <v>8.64</v>
      </c>
      <c r="CL11" s="1">
        <v>25.92</v>
      </c>
      <c r="CM11" s="1">
        <v>86.4</v>
      </c>
      <c r="CN11" s="1">
        <v>8.6400000000000001E-3</v>
      </c>
      <c r="CO11" s="1">
        <v>2.5919999999999999E-2</v>
      </c>
      <c r="CP11" s="1">
        <v>8.6400000000000005E-2</v>
      </c>
      <c r="CQ11" s="1">
        <v>0.25919999999999999</v>
      </c>
      <c r="CR11" s="1">
        <v>0.86399999999999999</v>
      </c>
      <c r="CS11" s="1">
        <v>2.5920000000000001</v>
      </c>
      <c r="CT11" s="1">
        <v>8.64</v>
      </c>
      <c r="CU11" s="1">
        <v>25.92</v>
      </c>
      <c r="CV11" s="1">
        <v>86.4</v>
      </c>
      <c r="CW11" s="1">
        <v>8.6400000000000001E-3</v>
      </c>
      <c r="CX11" s="1">
        <v>2.5919999999999999E-2</v>
      </c>
      <c r="CY11" s="1">
        <v>8.6400000000000005E-2</v>
      </c>
      <c r="CZ11" s="1">
        <v>0.25919999999999999</v>
      </c>
      <c r="DA11" s="1">
        <v>0.86399999999999999</v>
      </c>
      <c r="DB11" s="1">
        <v>2.5920000000000001</v>
      </c>
      <c r="DC11" s="1">
        <v>8.64</v>
      </c>
      <c r="DD11" s="1">
        <v>25.92</v>
      </c>
      <c r="DE11" s="1">
        <v>86.4</v>
      </c>
      <c r="DF11" s="1">
        <v>8.6400000000000001E-3</v>
      </c>
      <c r="DG11" s="1">
        <v>2.5919999999999999E-2</v>
      </c>
      <c r="DH11" s="1">
        <v>8.6400000000000005E-2</v>
      </c>
      <c r="DI11" s="1">
        <v>0.25919999999999999</v>
      </c>
      <c r="DJ11" s="1">
        <v>0.86399999999999999</v>
      </c>
      <c r="DK11" s="1">
        <v>2.5920000000000001</v>
      </c>
      <c r="DL11" s="1">
        <v>8.64</v>
      </c>
      <c r="DM11" s="1">
        <v>25.92</v>
      </c>
      <c r="DN11" s="1">
        <v>86.4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3" spans="1:15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5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5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5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 spans="2:136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</row>
    <row r="18" spans="2:136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 spans="2:1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 spans="2:1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 spans="2:136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 spans="2:136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 spans="2:13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2:13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spans="2:136" x14ac:dyDescent="0.45">
      <c r="B25" s="1"/>
      <c r="C25" s="1"/>
      <c r="D25" s="1"/>
      <c r="E25" s="1"/>
      <c r="F25" s="1"/>
      <c r="G25" s="1"/>
      <c r="H25" s="1"/>
      <c r="I25" s="1"/>
      <c r="J25" s="1"/>
    </row>
    <row r="26" spans="2:136" x14ac:dyDescent="0.45">
      <c r="B26" s="1"/>
      <c r="C26" s="1"/>
      <c r="D26" s="1"/>
      <c r="E26" s="1"/>
      <c r="F26" s="1"/>
      <c r="G26" s="1"/>
      <c r="H26" s="1"/>
      <c r="I26" s="1"/>
      <c r="J26" s="1"/>
    </row>
    <row r="27" spans="2:136" x14ac:dyDescent="0.45">
      <c r="B27" s="1"/>
      <c r="C27" s="1"/>
      <c r="D27" s="1"/>
      <c r="E27" s="1"/>
      <c r="F27" s="1"/>
      <c r="G27" s="1"/>
      <c r="H27" s="1"/>
      <c r="I27" s="1"/>
      <c r="J27" s="1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F364"/>
  <sheetViews>
    <sheetView topLeftCell="A63" zoomScale="50" zoomScaleNormal="50" workbookViewId="0">
      <selection activeCell="O128" sqref="O128"/>
    </sheetView>
  </sheetViews>
  <sheetFormatPr baseColWidth="10" defaultRowHeight="14.25" x14ac:dyDescent="0.45"/>
  <cols>
    <col min="1" max="1" width="15.46484375" style="4" bestFit="1" customWidth="1"/>
    <col min="45" max="45" width="10.9296875" style="4" customWidth="1"/>
    <col min="47" max="47" width="10.9296875" style="4" customWidth="1"/>
    <col min="56" max="56" width="10.9296875" style="4" customWidth="1"/>
    <col min="58" max="58" width="10.9296875" style="4" customWidth="1"/>
  </cols>
  <sheetData>
    <row r="1" spans="1:188" x14ac:dyDescent="0.45">
      <c r="A1" t="s">
        <v>535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356</v>
      </c>
      <c r="S1">
        <v>0</v>
      </c>
      <c r="U1" t="s">
        <v>535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356</v>
      </c>
      <c r="AK1">
        <v>0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  <c r="BV1" t="s">
        <v>420</v>
      </c>
      <c r="BW1" t="s">
        <v>421</v>
      </c>
      <c r="BX1" t="s">
        <v>422</v>
      </c>
      <c r="BY1" t="s">
        <v>423</v>
      </c>
      <c r="BZ1" t="s">
        <v>424</v>
      </c>
      <c r="CA1" t="s">
        <v>425</v>
      </c>
      <c r="CB1" t="s">
        <v>426</v>
      </c>
      <c r="CC1" t="s">
        <v>427</v>
      </c>
      <c r="CD1" t="s">
        <v>428</v>
      </c>
      <c r="CE1" t="s">
        <v>429</v>
      </c>
      <c r="CF1" t="s">
        <v>430</v>
      </c>
      <c r="CG1" t="s">
        <v>431</v>
      </c>
      <c r="CH1" t="s">
        <v>432</v>
      </c>
      <c r="CI1" t="s">
        <v>433</v>
      </c>
      <c r="CJ1" t="s">
        <v>434</v>
      </c>
      <c r="CK1" t="s">
        <v>435</v>
      </c>
      <c r="CL1" t="s">
        <v>436</v>
      </c>
      <c r="CM1" t="s">
        <v>437</v>
      </c>
      <c r="CN1" t="s">
        <v>438</v>
      </c>
      <c r="CO1" t="s">
        <v>439</v>
      </c>
      <c r="CP1" t="s">
        <v>440</v>
      </c>
      <c r="CQ1" t="s">
        <v>441</v>
      </c>
      <c r="CR1" t="s">
        <v>442</v>
      </c>
      <c r="CS1" t="s">
        <v>443</v>
      </c>
      <c r="CT1" t="s">
        <v>444</v>
      </c>
      <c r="CU1" t="s">
        <v>445</v>
      </c>
      <c r="CV1" t="s">
        <v>446</v>
      </c>
      <c r="CW1" t="s">
        <v>447</v>
      </c>
      <c r="CX1" t="s">
        <v>448</v>
      </c>
      <c r="CY1" t="s">
        <v>449</v>
      </c>
      <c r="CZ1" t="s">
        <v>450</v>
      </c>
      <c r="DA1" t="s">
        <v>451</v>
      </c>
      <c r="DB1" t="s">
        <v>452</v>
      </c>
      <c r="DC1" t="s">
        <v>453</v>
      </c>
      <c r="DD1" t="s">
        <v>454</v>
      </c>
      <c r="DE1" t="s">
        <v>455</v>
      </c>
      <c r="DF1" t="s">
        <v>456</v>
      </c>
      <c r="DG1" t="s">
        <v>457</v>
      </c>
      <c r="DH1" t="s">
        <v>458</v>
      </c>
      <c r="DI1" t="s">
        <v>459</v>
      </c>
      <c r="DJ1" t="s">
        <v>460</v>
      </c>
      <c r="DK1" t="s">
        <v>461</v>
      </c>
      <c r="DL1" t="s">
        <v>462</v>
      </c>
      <c r="DM1" t="s">
        <v>463</v>
      </c>
      <c r="DN1" t="s">
        <v>464</v>
      </c>
      <c r="DO1" t="s">
        <v>465</v>
      </c>
      <c r="DP1" t="s">
        <v>466</v>
      </c>
      <c r="DQ1" t="s">
        <v>467</v>
      </c>
      <c r="DR1" t="s">
        <v>468</v>
      </c>
      <c r="DS1" t="s">
        <v>469</v>
      </c>
      <c r="DT1" t="s">
        <v>470</v>
      </c>
      <c r="DU1" t="s">
        <v>471</v>
      </c>
      <c r="DV1" t="s">
        <v>472</v>
      </c>
      <c r="DW1" t="s">
        <v>473</v>
      </c>
      <c r="DX1" t="s">
        <v>474</v>
      </c>
      <c r="DY1" t="s">
        <v>475</v>
      </c>
      <c r="DZ1" t="s">
        <v>476</v>
      </c>
      <c r="EA1" t="s">
        <v>477</v>
      </c>
      <c r="EB1" t="s">
        <v>478</v>
      </c>
      <c r="EC1" t="s">
        <v>479</v>
      </c>
      <c r="ED1" t="s">
        <v>480</v>
      </c>
      <c r="EE1" t="s">
        <v>481</v>
      </c>
      <c r="EF1" t="s">
        <v>482</v>
      </c>
      <c r="EG1" t="s">
        <v>483</v>
      </c>
      <c r="EH1" t="s">
        <v>484</v>
      </c>
      <c r="EI1" t="s">
        <v>485</v>
      </c>
      <c r="EJ1" t="s">
        <v>486</v>
      </c>
      <c r="EK1" t="s">
        <v>487</v>
      </c>
      <c r="EL1" t="s">
        <v>488</v>
      </c>
      <c r="EM1" t="s">
        <v>489</v>
      </c>
      <c r="EN1" t="s">
        <v>490</v>
      </c>
      <c r="EO1" t="s">
        <v>491</v>
      </c>
      <c r="EP1" t="s">
        <v>492</v>
      </c>
      <c r="EQ1" t="s">
        <v>493</v>
      </c>
      <c r="ER1" t="s">
        <v>494</v>
      </c>
      <c r="ES1" t="s">
        <v>495</v>
      </c>
      <c r="ET1" t="s">
        <v>496</v>
      </c>
      <c r="EU1" t="s">
        <v>497</v>
      </c>
      <c r="EV1" t="s">
        <v>498</v>
      </c>
      <c r="EW1" t="s">
        <v>499</v>
      </c>
      <c r="EX1" t="s">
        <v>500</v>
      </c>
      <c r="EY1" t="s">
        <v>501</v>
      </c>
      <c r="EZ1" t="s">
        <v>502</v>
      </c>
      <c r="FA1" t="s">
        <v>503</v>
      </c>
      <c r="FB1" t="s">
        <v>504</v>
      </c>
      <c r="FC1" t="s">
        <v>505</v>
      </c>
      <c r="FD1" t="s">
        <v>506</v>
      </c>
      <c r="FE1" t="s">
        <v>507</v>
      </c>
      <c r="FF1" t="s">
        <v>508</v>
      </c>
      <c r="FG1" t="s">
        <v>509</v>
      </c>
      <c r="FH1" t="s">
        <v>510</v>
      </c>
      <c r="FI1" t="s">
        <v>511</v>
      </c>
      <c r="FJ1" t="s">
        <v>512</v>
      </c>
      <c r="FK1" t="s">
        <v>513</v>
      </c>
      <c r="FL1" t="s">
        <v>514</v>
      </c>
      <c r="FM1" t="s">
        <v>515</v>
      </c>
      <c r="FN1" t="s">
        <v>516</v>
      </c>
      <c r="FO1" t="s">
        <v>517</v>
      </c>
      <c r="FP1" t="s">
        <v>518</v>
      </c>
      <c r="FQ1" t="s">
        <v>519</v>
      </c>
      <c r="FR1" t="s">
        <v>520</v>
      </c>
      <c r="FS1" t="s">
        <v>521</v>
      </c>
      <c r="FT1" t="s">
        <v>522</v>
      </c>
      <c r="FU1" t="s">
        <v>523</v>
      </c>
      <c r="FV1" t="s">
        <v>524</v>
      </c>
      <c r="FW1" t="s">
        <v>525</v>
      </c>
      <c r="FX1" t="s">
        <v>526</v>
      </c>
      <c r="FY1" t="s">
        <v>527</v>
      </c>
      <c r="FZ1" t="s">
        <v>528</v>
      </c>
      <c r="GA1" t="s">
        <v>529</v>
      </c>
      <c r="GB1" t="s">
        <v>530</v>
      </c>
      <c r="GC1" t="s">
        <v>531</v>
      </c>
      <c r="GD1" t="s">
        <v>532</v>
      </c>
      <c r="GE1" t="s">
        <v>533</v>
      </c>
      <c r="GF1" t="s">
        <v>534</v>
      </c>
    </row>
    <row r="2" spans="1:188" x14ac:dyDescent="0.45">
      <c r="A2" t="s">
        <v>536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356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356</v>
      </c>
      <c r="AK2">
        <v>27000</v>
      </c>
      <c r="AM2" s="1">
        <v>8.6400000000000001E-3</v>
      </c>
      <c r="AN2" s="1">
        <v>2.5919999999999999E-2</v>
      </c>
      <c r="AO2" s="1">
        <v>8.6400000000000005E-2</v>
      </c>
      <c r="AP2" s="1">
        <v>0.25919999999999999</v>
      </c>
      <c r="AQ2" s="1">
        <v>0.86399999999999999</v>
      </c>
      <c r="AR2" s="1">
        <v>2.5920000000000001</v>
      </c>
      <c r="AS2" s="1">
        <v>8.64</v>
      </c>
      <c r="AT2" s="1">
        <v>25.92</v>
      </c>
      <c r="AU2" s="1">
        <v>86.4</v>
      </c>
      <c r="AV2" s="1">
        <v>8.6400000000000001E-3</v>
      </c>
      <c r="AW2" s="1">
        <v>2.5919999999999999E-2</v>
      </c>
      <c r="AX2" s="1">
        <v>8.6400000000000005E-2</v>
      </c>
      <c r="AY2" s="1">
        <v>0.25919999999999999</v>
      </c>
      <c r="AZ2" s="1">
        <v>0.86399999999999999</v>
      </c>
      <c r="BA2" s="1">
        <v>2.5920000000000001</v>
      </c>
      <c r="BB2" s="1">
        <v>8.64</v>
      </c>
      <c r="BC2" s="1">
        <v>25.92</v>
      </c>
      <c r="BD2" s="1">
        <v>86.4</v>
      </c>
      <c r="BE2" s="1">
        <v>8.6400000000000001E-3</v>
      </c>
      <c r="BF2" s="1">
        <v>2.5919999999999999E-2</v>
      </c>
      <c r="BG2" s="1">
        <v>8.6400000000000005E-2</v>
      </c>
      <c r="BH2" s="1">
        <v>0.25919999999999999</v>
      </c>
      <c r="BI2" s="1">
        <v>0.86399999999999999</v>
      </c>
      <c r="BJ2" s="1">
        <v>2.5920000000000001</v>
      </c>
      <c r="BK2" s="1">
        <v>8.64</v>
      </c>
      <c r="BL2" s="1">
        <v>25.92</v>
      </c>
      <c r="BM2" s="1">
        <v>86.4</v>
      </c>
      <c r="BN2" s="1">
        <v>8.6400000000000001E-3</v>
      </c>
      <c r="BO2" s="1">
        <v>2.5919999999999999E-2</v>
      </c>
      <c r="BP2" s="1">
        <v>8.6400000000000005E-2</v>
      </c>
      <c r="BQ2" s="1">
        <v>0.25919999999999999</v>
      </c>
      <c r="BR2" s="1">
        <v>0.86399999999999999</v>
      </c>
      <c r="BS2" s="1">
        <v>2.5920000000000001</v>
      </c>
      <c r="BT2" s="1">
        <v>8.64</v>
      </c>
      <c r="BU2" s="1">
        <v>25.92</v>
      </c>
      <c r="BV2" s="1">
        <v>86.4</v>
      </c>
      <c r="BW2" s="1">
        <v>8.6400000000000001E-3</v>
      </c>
      <c r="BX2" s="1">
        <v>2.5919999999999999E-2</v>
      </c>
      <c r="BY2" s="1">
        <v>8.6400000000000005E-2</v>
      </c>
      <c r="BZ2" s="1">
        <v>0.25919999999999999</v>
      </c>
      <c r="CA2" s="1">
        <v>0.86399999999999999</v>
      </c>
      <c r="CB2" s="1">
        <v>2.5920000000000001</v>
      </c>
      <c r="CC2" s="1">
        <v>8.64</v>
      </c>
      <c r="CD2" s="1">
        <v>25.92</v>
      </c>
      <c r="CE2" s="1">
        <v>86.4</v>
      </c>
      <c r="CF2" s="1">
        <v>8.6400000000000001E-3</v>
      </c>
      <c r="CG2" s="1">
        <v>2.5919999999999999E-2</v>
      </c>
      <c r="CH2" s="1">
        <v>8.6400000000000005E-2</v>
      </c>
      <c r="CI2" s="1">
        <v>0.25919999999999999</v>
      </c>
      <c r="CJ2" s="1">
        <v>0.86399999999999999</v>
      </c>
      <c r="CK2" s="1">
        <v>2.5920000000000001</v>
      </c>
      <c r="CL2" s="1">
        <v>8.64</v>
      </c>
      <c r="CM2" s="1">
        <v>25.92</v>
      </c>
      <c r="CN2" s="1">
        <v>86.4</v>
      </c>
      <c r="CO2" s="1">
        <v>8.6400000000000001E-3</v>
      </c>
      <c r="CP2" s="1">
        <v>2.5919999999999999E-2</v>
      </c>
      <c r="CQ2" s="1">
        <v>8.6400000000000005E-2</v>
      </c>
      <c r="CR2" s="1">
        <v>0.25919999999999999</v>
      </c>
      <c r="CS2" s="1">
        <v>0.86399999999999999</v>
      </c>
      <c r="CT2" s="1">
        <v>2.5920000000000001</v>
      </c>
      <c r="CU2" s="1">
        <v>8.64</v>
      </c>
      <c r="CV2" s="1">
        <v>25.92</v>
      </c>
      <c r="CW2" s="1">
        <v>86.4</v>
      </c>
      <c r="CX2" s="1">
        <v>8.6400000000000001E-3</v>
      </c>
      <c r="CY2" s="1">
        <v>2.5919999999999999E-2</v>
      </c>
      <c r="CZ2" s="1">
        <v>8.6400000000000005E-2</v>
      </c>
      <c r="DA2" s="1">
        <v>0.25919999999999999</v>
      </c>
      <c r="DB2" s="1">
        <v>0.86399999999999999</v>
      </c>
      <c r="DC2" s="1">
        <v>2.5920000000000001</v>
      </c>
      <c r="DD2" s="1">
        <v>8.64</v>
      </c>
      <c r="DE2" s="1">
        <v>25.92</v>
      </c>
      <c r="DF2" s="1">
        <v>86.4</v>
      </c>
      <c r="DG2" s="1">
        <v>8.6400000000000001E-3</v>
      </c>
      <c r="DH2" s="1">
        <v>2.5919999999999999E-2</v>
      </c>
      <c r="DI2" s="1">
        <v>8.6400000000000005E-2</v>
      </c>
      <c r="DJ2" s="1">
        <v>0.25919999999999999</v>
      </c>
      <c r="DK2" s="1">
        <v>0.86399999999999999</v>
      </c>
      <c r="DL2" s="1">
        <v>2.5920000000000001</v>
      </c>
      <c r="DM2" s="1">
        <v>8.64</v>
      </c>
      <c r="DN2" s="1">
        <v>25.92</v>
      </c>
      <c r="DO2" s="1">
        <v>86.4</v>
      </c>
      <c r="DP2" s="1">
        <v>8.6400000000000001E-3</v>
      </c>
      <c r="DQ2" s="1">
        <v>2.5919999999999999E-2</v>
      </c>
      <c r="DR2" s="1">
        <v>8.6400000000000005E-2</v>
      </c>
      <c r="DS2" s="1">
        <v>0.25919999999999999</v>
      </c>
      <c r="DT2" s="1">
        <v>0.86399999999999999</v>
      </c>
      <c r="DU2" s="1">
        <v>2.5920000000000001</v>
      </c>
      <c r="DV2" s="1">
        <v>8.64</v>
      </c>
      <c r="DW2" s="1">
        <v>25.92</v>
      </c>
      <c r="DX2" s="1">
        <v>86.4</v>
      </c>
      <c r="DY2" s="1">
        <v>8.6400000000000001E-3</v>
      </c>
      <c r="DZ2" s="1">
        <v>2.5919999999999999E-2</v>
      </c>
      <c r="EA2" s="1">
        <v>8.6400000000000005E-2</v>
      </c>
      <c r="EB2" s="1">
        <v>0.25919999999999999</v>
      </c>
      <c r="EC2" s="1">
        <v>0.86399999999999999</v>
      </c>
      <c r="ED2" s="1">
        <v>2.5920000000000001</v>
      </c>
      <c r="EE2" s="1">
        <v>8.64</v>
      </c>
      <c r="EF2" s="1">
        <v>25.92</v>
      </c>
      <c r="EG2" s="1">
        <v>86.4</v>
      </c>
      <c r="EH2" s="1">
        <v>8.6400000000000001E-3</v>
      </c>
      <c r="EI2" s="1">
        <v>2.5919999999999999E-2</v>
      </c>
      <c r="EJ2" s="1">
        <v>8.6400000000000005E-2</v>
      </c>
      <c r="EK2" s="1">
        <v>0.25919999999999999</v>
      </c>
      <c r="EL2" s="1">
        <v>0.86399999999999999</v>
      </c>
      <c r="EM2" s="1">
        <v>2.5920000000000001</v>
      </c>
      <c r="EN2" s="1">
        <v>8.64</v>
      </c>
      <c r="EO2" s="1">
        <v>25.92</v>
      </c>
      <c r="EP2" s="1">
        <v>86.4</v>
      </c>
      <c r="EQ2" s="1">
        <v>8.6400000000000001E-3</v>
      </c>
      <c r="ER2" s="1">
        <v>2.5919999999999999E-2</v>
      </c>
      <c r="ES2" s="1">
        <v>8.6400000000000005E-2</v>
      </c>
      <c r="ET2" s="1">
        <v>0.25919999999999999</v>
      </c>
      <c r="EU2" s="1">
        <v>0.86399999999999999</v>
      </c>
      <c r="EV2" s="1">
        <v>2.5920000000000001</v>
      </c>
      <c r="EW2" s="1">
        <v>8.64</v>
      </c>
      <c r="EX2" s="1">
        <v>25.92</v>
      </c>
      <c r="EY2" s="1">
        <v>86.4</v>
      </c>
      <c r="EZ2" s="1">
        <v>8.6400000000000001E-3</v>
      </c>
      <c r="FA2" s="1">
        <v>2.5919999999999999E-2</v>
      </c>
      <c r="FB2" s="1">
        <v>8.6400000000000005E-2</v>
      </c>
      <c r="FC2" s="1">
        <v>0.25919999999999999</v>
      </c>
      <c r="FD2" s="1">
        <v>0.86399999999999999</v>
      </c>
      <c r="FE2" s="1">
        <v>2.5920000000000001</v>
      </c>
      <c r="FF2" s="1">
        <v>8.64</v>
      </c>
      <c r="FG2" s="1">
        <v>25.92</v>
      </c>
      <c r="FH2" s="1">
        <v>86.4</v>
      </c>
      <c r="FI2" s="1">
        <v>8.6400000000000001E-3</v>
      </c>
      <c r="FJ2" s="1">
        <v>2.5919999999999999E-2</v>
      </c>
      <c r="FK2" s="1">
        <v>8.6400000000000005E-2</v>
      </c>
      <c r="FL2" s="1">
        <v>0.25919999999999999</v>
      </c>
      <c r="FM2" s="1">
        <v>0.86399999999999999</v>
      </c>
      <c r="FN2" s="1">
        <v>2.5920000000000001</v>
      </c>
      <c r="FO2" s="1">
        <v>8.64</v>
      </c>
      <c r="FP2" s="1">
        <v>25.92</v>
      </c>
      <c r="FQ2" s="1">
        <v>86.4</v>
      </c>
      <c r="FR2" s="1">
        <v>43.2</v>
      </c>
      <c r="FS2" s="1">
        <v>43.2</v>
      </c>
      <c r="FT2" s="1">
        <v>43.2</v>
      </c>
      <c r="FU2" s="1">
        <v>43.2</v>
      </c>
      <c r="FV2" s="1">
        <v>43.2</v>
      </c>
      <c r="FW2" s="1">
        <v>43.2</v>
      </c>
      <c r="FX2" s="1">
        <v>43.2</v>
      </c>
      <c r="FY2" s="1">
        <v>43.2</v>
      </c>
      <c r="FZ2" s="1">
        <v>43.2</v>
      </c>
      <c r="GA2" s="1">
        <v>43.2</v>
      </c>
      <c r="GB2" s="1">
        <v>43.2</v>
      </c>
      <c r="GC2" s="1">
        <v>43.2</v>
      </c>
      <c r="GD2" s="1">
        <v>43.2</v>
      </c>
      <c r="GE2" s="1">
        <v>43.2</v>
      </c>
      <c r="GF2" s="1">
        <v>43.2</v>
      </c>
    </row>
    <row r="3" spans="1:188" x14ac:dyDescent="0.45">
      <c r="A3" t="s">
        <v>537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538</v>
      </c>
      <c r="R3" t="s">
        <v>356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539</v>
      </c>
      <c r="AJ3" t="s">
        <v>356</v>
      </c>
      <c r="AK3">
        <v>20000000</v>
      </c>
      <c r="AM3" s="10">
        <v>8.6399999999999999E-9</v>
      </c>
      <c r="AN3" s="10">
        <v>8.6399999999999999E-9</v>
      </c>
      <c r="AO3" s="10">
        <v>8.6399999999999999E-9</v>
      </c>
      <c r="AP3" s="10">
        <v>8.6399999999999999E-9</v>
      </c>
      <c r="AQ3" s="10">
        <v>8.6399999999999999E-9</v>
      </c>
      <c r="AR3" s="10">
        <v>8.6399999999999999E-9</v>
      </c>
      <c r="AS3" s="10">
        <v>8.6399999999999999E-9</v>
      </c>
      <c r="AT3" s="10">
        <v>8.6399999999999999E-9</v>
      </c>
      <c r="AU3" s="10">
        <v>8.6399999999999999E-9</v>
      </c>
      <c r="AV3" s="10">
        <v>2.592E-8</v>
      </c>
      <c r="AW3" s="10">
        <v>2.592E-8</v>
      </c>
      <c r="AX3" s="10">
        <v>2.592E-8</v>
      </c>
      <c r="AY3" s="10">
        <v>2.592E-8</v>
      </c>
      <c r="AZ3" s="10">
        <v>2.592E-8</v>
      </c>
      <c r="BA3" s="10">
        <v>2.592E-8</v>
      </c>
      <c r="BB3" s="10">
        <v>2.592E-8</v>
      </c>
      <c r="BC3" s="10">
        <v>2.592E-8</v>
      </c>
      <c r="BD3" s="10">
        <v>2.592E-8</v>
      </c>
      <c r="BE3" s="10">
        <v>8.6400000000000006E-8</v>
      </c>
      <c r="BF3" s="10">
        <v>8.6400000000000006E-8</v>
      </c>
      <c r="BG3" s="10">
        <v>8.6400000000000006E-8</v>
      </c>
      <c r="BH3" s="10">
        <v>8.6400000000000006E-8</v>
      </c>
      <c r="BI3" s="10">
        <v>8.6400000000000006E-8</v>
      </c>
      <c r="BJ3" s="10">
        <v>8.6400000000000006E-8</v>
      </c>
      <c r="BK3" s="10">
        <v>8.6400000000000006E-8</v>
      </c>
      <c r="BL3" s="10">
        <v>8.6400000000000006E-8</v>
      </c>
      <c r="BM3" s="10">
        <v>8.6400000000000006E-8</v>
      </c>
      <c r="BN3" s="10">
        <v>2.5919999999999999E-7</v>
      </c>
      <c r="BO3" s="10">
        <v>2.5919999999999999E-7</v>
      </c>
      <c r="BP3" s="10">
        <v>2.5919999999999999E-7</v>
      </c>
      <c r="BQ3" s="10">
        <v>2.5919999999999999E-7</v>
      </c>
      <c r="BR3" s="10">
        <v>2.5919999999999999E-7</v>
      </c>
      <c r="BS3" s="10">
        <v>2.5919999999999999E-7</v>
      </c>
      <c r="BT3" s="10">
        <v>2.5919999999999999E-7</v>
      </c>
      <c r="BU3" s="10">
        <v>2.5919999999999999E-7</v>
      </c>
      <c r="BV3" s="10">
        <v>2.5919999999999999E-7</v>
      </c>
      <c r="BW3" s="10">
        <v>8.6400000000000001E-7</v>
      </c>
      <c r="BX3" s="10">
        <v>8.6400000000000001E-7</v>
      </c>
      <c r="BY3" s="10">
        <v>8.6400000000000001E-7</v>
      </c>
      <c r="BZ3" s="10">
        <v>8.6400000000000001E-7</v>
      </c>
      <c r="CA3" s="10">
        <v>8.6400000000000001E-7</v>
      </c>
      <c r="CB3" s="10">
        <v>8.6400000000000001E-7</v>
      </c>
      <c r="CC3" s="10">
        <v>8.6400000000000001E-7</v>
      </c>
      <c r="CD3" s="10">
        <v>8.6400000000000001E-7</v>
      </c>
      <c r="CE3" s="10">
        <v>8.6400000000000001E-7</v>
      </c>
      <c r="CF3" s="10">
        <v>2.5919999999999999E-6</v>
      </c>
      <c r="CG3" s="10">
        <v>2.5919999999999999E-6</v>
      </c>
      <c r="CH3" s="10">
        <v>2.5919999999999999E-6</v>
      </c>
      <c r="CI3" s="10">
        <v>2.5919999999999999E-6</v>
      </c>
      <c r="CJ3" s="10">
        <v>2.5919999999999999E-6</v>
      </c>
      <c r="CK3" s="10">
        <v>2.5919999999999999E-6</v>
      </c>
      <c r="CL3" s="10">
        <v>2.5919999999999999E-6</v>
      </c>
      <c r="CM3" s="10">
        <v>2.5919999999999999E-6</v>
      </c>
      <c r="CN3" s="10">
        <v>2.5919999999999999E-6</v>
      </c>
      <c r="CO3" s="10">
        <v>8.6400000000000003E-6</v>
      </c>
      <c r="CP3" s="10">
        <v>8.6400000000000003E-6</v>
      </c>
      <c r="CQ3" s="10">
        <v>8.6400000000000003E-6</v>
      </c>
      <c r="CR3" s="10">
        <v>8.6400000000000003E-6</v>
      </c>
      <c r="CS3" s="10">
        <v>8.6400000000000003E-6</v>
      </c>
      <c r="CT3" s="10">
        <v>8.6400000000000003E-6</v>
      </c>
      <c r="CU3" s="10">
        <v>8.6400000000000003E-6</v>
      </c>
      <c r="CV3" s="10">
        <v>8.6400000000000003E-6</v>
      </c>
      <c r="CW3" s="10">
        <v>8.6400000000000003E-6</v>
      </c>
      <c r="CX3" s="10">
        <v>2.5919999999999999E-5</v>
      </c>
      <c r="CY3" s="10">
        <v>2.5919999999999999E-5</v>
      </c>
      <c r="CZ3" s="10">
        <v>2.5919999999999999E-5</v>
      </c>
      <c r="DA3" s="10">
        <v>2.5919999999999999E-5</v>
      </c>
      <c r="DB3" s="10">
        <v>2.5919999999999999E-5</v>
      </c>
      <c r="DC3" s="10">
        <v>2.5919999999999999E-5</v>
      </c>
      <c r="DD3" s="10">
        <v>2.5919999999999999E-5</v>
      </c>
      <c r="DE3" s="10">
        <v>2.5919999999999999E-5</v>
      </c>
      <c r="DF3" s="10">
        <v>2.5919999999999999E-5</v>
      </c>
      <c r="DG3" s="10">
        <v>8.6399999999999999E-5</v>
      </c>
      <c r="DH3" s="10">
        <v>8.6399999999999999E-5</v>
      </c>
      <c r="DI3" s="10">
        <v>8.6399999999999999E-5</v>
      </c>
      <c r="DJ3" s="10">
        <v>8.6399999999999999E-5</v>
      </c>
      <c r="DK3" s="10">
        <v>8.6399999999999999E-5</v>
      </c>
      <c r="DL3" s="10">
        <v>8.6399999999999999E-5</v>
      </c>
      <c r="DM3" s="10">
        <v>8.6399999999999999E-5</v>
      </c>
      <c r="DN3" s="10">
        <v>8.6399999999999999E-5</v>
      </c>
      <c r="DO3" s="10">
        <v>8.6399999999999999E-5</v>
      </c>
      <c r="DP3" s="10">
        <v>2.5920000000000001E-4</v>
      </c>
      <c r="DQ3" s="10">
        <v>2.5920000000000001E-4</v>
      </c>
      <c r="DR3" s="10">
        <v>2.5920000000000001E-4</v>
      </c>
      <c r="DS3" s="10">
        <v>2.5920000000000001E-4</v>
      </c>
      <c r="DT3" s="10">
        <v>2.5920000000000001E-4</v>
      </c>
      <c r="DU3" s="10">
        <v>2.5920000000000001E-4</v>
      </c>
      <c r="DV3" s="10">
        <v>2.5920000000000001E-4</v>
      </c>
      <c r="DW3" s="10">
        <v>2.5920000000000001E-4</v>
      </c>
      <c r="DX3" s="10">
        <v>2.5920000000000001E-4</v>
      </c>
      <c r="DY3" s="10">
        <v>8.6399999999999997E-4</v>
      </c>
      <c r="DZ3" s="10">
        <v>8.6399999999999997E-4</v>
      </c>
      <c r="EA3" s="10">
        <v>8.6399999999999997E-4</v>
      </c>
      <c r="EB3" s="10">
        <v>8.6399999999999997E-4</v>
      </c>
      <c r="EC3" s="10">
        <v>8.6399999999999997E-4</v>
      </c>
      <c r="ED3" s="10">
        <v>8.6399999999999997E-4</v>
      </c>
      <c r="EE3" s="10">
        <v>8.6399999999999997E-4</v>
      </c>
      <c r="EF3" s="10">
        <v>8.6399999999999997E-4</v>
      </c>
      <c r="EG3" s="10">
        <v>8.6399999999999997E-4</v>
      </c>
      <c r="EH3" s="10">
        <v>2.5920000000000001E-3</v>
      </c>
      <c r="EI3" s="10">
        <v>2.5920000000000001E-3</v>
      </c>
      <c r="EJ3" s="10">
        <v>2.5920000000000001E-3</v>
      </c>
      <c r="EK3" s="10">
        <v>2.5920000000000001E-3</v>
      </c>
      <c r="EL3" s="10">
        <v>2.5920000000000001E-3</v>
      </c>
      <c r="EM3" s="10">
        <v>2.5920000000000001E-3</v>
      </c>
      <c r="EN3" s="10">
        <v>2.5920000000000001E-3</v>
      </c>
      <c r="EO3" s="10">
        <v>2.5920000000000001E-3</v>
      </c>
      <c r="EP3" s="10">
        <v>2.5920000000000001E-3</v>
      </c>
      <c r="EQ3" s="10">
        <v>8.6400000000000001E-3</v>
      </c>
      <c r="ER3" s="10">
        <v>8.6400000000000001E-3</v>
      </c>
      <c r="ES3" s="10">
        <v>8.6400000000000001E-3</v>
      </c>
      <c r="ET3" s="10">
        <v>8.6400000000000001E-3</v>
      </c>
      <c r="EU3" s="10">
        <v>8.6400000000000001E-3</v>
      </c>
      <c r="EV3" s="10">
        <v>8.6400000000000001E-3</v>
      </c>
      <c r="EW3" s="10">
        <v>8.6400000000000001E-3</v>
      </c>
      <c r="EX3" s="10">
        <v>8.6400000000000001E-3</v>
      </c>
      <c r="EY3" s="10">
        <v>8.6400000000000001E-3</v>
      </c>
      <c r="EZ3" s="10">
        <v>2.5919999999999999E-2</v>
      </c>
      <c r="FA3" s="10">
        <v>2.5919999999999999E-2</v>
      </c>
      <c r="FB3" s="10">
        <v>2.5919999999999999E-2</v>
      </c>
      <c r="FC3" s="10">
        <v>2.5919999999999999E-2</v>
      </c>
      <c r="FD3" s="10">
        <v>2.5919999999999999E-2</v>
      </c>
      <c r="FE3" s="10">
        <v>2.5919999999999999E-2</v>
      </c>
      <c r="FF3" s="10">
        <v>2.5919999999999999E-2</v>
      </c>
      <c r="FG3" s="10">
        <v>2.5919999999999999E-2</v>
      </c>
      <c r="FH3" s="10">
        <v>2.5919999999999999E-2</v>
      </c>
      <c r="FI3" s="10">
        <v>8.6400000000000005E-2</v>
      </c>
      <c r="FJ3" s="10">
        <v>8.6400000000000005E-2</v>
      </c>
      <c r="FK3" s="10">
        <v>8.6400000000000005E-2</v>
      </c>
      <c r="FL3" s="10">
        <v>8.6400000000000005E-2</v>
      </c>
      <c r="FM3" s="10">
        <v>8.6400000000000005E-2</v>
      </c>
      <c r="FN3" s="10">
        <v>8.6400000000000005E-2</v>
      </c>
      <c r="FO3" s="10">
        <v>8.6400000000000005E-2</v>
      </c>
      <c r="FP3" s="10">
        <v>8.6400000000000005E-2</v>
      </c>
      <c r="FQ3" s="10">
        <v>8.6400000000000005E-2</v>
      </c>
      <c r="FR3" s="1">
        <v>8.6399999999999999E-9</v>
      </c>
      <c r="FS3" s="1">
        <v>2.592E-8</v>
      </c>
      <c r="FT3" s="1">
        <v>8.6399999999999993E-8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8.6400000000000003E-6</v>
      </c>
      <c r="FY3" s="1">
        <v>2.5919999999999999E-5</v>
      </c>
      <c r="FZ3" s="1">
        <v>8.6399999999999999E-5</v>
      </c>
      <c r="GA3" s="1">
        <v>2.5920000000000001E-4</v>
      </c>
      <c r="GB3" s="1">
        <v>8.6399999999999997E-4</v>
      </c>
      <c r="GC3" s="1">
        <v>2.5920000000000001E-3</v>
      </c>
      <c r="GD3" s="1">
        <v>8.6400000000000001E-3</v>
      </c>
      <c r="GE3" s="1">
        <v>2.5919999999999999E-2</v>
      </c>
      <c r="GF3" s="1">
        <v>8.6399999999999991E-2</v>
      </c>
    </row>
    <row r="4" spans="1:188" x14ac:dyDescent="0.45">
      <c r="A4" t="s">
        <v>540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539</v>
      </c>
      <c r="R4" t="s">
        <v>357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541</v>
      </c>
      <c r="AJ4" t="s">
        <v>357</v>
      </c>
      <c r="AK4">
        <v>0</v>
      </c>
      <c r="AM4" s="1">
        <v>8.6400000000000001E-3</v>
      </c>
      <c r="AN4" s="1">
        <v>2.5919999999999999E-2</v>
      </c>
      <c r="AO4" s="1">
        <v>8.6400000000000005E-2</v>
      </c>
      <c r="AP4" s="1">
        <v>0.25919999999999999</v>
      </c>
      <c r="AQ4" s="1">
        <v>0.86399999999999999</v>
      </c>
      <c r="AR4" s="1">
        <v>2.5920000000000001</v>
      </c>
      <c r="AS4" s="1">
        <v>8.64</v>
      </c>
      <c r="AT4" s="1">
        <v>25.92</v>
      </c>
      <c r="AU4" s="1">
        <v>86.4</v>
      </c>
      <c r="AV4" s="1">
        <v>8.6400000000000001E-3</v>
      </c>
      <c r="AW4" s="1">
        <v>2.5919999999999999E-2</v>
      </c>
      <c r="AX4" s="1">
        <v>8.6400000000000005E-2</v>
      </c>
      <c r="AY4" s="1">
        <v>0.25919999999999999</v>
      </c>
      <c r="AZ4" s="1">
        <v>0.86399999999999999</v>
      </c>
      <c r="BA4" s="1">
        <v>2.5920000000000001</v>
      </c>
      <c r="BB4" s="1">
        <v>8.64</v>
      </c>
      <c r="BC4" s="1">
        <v>25.92</v>
      </c>
      <c r="BD4" s="1">
        <v>86.4</v>
      </c>
      <c r="BE4" s="1">
        <v>8.6400000000000001E-3</v>
      </c>
      <c r="BF4" s="1">
        <v>2.5919999999999999E-2</v>
      </c>
      <c r="BG4" s="1">
        <v>8.6400000000000005E-2</v>
      </c>
      <c r="BH4" s="1">
        <v>0.25919999999999999</v>
      </c>
      <c r="BI4" s="1">
        <v>0.86399999999999999</v>
      </c>
      <c r="BJ4" s="1">
        <v>2.5920000000000001</v>
      </c>
      <c r="BK4" s="1">
        <v>8.64</v>
      </c>
      <c r="BL4" s="1">
        <v>25.92</v>
      </c>
      <c r="BM4" s="1">
        <v>86.4</v>
      </c>
      <c r="BN4" s="1">
        <v>8.6400000000000001E-3</v>
      </c>
      <c r="BO4" s="1">
        <v>2.5919999999999999E-2</v>
      </c>
      <c r="BP4" s="1">
        <v>8.6400000000000005E-2</v>
      </c>
      <c r="BQ4" s="1">
        <v>0.25919999999999999</v>
      </c>
      <c r="BR4" s="1">
        <v>0.86399999999999999</v>
      </c>
      <c r="BS4" s="1">
        <v>2.5920000000000001</v>
      </c>
      <c r="BT4" s="1">
        <v>8.64</v>
      </c>
      <c r="BU4" s="1">
        <v>25.92</v>
      </c>
      <c r="BV4" s="1">
        <v>86.4</v>
      </c>
      <c r="BW4" s="1">
        <v>8.6400000000000001E-3</v>
      </c>
      <c r="BX4" s="1">
        <v>2.5919999999999999E-2</v>
      </c>
      <c r="BY4" s="1">
        <v>8.6400000000000005E-2</v>
      </c>
      <c r="BZ4" s="1">
        <v>0.25919999999999999</v>
      </c>
      <c r="CA4" s="1">
        <v>0.86399999999999999</v>
      </c>
      <c r="CB4" s="1">
        <v>2.5920000000000001</v>
      </c>
      <c r="CC4" s="1">
        <v>8.64</v>
      </c>
      <c r="CD4" s="1">
        <v>25.92</v>
      </c>
      <c r="CE4" s="1">
        <v>86.4</v>
      </c>
      <c r="CF4" s="1">
        <v>8.6400000000000001E-3</v>
      </c>
      <c r="CG4" s="1">
        <v>2.5919999999999999E-2</v>
      </c>
      <c r="CH4" s="1">
        <v>8.6400000000000005E-2</v>
      </c>
      <c r="CI4" s="1">
        <v>0.25919999999999999</v>
      </c>
      <c r="CJ4" s="1">
        <v>0.86399999999999999</v>
      </c>
      <c r="CK4" s="1">
        <v>2.5920000000000001</v>
      </c>
      <c r="CL4" s="1">
        <v>8.64</v>
      </c>
      <c r="CM4" s="1">
        <v>25.92</v>
      </c>
      <c r="CN4" s="1">
        <v>86.4</v>
      </c>
      <c r="CO4" s="1">
        <v>8.6400000000000001E-3</v>
      </c>
      <c r="CP4" s="1">
        <v>2.5919999999999999E-2</v>
      </c>
      <c r="CQ4" s="1">
        <v>8.6400000000000005E-2</v>
      </c>
      <c r="CR4" s="1">
        <v>0.25919999999999999</v>
      </c>
      <c r="CS4" s="1">
        <v>0.86399999999999999</v>
      </c>
      <c r="CT4" s="1">
        <v>2.5920000000000001</v>
      </c>
      <c r="CU4" s="1">
        <v>8.64</v>
      </c>
      <c r="CV4" s="1">
        <v>25.92</v>
      </c>
      <c r="CW4" s="1">
        <v>86.4</v>
      </c>
      <c r="CX4" s="1">
        <v>8.6400000000000001E-3</v>
      </c>
      <c r="CY4" s="1">
        <v>2.5919999999999999E-2</v>
      </c>
      <c r="CZ4" s="1">
        <v>8.6400000000000005E-2</v>
      </c>
      <c r="DA4" s="1">
        <v>0.25919999999999999</v>
      </c>
      <c r="DB4" s="1">
        <v>0.86399999999999999</v>
      </c>
      <c r="DC4" s="1">
        <v>2.5920000000000001</v>
      </c>
      <c r="DD4" s="1">
        <v>8.64</v>
      </c>
      <c r="DE4" s="1">
        <v>25.92</v>
      </c>
      <c r="DF4" s="1">
        <v>86.4</v>
      </c>
      <c r="DG4" s="1">
        <v>8.6400000000000001E-3</v>
      </c>
      <c r="DH4" s="1">
        <v>2.5919999999999999E-2</v>
      </c>
      <c r="DI4" s="1">
        <v>8.6400000000000005E-2</v>
      </c>
      <c r="DJ4" s="1">
        <v>0.25919999999999999</v>
      </c>
      <c r="DK4" s="1">
        <v>0.86399999999999999</v>
      </c>
      <c r="DL4" s="1">
        <v>2.5920000000000001</v>
      </c>
      <c r="DM4" s="1">
        <v>8.64</v>
      </c>
      <c r="DN4" s="1">
        <v>25.92</v>
      </c>
      <c r="DO4" s="1">
        <v>86.4</v>
      </c>
      <c r="DP4" s="1">
        <v>8.6400000000000001E-3</v>
      </c>
      <c r="DQ4" s="1">
        <v>2.5919999999999999E-2</v>
      </c>
      <c r="DR4" s="1">
        <v>8.6400000000000005E-2</v>
      </c>
      <c r="DS4" s="1">
        <v>0.25919999999999999</v>
      </c>
      <c r="DT4" s="1">
        <v>0.86399999999999999</v>
      </c>
      <c r="DU4" s="1">
        <v>2.5920000000000001</v>
      </c>
      <c r="DV4" s="1">
        <v>8.64</v>
      </c>
      <c r="DW4" s="1">
        <v>25.92</v>
      </c>
      <c r="DX4" s="1">
        <v>86.4</v>
      </c>
      <c r="DY4" s="1">
        <v>8.6400000000000001E-3</v>
      </c>
      <c r="DZ4" s="1">
        <v>2.5919999999999999E-2</v>
      </c>
      <c r="EA4" s="1">
        <v>8.6400000000000005E-2</v>
      </c>
      <c r="EB4" s="1">
        <v>0.25919999999999999</v>
      </c>
      <c r="EC4" s="1">
        <v>0.86399999999999999</v>
      </c>
      <c r="ED4" s="1">
        <v>2.5920000000000001</v>
      </c>
      <c r="EE4" s="1">
        <v>8.64</v>
      </c>
      <c r="EF4" s="1">
        <v>25.92</v>
      </c>
      <c r="EG4" s="1">
        <v>86.4</v>
      </c>
      <c r="EH4" s="1">
        <v>8.6400000000000001E-3</v>
      </c>
      <c r="EI4" s="1">
        <v>2.5919999999999999E-2</v>
      </c>
      <c r="EJ4" s="1">
        <v>8.6400000000000005E-2</v>
      </c>
      <c r="EK4" s="1">
        <v>0.25919999999999999</v>
      </c>
      <c r="EL4" s="1">
        <v>0.86399999999999999</v>
      </c>
      <c r="EM4" s="1">
        <v>2.5920000000000001</v>
      </c>
      <c r="EN4" s="1">
        <v>8.64</v>
      </c>
      <c r="EO4" s="1">
        <v>25.92</v>
      </c>
      <c r="EP4" s="1">
        <v>86.4</v>
      </c>
      <c r="EQ4" s="1">
        <v>8.6400000000000001E-3</v>
      </c>
      <c r="ER4" s="1">
        <v>2.5919999999999999E-2</v>
      </c>
      <c r="ES4" s="1">
        <v>8.6400000000000005E-2</v>
      </c>
      <c r="ET4" s="1">
        <v>0.25919999999999999</v>
      </c>
      <c r="EU4" s="1">
        <v>0.86399999999999999</v>
      </c>
      <c r="EV4" s="1">
        <v>2.5920000000000001</v>
      </c>
      <c r="EW4" s="1">
        <v>8.64</v>
      </c>
      <c r="EX4" s="1">
        <v>25.92</v>
      </c>
      <c r="EY4" s="1">
        <v>86.4</v>
      </c>
      <c r="EZ4" s="1">
        <v>8.6400000000000001E-3</v>
      </c>
      <c r="FA4" s="1">
        <v>2.5919999999999999E-2</v>
      </c>
      <c r="FB4" s="1">
        <v>8.6400000000000005E-2</v>
      </c>
      <c r="FC4" s="1">
        <v>0.25919999999999999</v>
      </c>
      <c r="FD4" s="1">
        <v>0.86399999999999999</v>
      </c>
      <c r="FE4" s="1">
        <v>2.5920000000000001</v>
      </c>
      <c r="FF4" s="1">
        <v>8.64</v>
      </c>
      <c r="FG4" s="1">
        <v>25.92</v>
      </c>
      <c r="FH4" s="1">
        <v>86.4</v>
      </c>
      <c r="FI4" s="1">
        <v>8.6400000000000001E-3</v>
      </c>
      <c r="FJ4" s="1">
        <v>2.5919999999999999E-2</v>
      </c>
      <c r="FK4" s="1">
        <v>8.6400000000000005E-2</v>
      </c>
      <c r="FL4" s="1">
        <v>0.25919999999999999</v>
      </c>
      <c r="FM4" s="1">
        <v>0.86399999999999999</v>
      </c>
      <c r="FN4" s="1">
        <v>2.5920000000000001</v>
      </c>
      <c r="FO4" s="1">
        <v>8.64</v>
      </c>
      <c r="FP4" s="1">
        <v>25.92</v>
      </c>
      <c r="FQ4" s="1">
        <v>86.4</v>
      </c>
      <c r="FR4" s="1">
        <v>43.2</v>
      </c>
      <c r="FS4" s="1">
        <v>43.2</v>
      </c>
      <c r="FT4" s="1">
        <v>43.2</v>
      </c>
      <c r="FU4" s="1">
        <v>43.2</v>
      </c>
      <c r="FV4" s="1">
        <v>43.2</v>
      </c>
      <c r="FW4" s="1">
        <v>43.2</v>
      </c>
      <c r="FX4" s="1">
        <v>43.2</v>
      </c>
      <c r="FY4" s="1">
        <v>43.2</v>
      </c>
      <c r="FZ4" s="1">
        <v>43.2</v>
      </c>
      <c r="GA4" s="1">
        <v>43.2</v>
      </c>
      <c r="GB4" s="1">
        <v>43.2</v>
      </c>
      <c r="GC4" s="1">
        <v>43.2</v>
      </c>
      <c r="GD4" s="1">
        <v>43.2</v>
      </c>
      <c r="GE4" s="1">
        <v>43.2</v>
      </c>
      <c r="GF4" s="1">
        <v>43.2</v>
      </c>
    </row>
    <row r="5" spans="1:188" x14ac:dyDescent="0.45">
      <c r="A5" t="s">
        <v>542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541</v>
      </c>
      <c r="R5" t="s">
        <v>357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543</v>
      </c>
      <c r="AJ5" t="s">
        <v>357</v>
      </c>
      <c r="AK5">
        <v>27000</v>
      </c>
      <c r="AM5" s="10">
        <v>8.6399999999999999E-9</v>
      </c>
      <c r="AN5" s="10">
        <v>8.6399999999999999E-9</v>
      </c>
      <c r="AO5" s="10">
        <v>8.6399999999999999E-9</v>
      </c>
      <c r="AP5" s="10">
        <v>8.6399999999999999E-9</v>
      </c>
      <c r="AQ5" s="10">
        <v>8.6399999999999999E-9</v>
      </c>
      <c r="AR5" s="10">
        <v>8.6399999999999999E-9</v>
      </c>
      <c r="AS5" s="10">
        <v>8.6399999999999999E-9</v>
      </c>
      <c r="AT5" s="10">
        <v>8.6399999999999999E-9</v>
      </c>
      <c r="AU5" s="10">
        <v>8.6399999999999999E-9</v>
      </c>
      <c r="AV5" s="10">
        <v>2.592E-8</v>
      </c>
      <c r="AW5" s="10">
        <v>2.592E-8</v>
      </c>
      <c r="AX5" s="10">
        <v>2.592E-8</v>
      </c>
      <c r="AY5" s="10">
        <v>2.592E-8</v>
      </c>
      <c r="AZ5" s="10">
        <v>2.592E-8</v>
      </c>
      <c r="BA5" s="10">
        <v>2.592E-8</v>
      </c>
      <c r="BB5" s="10">
        <v>2.592E-8</v>
      </c>
      <c r="BC5" s="10">
        <v>2.592E-8</v>
      </c>
      <c r="BD5" s="10">
        <v>2.592E-8</v>
      </c>
      <c r="BE5" s="10">
        <v>8.6400000000000006E-8</v>
      </c>
      <c r="BF5" s="10">
        <v>8.6400000000000006E-8</v>
      </c>
      <c r="BG5" s="10">
        <v>8.6400000000000006E-8</v>
      </c>
      <c r="BH5" s="10">
        <v>8.6400000000000006E-8</v>
      </c>
      <c r="BI5" s="10">
        <v>8.6400000000000006E-8</v>
      </c>
      <c r="BJ5" s="10">
        <v>8.6400000000000006E-8</v>
      </c>
      <c r="BK5" s="10">
        <v>8.6400000000000006E-8</v>
      </c>
      <c r="BL5" s="10">
        <v>8.6400000000000006E-8</v>
      </c>
      <c r="BM5" s="10">
        <v>8.6400000000000006E-8</v>
      </c>
      <c r="BN5" s="10">
        <v>2.5919999999999999E-7</v>
      </c>
      <c r="BO5" s="10">
        <v>2.5919999999999999E-7</v>
      </c>
      <c r="BP5" s="10">
        <v>2.5919999999999999E-7</v>
      </c>
      <c r="BQ5" s="10">
        <v>2.5919999999999999E-7</v>
      </c>
      <c r="BR5" s="10">
        <v>2.5919999999999999E-7</v>
      </c>
      <c r="BS5" s="10">
        <v>2.5919999999999999E-7</v>
      </c>
      <c r="BT5" s="10">
        <v>2.5919999999999999E-7</v>
      </c>
      <c r="BU5" s="10">
        <v>2.5919999999999999E-7</v>
      </c>
      <c r="BV5" s="10">
        <v>2.5919999999999999E-7</v>
      </c>
      <c r="BW5" s="10">
        <v>8.6400000000000001E-7</v>
      </c>
      <c r="BX5" s="10">
        <v>8.6400000000000001E-7</v>
      </c>
      <c r="BY5" s="10">
        <v>8.6400000000000001E-7</v>
      </c>
      <c r="BZ5" s="10">
        <v>8.6400000000000001E-7</v>
      </c>
      <c r="CA5" s="10">
        <v>8.6400000000000001E-7</v>
      </c>
      <c r="CB5" s="10">
        <v>8.6400000000000001E-7</v>
      </c>
      <c r="CC5" s="10">
        <v>8.6400000000000001E-7</v>
      </c>
      <c r="CD5" s="10">
        <v>8.6400000000000001E-7</v>
      </c>
      <c r="CE5" s="10">
        <v>8.6400000000000001E-7</v>
      </c>
      <c r="CF5" s="10">
        <v>2.5919999999999999E-6</v>
      </c>
      <c r="CG5" s="10">
        <v>2.5919999999999999E-6</v>
      </c>
      <c r="CH5" s="10">
        <v>2.5919999999999999E-6</v>
      </c>
      <c r="CI5" s="10">
        <v>2.5919999999999999E-6</v>
      </c>
      <c r="CJ5" s="10">
        <v>2.5919999999999999E-6</v>
      </c>
      <c r="CK5" s="10">
        <v>2.5919999999999999E-6</v>
      </c>
      <c r="CL5" s="10">
        <v>2.5919999999999999E-6</v>
      </c>
      <c r="CM5" s="10">
        <v>2.5919999999999999E-6</v>
      </c>
      <c r="CN5" s="10">
        <v>2.5919999999999999E-6</v>
      </c>
      <c r="CO5" s="10">
        <v>8.6400000000000003E-6</v>
      </c>
      <c r="CP5" s="10">
        <v>8.6400000000000003E-6</v>
      </c>
      <c r="CQ5" s="10">
        <v>8.6400000000000003E-6</v>
      </c>
      <c r="CR5" s="10">
        <v>8.6400000000000003E-6</v>
      </c>
      <c r="CS5" s="10">
        <v>8.6400000000000003E-6</v>
      </c>
      <c r="CT5" s="10">
        <v>8.6400000000000003E-6</v>
      </c>
      <c r="CU5" s="10">
        <v>8.6400000000000003E-6</v>
      </c>
      <c r="CV5" s="10">
        <v>8.6400000000000003E-6</v>
      </c>
      <c r="CW5" s="10">
        <v>8.6400000000000003E-6</v>
      </c>
      <c r="CX5" s="10">
        <v>2.5919999999999999E-5</v>
      </c>
      <c r="CY5" s="10">
        <v>2.5919999999999999E-5</v>
      </c>
      <c r="CZ5" s="10">
        <v>2.5919999999999999E-5</v>
      </c>
      <c r="DA5" s="10">
        <v>2.5919999999999999E-5</v>
      </c>
      <c r="DB5" s="10">
        <v>2.5919999999999999E-5</v>
      </c>
      <c r="DC5" s="10">
        <v>2.5919999999999999E-5</v>
      </c>
      <c r="DD5" s="10">
        <v>2.5919999999999999E-5</v>
      </c>
      <c r="DE5" s="10">
        <v>2.5919999999999999E-5</v>
      </c>
      <c r="DF5" s="10">
        <v>2.5919999999999999E-5</v>
      </c>
      <c r="DG5" s="10">
        <v>8.6399999999999999E-5</v>
      </c>
      <c r="DH5" s="10">
        <v>8.6399999999999999E-5</v>
      </c>
      <c r="DI5" s="10">
        <v>8.6399999999999999E-5</v>
      </c>
      <c r="DJ5" s="10">
        <v>8.6399999999999999E-5</v>
      </c>
      <c r="DK5" s="10">
        <v>8.6399999999999999E-5</v>
      </c>
      <c r="DL5" s="10">
        <v>8.6399999999999999E-5</v>
      </c>
      <c r="DM5" s="10">
        <v>8.6399999999999999E-5</v>
      </c>
      <c r="DN5" s="10">
        <v>8.6399999999999999E-5</v>
      </c>
      <c r="DO5" s="10">
        <v>8.6399999999999999E-5</v>
      </c>
      <c r="DP5" s="10">
        <v>2.5920000000000001E-4</v>
      </c>
      <c r="DQ5" s="10">
        <v>2.5920000000000001E-4</v>
      </c>
      <c r="DR5" s="10">
        <v>2.5920000000000001E-4</v>
      </c>
      <c r="DS5" s="10">
        <v>2.5920000000000001E-4</v>
      </c>
      <c r="DT5" s="10">
        <v>2.5920000000000001E-4</v>
      </c>
      <c r="DU5" s="10">
        <v>2.5920000000000001E-4</v>
      </c>
      <c r="DV5" s="10">
        <v>2.5920000000000001E-4</v>
      </c>
      <c r="DW5" s="10">
        <v>2.5920000000000001E-4</v>
      </c>
      <c r="DX5" s="10">
        <v>2.5920000000000001E-4</v>
      </c>
      <c r="DY5" s="10">
        <v>8.6399999999999997E-4</v>
      </c>
      <c r="DZ5" s="10">
        <v>8.6399999999999997E-4</v>
      </c>
      <c r="EA5" s="10">
        <v>8.6399999999999997E-4</v>
      </c>
      <c r="EB5" s="10">
        <v>8.6399999999999997E-4</v>
      </c>
      <c r="EC5" s="10">
        <v>8.6399999999999997E-4</v>
      </c>
      <c r="ED5" s="10">
        <v>8.6399999999999997E-4</v>
      </c>
      <c r="EE5" s="10">
        <v>8.6399999999999997E-4</v>
      </c>
      <c r="EF5" s="10">
        <v>8.6399999999999997E-4</v>
      </c>
      <c r="EG5" s="10">
        <v>8.6399999999999997E-4</v>
      </c>
      <c r="EH5" s="10">
        <v>2.5920000000000001E-3</v>
      </c>
      <c r="EI5" s="10">
        <v>2.5920000000000001E-3</v>
      </c>
      <c r="EJ5" s="10">
        <v>2.5920000000000001E-3</v>
      </c>
      <c r="EK5" s="10">
        <v>2.5920000000000001E-3</v>
      </c>
      <c r="EL5" s="10">
        <v>2.5920000000000001E-3</v>
      </c>
      <c r="EM5" s="10">
        <v>2.5920000000000001E-3</v>
      </c>
      <c r="EN5" s="10">
        <v>2.5920000000000001E-3</v>
      </c>
      <c r="EO5" s="10">
        <v>2.5920000000000001E-3</v>
      </c>
      <c r="EP5" s="10">
        <v>2.5920000000000001E-3</v>
      </c>
      <c r="EQ5" s="10">
        <v>8.6400000000000001E-3</v>
      </c>
      <c r="ER5" s="10">
        <v>8.6400000000000001E-3</v>
      </c>
      <c r="ES5" s="10">
        <v>8.6400000000000001E-3</v>
      </c>
      <c r="ET5" s="10">
        <v>8.6400000000000001E-3</v>
      </c>
      <c r="EU5" s="10">
        <v>8.6400000000000001E-3</v>
      </c>
      <c r="EV5" s="10">
        <v>8.6400000000000001E-3</v>
      </c>
      <c r="EW5" s="10">
        <v>8.6400000000000001E-3</v>
      </c>
      <c r="EX5" s="10">
        <v>8.6400000000000001E-3</v>
      </c>
      <c r="EY5" s="10">
        <v>8.6400000000000001E-3</v>
      </c>
      <c r="EZ5" s="10">
        <v>2.5919999999999999E-2</v>
      </c>
      <c r="FA5" s="10">
        <v>2.5919999999999999E-2</v>
      </c>
      <c r="FB5" s="10">
        <v>2.5919999999999999E-2</v>
      </c>
      <c r="FC5" s="10">
        <v>2.5919999999999999E-2</v>
      </c>
      <c r="FD5" s="10">
        <v>2.5919999999999999E-2</v>
      </c>
      <c r="FE5" s="10">
        <v>2.5919999999999999E-2</v>
      </c>
      <c r="FF5" s="10">
        <v>2.5919999999999999E-2</v>
      </c>
      <c r="FG5" s="10">
        <v>2.5919999999999999E-2</v>
      </c>
      <c r="FH5" s="10">
        <v>2.5919999999999999E-2</v>
      </c>
      <c r="FI5" s="10">
        <v>8.6400000000000005E-2</v>
      </c>
      <c r="FJ5" s="10">
        <v>8.6400000000000005E-2</v>
      </c>
      <c r="FK5" s="10">
        <v>8.6400000000000005E-2</v>
      </c>
      <c r="FL5" s="10">
        <v>8.6400000000000005E-2</v>
      </c>
      <c r="FM5" s="10">
        <v>8.6400000000000005E-2</v>
      </c>
      <c r="FN5" s="10">
        <v>8.6400000000000005E-2</v>
      </c>
      <c r="FO5" s="10">
        <v>8.6400000000000005E-2</v>
      </c>
      <c r="FP5" s="10">
        <v>8.6400000000000005E-2</v>
      </c>
      <c r="FQ5" s="10">
        <v>8.6400000000000005E-2</v>
      </c>
      <c r="FR5" s="1">
        <v>8.6399999999999999E-9</v>
      </c>
      <c r="FS5" s="1">
        <v>2.592E-8</v>
      </c>
      <c r="FT5" s="1">
        <v>8.6399999999999993E-8</v>
      </c>
      <c r="FU5" s="1">
        <v>2.5919999999999999E-7</v>
      </c>
      <c r="FV5" s="1">
        <v>8.639999999999999E-7</v>
      </c>
      <c r="FW5" s="1">
        <v>2.5919999999999999E-6</v>
      </c>
      <c r="FX5" s="1">
        <v>8.6400000000000003E-6</v>
      </c>
      <c r="FY5" s="1">
        <v>2.5919999999999999E-5</v>
      </c>
      <c r="FZ5" s="1">
        <v>8.6399999999999999E-5</v>
      </c>
      <c r="GA5" s="1">
        <v>2.5920000000000001E-4</v>
      </c>
      <c r="GB5" s="1">
        <v>8.6399999999999997E-4</v>
      </c>
      <c r="GC5" s="1">
        <v>2.5920000000000001E-3</v>
      </c>
      <c r="GD5" s="1">
        <v>8.6400000000000001E-3</v>
      </c>
      <c r="GE5" s="1">
        <v>2.5919999999999999E-2</v>
      </c>
      <c r="GF5" s="1">
        <v>8.6399999999999991E-2</v>
      </c>
    </row>
    <row r="6" spans="1:188" x14ac:dyDescent="0.45">
      <c r="A6" t="s">
        <v>544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543</v>
      </c>
      <c r="R6" t="s">
        <v>357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357</v>
      </c>
      <c r="AK6">
        <v>20000000</v>
      </c>
      <c r="AM6" s="1">
        <v>8.6400000000000001E-3</v>
      </c>
      <c r="AN6" s="1">
        <v>2.5919999999999999E-2</v>
      </c>
      <c r="AO6" s="1">
        <v>8.6400000000000005E-2</v>
      </c>
      <c r="AP6" s="1">
        <v>0.25919999999999999</v>
      </c>
      <c r="AQ6" s="1">
        <v>0.86399999999999999</v>
      </c>
      <c r="AR6" s="1">
        <v>2.5920000000000001</v>
      </c>
      <c r="AS6" s="1">
        <v>8.64</v>
      </c>
      <c r="AT6" s="1">
        <v>25.92</v>
      </c>
      <c r="AU6" s="1">
        <v>86.4</v>
      </c>
      <c r="AV6" s="1">
        <v>8.6400000000000001E-3</v>
      </c>
      <c r="AW6" s="1">
        <v>2.5919999999999999E-2</v>
      </c>
      <c r="AX6" s="1">
        <v>8.6400000000000005E-2</v>
      </c>
      <c r="AY6" s="1">
        <v>0.25919999999999999</v>
      </c>
      <c r="AZ6" s="1">
        <v>0.86399999999999999</v>
      </c>
      <c r="BA6" s="1">
        <v>2.5920000000000001</v>
      </c>
      <c r="BB6" s="1">
        <v>8.64</v>
      </c>
      <c r="BC6" s="1">
        <v>25.92</v>
      </c>
      <c r="BD6" s="1">
        <v>86.4</v>
      </c>
      <c r="BE6" s="1">
        <v>8.6400000000000001E-3</v>
      </c>
      <c r="BF6" s="1">
        <v>2.5919999999999999E-2</v>
      </c>
      <c r="BG6" s="1">
        <v>8.6400000000000005E-2</v>
      </c>
      <c r="BH6" s="1">
        <v>0.25919999999999999</v>
      </c>
      <c r="BI6" s="1">
        <v>0.86399999999999999</v>
      </c>
      <c r="BJ6" s="1">
        <v>2.5920000000000001</v>
      </c>
      <c r="BK6" s="1">
        <v>8.64</v>
      </c>
      <c r="BL6" s="1">
        <v>25.92</v>
      </c>
      <c r="BM6" s="1">
        <v>86.4</v>
      </c>
      <c r="BN6" s="1">
        <v>8.6400000000000001E-3</v>
      </c>
      <c r="BO6" s="1">
        <v>2.5919999999999999E-2</v>
      </c>
      <c r="BP6" s="1">
        <v>8.6400000000000005E-2</v>
      </c>
      <c r="BQ6" s="1">
        <v>0.25919999999999999</v>
      </c>
      <c r="BR6" s="1">
        <v>0.86399999999999999</v>
      </c>
      <c r="BS6" s="1">
        <v>2.5920000000000001</v>
      </c>
      <c r="BT6" s="1">
        <v>8.64</v>
      </c>
      <c r="BU6" s="1">
        <v>25.92</v>
      </c>
      <c r="BV6" s="1">
        <v>86.4</v>
      </c>
      <c r="BW6" s="1">
        <v>8.6400000000000001E-3</v>
      </c>
      <c r="BX6" s="1">
        <v>2.5919999999999999E-2</v>
      </c>
      <c r="BY6" s="1">
        <v>8.6400000000000005E-2</v>
      </c>
      <c r="BZ6" s="1">
        <v>0.25919999999999999</v>
      </c>
      <c r="CA6" s="1">
        <v>0.86399999999999999</v>
      </c>
      <c r="CB6" s="1">
        <v>2.5920000000000001</v>
      </c>
      <c r="CC6" s="1">
        <v>8.64</v>
      </c>
      <c r="CD6" s="1">
        <v>25.92</v>
      </c>
      <c r="CE6" s="1">
        <v>86.4</v>
      </c>
      <c r="CF6" s="1">
        <v>8.6400000000000001E-3</v>
      </c>
      <c r="CG6" s="1">
        <v>2.5919999999999999E-2</v>
      </c>
      <c r="CH6" s="1">
        <v>8.6400000000000005E-2</v>
      </c>
      <c r="CI6" s="1">
        <v>0.25919999999999999</v>
      </c>
      <c r="CJ6" s="1">
        <v>0.86399999999999999</v>
      </c>
      <c r="CK6" s="1">
        <v>2.5920000000000001</v>
      </c>
      <c r="CL6" s="1">
        <v>8.64</v>
      </c>
      <c r="CM6" s="1">
        <v>25.92</v>
      </c>
      <c r="CN6" s="1">
        <v>86.4</v>
      </c>
      <c r="CO6" s="1">
        <v>8.6400000000000001E-3</v>
      </c>
      <c r="CP6" s="1">
        <v>2.5919999999999999E-2</v>
      </c>
      <c r="CQ6" s="1">
        <v>8.6400000000000005E-2</v>
      </c>
      <c r="CR6" s="1">
        <v>0.25919999999999999</v>
      </c>
      <c r="CS6" s="1">
        <v>0.86399999999999999</v>
      </c>
      <c r="CT6" s="1">
        <v>2.5920000000000001</v>
      </c>
      <c r="CU6" s="1">
        <v>8.64</v>
      </c>
      <c r="CV6" s="1">
        <v>25.92</v>
      </c>
      <c r="CW6" s="1">
        <v>86.4</v>
      </c>
      <c r="CX6" s="1">
        <v>8.6400000000000001E-3</v>
      </c>
      <c r="CY6" s="1">
        <v>2.5919999999999999E-2</v>
      </c>
      <c r="CZ6" s="1">
        <v>8.6400000000000005E-2</v>
      </c>
      <c r="DA6" s="1">
        <v>0.25919999999999999</v>
      </c>
      <c r="DB6" s="1">
        <v>0.86399999999999999</v>
      </c>
      <c r="DC6" s="1">
        <v>2.5920000000000001</v>
      </c>
      <c r="DD6" s="1">
        <v>8.64</v>
      </c>
      <c r="DE6" s="1">
        <v>25.92</v>
      </c>
      <c r="DF6" s="1">
        <v>86.4</v>
      </c>
      <c r="DG6" s="1">
        <v>8.6400000000000001E-3</v>
      </c>
      <c r="DH6" s="1">
        <v>2.5919999999999999E-2</v>
      </c>
      <c r="DI6" s="1">
        <v>8.6400000000000005E-2</v>
      </c>
      <c r="DJ6" s="1">
        <v>0.25919999999999999</v>
      </c>
      <c r="DK6" s="1">
        <v>0.86399999999999999</v>
      </c>
      <c r="DL6" s="1">
        <v>2.5920000000000001</v>
      </c>
      <c r="DM6" s="1">
        <v>8.64</v>
      </c>
      <c r="DN6" s="1">
        <v>25.92</v>
      </c>
      <c r="DO6" s="1">
        <v>86.4</v>
      </c>
      <c r="DP6" s="1">
        <v>8.6400000000000001E-3</v>
      </c>
      <c r="DQ6" s="1">
        <v>2.5919999999999999E-2</v>
      </c>
      <c r="DR6" s="1">
        <v>8.6400000000000005E-2</v>
      </c>
      <c r="DS6" s="1">
        <v>0.25919999999999999</v>
      </c>
      <c r="DT6" s="1">
        <v>0.86399999999999999</v>
      </c>
      <c r="DU6" s="1">
        <v>2.5920000000000001</v>
      </c>
      <c r="DV6" s="1">
        <v>8.64</v>
      </c>
      <c r="DW6" s="1">
        <v>25.92</v>
      </c>
      <c r="DX6" s="1">
        <v>86.4</v>
      </c>
      <c r="DY6" s="1">
        <v>8.6400000000000001E-3</v>
      </c>
      <c r="DZ6" s="1">
        <v>2.5919999999999999E-2</v>
      </c>
      <c r="EA6" s="1">
        <v>8.6400000000000005E-2</v>
      </c>
      <c r="EB6" s="1">
        <v>0.25919999999999999</v>
      </c>
      <c r="EC6" s="1">
        <v>0.86399999999999999</v>
      </c>
      <c r="ED6" s="1">
        <v>2.5920000000000001</v>
      </c>
      <c r="EE6" s="1">
        <v>8.64</v>
      </c>
      <c r="EF6" s="1">
        <v>25.92</v>
      </c>
      <c r="EG6" s="1">
        <v>86.4</v>
      </c>
      <c r="EH6" s="1">
        <v>8.6400000000000001E-3</v>
      </c>
      <c r="EI6" s="1">
        <v>2.5919999999999999E-2</v>
      </c>
      <c r="EJ6" s="1">
        <v>8.6400000000000005E-2</v>
      </c>
      <c r="EK6" s="1">
        <v>0.25919999999999999</v>
      </c>
      <c r="EL6" s="1">
        <v>0.86399999999999999</v>
      </c>
      <c r="EM6" s="1">
        <v>2.5920000000000001</v>
      </c>
      <c r="EN6" s="1">
        <v>8.64</v>
      </c>
      <c r="EO6" s="1">
        <v>25.92</v>
      </c>
      <c r="EP6" s="1">
        <v>86.4</v>
      </c>
      <c r="EQ6" s="1">
        <v>8.6400000000000001E-3</v>
      </c>
      <c r="ER6" s="1">
        <v>2.5919999999999999E-2</v>
      </c>
      <c r="ES6" s="1">
        <v>8.6400000000000005E-2</v>
      </c>
      <c r="ET6" s="1">
        <v>0.25919999999999999</v>
      </c>
      <c r="EU6" s="1">
        <v>0.86399999999999999</v>
      </c>
      <c r="EV6" s="1">
        <v>2.5920000000000001</v>
      </c>
      <c r="EW6" s="1">
        <v>8.64</v>
      </c>
      <c r="EX6" s="1">
        <v>25.92</v>
      </c>
      <c r="EY6" s="1">
        <v>86.4</v>
      </c>
      <c r="EZ6" s="1">
        <v>8.6400000000000001E-3</v>
      </c>
      <c r="FA6" s="1">
        <v>2.5919999999999999E-2</v>
      </c>
      <c r="FB6" s="1">
        <v>8.6400000000000005E-2</v>
      </c>
      <c r="FC6" s="1">
        <v>0.25919999999999999</v>
      </c>
      <c r="FD6" s="1">
        <v>0.86399999999999999</v>
      </c>
      <c r="FE6" s="1">
        <v>2.5920000000000001</v>
      </c>
      <c r="FF6" s="1">
        <v>8.64</v>
      </c>
      <c r="FG6" s="1">
        <v>25.92</v>
      </c>
      <c r="FH6" s="1">
        <v>86.4</v>
      </c>
      <c r="FI6" s="1">
        <v>8.6400000000000001E-3</v>
      </c>
      <c r="FJ6" s="1">
        <v>2.5919999999999999E-2</v>
      </c>
      <c r="FK6" s="1">
        <v>8.6400000000000005E-2</v>
      </c>
      <c r="FL6" s="1">
        <v>0.25919999999999999</v>
      </c>
      <c r="FM6" s="1">
        <v>0.86399999999999999</v>
      </c>
      <c r="FN6" s="1">
        <v>2.5920000000000001</v>
      </c>
      <c r="FO6" s="1">
        <v>8.64</v>
      </c>
      <c r="FP6" s="1">
        <v>25.92</v>
      </c>
      <c r="FQ6" s="1">
        <v>86.4</v>
      </c>
      <c r="FR6" s="1">
        <v>43.2</v>
      </c>
      <c r="FS6" s="1">
        <v>43.2</v>
      </c>
      <c r="FT6" s="1">
        <v>43.2</v>
      </c>
      <c r="FU6" s="1">
        <v>43.2</v>
      </c>
      <c r="FV6" s="1">
        <v>43.2</v>
      </c>
      <c r="FW6" s="1">
        <v>43.2</v>
      </c>
      <c r="FX6" s="1">
        <v>43.2</v>
      </c>
      <c r="FY6" s="1">
        <v>43.2</v>
      </c>
      <c r="FZ6" s="1">
        <v>43.2</v>
      </c>
      <c r="GA6" s="1">
        <v>43.2</v>
      </c>
      <c r="GB6" s="1">
        <v>43.2</v>
      </c>
      <c r="GC6" s="1">
        <v>43.2</v>
      </c>
      <c r="GD6" s="1">
        <v>43.2</v>
      </c>
      <c r="GE6" s="1">
        <v>43.2</v>
      </c>
      <c r="GF6" s="1">
        <v>43.2</v>
      </c>
    </row>
    <row r="7" spans="1:188" x14ac:dyDescent="0.45">
      <c r="A7" t="s">
        <v>545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358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358</v>
      </c>
      <c r="AK7">
        <v>0</v>
      </c>
      <c r="AM7" s="1">
        <v>8.6400000000000001E-3</v>
      </c>
      <c r="AN7" s="1">
        <v>2.5919999999999999E-2</v>
      </c>
      <c r="AO7" s="1">
        <v>8.6400000000000005E-2</v>
      </c>
      <c r="AP7" s="1">
        <v>0.25919999999999999</v>
      </c>
      <c r="AQ7" s="1">
        <v>0.86399999999999999</v>
      </c>
      <c r="AR7" s="1">
        <v>2.5920000000000001</v>
      </c>
      <c r="AS7" s="1">
        <v>8.64</v>
      </c>
      <c r="AT7" s="1">
        <v>25.92</v>
      </c>
      <c r="AU7" s="1">
        <v>86.4</v>
      </c>
      <c r="AV7" s="1">
        <v>8.6400000000000001E-3</v>
      </c>
      <c r="AW7" s="1">
        <v>2.5919999999999999E-2</v>
      </c>
      <c r="AX7" s="1">
        <v>8.6400000000000005E-2</v>
      </c>
      <c r="AY7" s="1">
        <v>0.25919999999999999</v>
      </c>
      <c r="AZ7" s="1">
        <v>0.86399999999999999</v>
      </c>
      <c r="BA7" s="1">
        <v>2.5920000000000001</v>
      </c>
      <c r="BB7" s="1">
        <v>8.64</v>
      </c>
      <c r="BC7" s="1">
        <v>25.92</v>
      </c>
      <c r="BD7" s="1">
        <v>86.4</v>
      </c>
      <c r="BE7" s="1">
        <v>8.6400000000000001E-3</v>
      </c>
      <c r="BF7" s="1">
        <v>2.5919999999999999E-2</v>
      </c>
      <c r="BG7" s="1">
        <v>8.6400000000000005E-2</v>
      </c>
      <c r="BH7" s="1">
        <v>0.25919999999999999</v>
      </c>
      <c r="BI7" s="1">
        <v>0.86399999999999999</v>
      </c>
      <c r="BJ7" s="1">
        <v>2.5920000000000001</v>
      </c>
      <c r="BK7" s="1">
        <v>8.64</v>
      </c>
      <c r="BL7" s="1">
        <v>25.92</v>
      </c>
      <c r="BM7" s="1">
        <v>86.4</v>
      </c>
      <c r="BN7" s="1">
        <v>8.6400000000000001E-3</v>
      </c>
      <c r="BO7" s="1">
        <v>2.5919999999999999E-2</v>
      </c>
      <c r="BP7" s="1">
        <v>8.6400000000000005E-2</v>
      </c>
      <c r="BQ7" s="1">
        <v>0.25919999999999999</v>
      </c>
      <c r="BR7" s="1">
        <v>0.86399999999999999</v>
      </c>
      <c r="BS7" s="1">
        <v>2.5920000000000001</v>
      </c>
      <c r="BT7" s="1">
        <v>8.64</v>
      </c>
      <c r="BU7" s="1">
        <v>25.92</v>
      </c>
      <c r="BV7" s="1">
        <v>86.4</v>
      </c>
      <c r="BW7" s="1">
        <v>8.6400000000000001E-3</v>
      </c>
      <c r="BX7" s="1">
        <v>2.5919999999999999E-2</v>
      </c>
      <c r="BY7" s="1">
        <v>8.6400000000000005E-2</v>
      </c>
      <c r="BZ7" s="1">
        <v>0.25919999999999999</v>
      </c>
      <c r="CA7" s="1">
        <v>0.86399999999999999</v>
      </c>
      <c r="CB7" s="1">
        <v>2.5920000000000001</v>
      </c>
      <c r="CC7" s="1">
        <v>8.64</v>
      </c>
      <c r="CD7" s="1">
        <v>25.92</v>
      </c>
      <c r="CE7" s="1">
        <v>86.4</v>
      </c>
      <c r="CF7" s="1">
        <v>8.6400000000000001E-3</v>
      </c>
      <c r="CG7" s="1">
        <v>2.5919999999999999E-2</v>
      </c>
      <c r="CH7" s="1">
        <v>8.6400000000000005E-2</v>
      </c>
      <c r="CI7" s="1">
        <v>0.25919999999999999</v>
      </c>
      <c r="CJ7" s="1">
        <v>0.86399999999999999</v>
      </c>
      <c r="CK7" s="1">
        <v>2.5920000000000001</v>
      </c>
      <c r="CL7" s="1">
        <v>8.64</v>
      </c>
      <c r="CM7" s="1">
        <v>25.92</v>
      </c>
      <c r="CN7" s="1">
        <v>86.4</v>
      </c>
      <c r="CO7" s="1">
        <v>8.6400000000000001E-3</v>
      </c>
      <c r="CP7" s="1">
        <v>2.5919999999999999E-2</v>
      </c>
      <c r="CQ7" s="1">
        <v>8.6400000000000005E-2</v>
      </c>
      <c r="CR7" s="1">
        <v>0.25919999999999999</v>
      </c>
      <c r="CS7" s="1">
        <v>0.86399999999999999</v>
      </c>
      <c r="CT7" s="1">
        <v>2.5920000000000001</v>
      </c>
      <c r="CU7" s="1">
        <v>8.64</v>
      </c>
      <c r="CV7" s="1">
        <v>25.92</v>
      </c>
      <c r="CW7" s="1">
        <v>86.4</v>
      </c>
      <c r="CX7" s="1">
        <v>8.6400000000000001E-3</v>
      </c>
      <c r="CY7" s="1">
        <v>2.5919999999999999E-2</v>
      </c>
      <c r="CZ7" s="1">
        <v>8.6400000000000005E-2</v>
      </c>
      <c r="DA7" s="1">
        <v>0.25919999999999999</v>
      </c>
      <c r="DB7" s="1">
        <v>0.86399999999999999</v>
      </c>
      <c r="DC7" s="1">
        <v>2.5920000000000001</v>
      </c>
      <c r="DD7" s="1">
        <v>8.64</v>
      </c>
      <c r="DE7" s="1">
        <v>25.92</v>
      </c>
      <c r="DF7" s="1">
        <v>86.4</v>
      </c>
      <c r="DG7" s="1">
        <v>8.6400000000000001E-3</v>
      </c>
      <c r="DH7" s="1">
        <v>2.5919999999999999E-2</v>
      </c>
      <c r="DI7" s="1">
        <v>8.6400000000000005E-2</v>
      </c>
      <c r="DJ7" s="1">
        <v>0.25919999999999999</v>
      </c>
      <c r="DK7" s="1">
        <v>0.86399999999999999</v>
      </c>
      <c r="DL7" s="1">
        <v>2.5920000000000001</v>
      </c>
      <c r="DM7" s="1">
        <v>8.64</v>
      </c>
      <c r="DN7" s="1">
        <v>25.92</v>
      </c>
      <c r="DO7" s="1">
        <v>86.4</v>
      </c>
      <c r="DP7" s="1">
        <v>8.6400000000000001E-3</v>
      </c>
      <c r="DQ7" s="1">
        <v>2.5919999999999999E-2</v>
      </c>
      <c r="DR7" s="1">
        <v>8.6400000000000005E-2</v>
      </c>
      <c r="DS7" s="1">
        <v>0.25919999999999999</v>
      </c>
      <c r="DT7" s="1">
        <v>0.86399999999999999</v>
      </c>
      <c r="DU7" s="1">
        <v>2.5920000000000001</v>
      </c>
      <c r="DV7" s="1">
        <v>8.64</v>
      </c>
      <c r="DW7" s="1">
        <v>25.92</v>
      </c>
      <c r="DX7" s="1">
        <v>86.4</v>
      </c>
      <c r="DY7" s="1">
        <v>8.6400000000000001E-3</v>
      </c>
      <c r="DZ7" s="1">
        <v>2.5919999999999999E-2</v>
      </c>
      <c r="EA7" s="1">
        <v>8.6400000000000005E-2</v>
      </c>
      <c r="EB7" s="1">
        <v>0.25919999999999999</v>
      </c>
      <c r="EC7" s="1">
        <v>0.86399999999999999</v>
      </c>
      <c r="ED7" s="1">
        <v>2.5920000000000001</v>
      </c>
      <c r="EE7" s="1">
        <v>8.64</v>
      </c>
      <c r="EF7" s="1">
        <v>25.92</v>
      </c>
      <c r="EG7" s="1">
        <v>86.4</v>
      </c>
      <c r="EH7" s="1">
        <v>8.6400000000000001E-3</v>
      </c>
      <c r="EI7" s="1">
        <v>2.5919999999999999E-2</v>
      </c>
      <c r="EJ7" s="1">
        <v>8.6400000000000005E-2</v>
      </c>
      <c r="EK7" s="1">
        <v>0.25919999999999999</v>
      </c>
      <c r="EL7" s="1">
        <v>0.86399999999999999</v>
      </c>
      <c r="EM7" s="1">
        <v>2.5920000000000001</v>
      </c>
      <c r="EN7" s="1">
        <v>8.64</v>
      </c>
      <c r="EO7" s="1">
        <v>25.92</v>
      </c>
      <c r="EP7" s="1">
        <v>86.4</v>
      </c>
      <c r="EQ7" s="1">
        <v>8.6400000000000001E-3</v>
      </c>
      <c r="ER7" s="1">
        <v>2.5919999999999999E-2</v>
      </c>
      <c r="ES7" s="1">
        <v>8.6400000000000005E-2</v>
      </c>
      <c r="ET7" s="1">
        <v>0.25919999999999999</v>
      </c>
      <c r="EU7" s="1">
        <v>0.86399999999999999</v>
      </c>
      <c r="EV7" s="1">
        <v>2.5920000000000001</v>
      </c>
      <c r="EW7" s="1">
        <v>8.64</v>
      </c>
      <c r="EX7" s="1">
        <v>25.92</v>
      </c>
      <c r="EY7" s="1">
        <v>86.4</v>
      </c>
      <c r="EZ7" s="1">
        <v>8.6400000000000001E-3</v>
      </c>
      <c r="FA7" s="1">
        <v>2.5919999999999999E-2</v>
      </c>
      <c r="FB7" s="1">
        <v>8.6400000000000005E-2</v>
      </c>
      <c r="FC7" s="1">
        <v>0.25919999999999999</v>
      </c>
      <c r="FD7" s="1">
        <v>0.86399999999999999</v>
      </c>
      <c r="FE7" s="1">
        <v>2.5920000000000001</v>
      </c>
      <c r="FF7" s="1">
        <v>8.64</v>
      </c>
      <c r="FG7" s="1">
        <v>25.92</v>
      </c>
      <c r="FH7" s="1">
        <v>86.4</v>
      </c>
      <c r="FI7" s="1">
        <v>8.6400000000000001E-3</v>
      </c>
      <c r="FJ7" s="1">
        <v>2.5919999999999999E-2</v>
      </c>
      <c r="FK7" s="1">
        <v>8.6400000000000005E-2</v>
      </c>
      <c r="FL7" s="1">
        <v>0.25919999999999999</v>
      </c>
      <c r="FM7" s="1">
        <v>0.86399999999999999</v>
      </c>
      <c r="FN7" s="1">
        <v>2.5920000000000001</v>
      </c>
      <c r="FO7" s="1">
        <v>8.64</v>
      </c>
      <c r="FP7" s="1">
        <v>25.92</v>
      </c>
      <c r="FQ7" s="1">
        <v>86.4</v>
      </c>
      <c r="FR7" s="1">
        <v>43.2</v>
      </c>
      <c r="FS7" s="1">
        <v>43.2</v>
      </c>
      <c r="FT7" s="1">
        <v>43.2</v>
      </c>
      <c r="FU7" s="1">
        <v>43.2</v>
      </c>
      <c r="FV7" s="1">
        <v>43.2</v>
      </c>
      <c r="FW7" s="1">
        <v>43.2</v>
      </c>
      <c r="FX7" s="1">
        <v>43.2</v>
      </c>
      <c r="FY7" s="1">
        <v>43.2</v>
      </c>
      <c r="FZ7" s="1">
        <v>43.2</v>
      </c>
      <c r="GA7" s="1">
        <v>43.2</v>
      </c>
      <c r="GB7" s="1">
        <v>43.2</v>
      </c>
      <c r="GC7" s="1">
        <v>43.2</v>
      </c>
      <c r="GD7" s="1">
        <v>43.2</v>
      </c>
      <c r="GE7" s="1">
        <v>43.2</v>
      </c>
      <c r="GF7" s="1">
        <v>43.2</v>
      </c>
    </row>
    <row r="8" spans="1:188" x14ac:dyDescent="0.45">
      <c r="A8" t="s">
        <v>546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358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358</v>
      </c>
      <c r="AK8">
        <v>27000</v>
      </c>
      <c r="AM8" s="10">
        <v>8.6399999999999999E-9</v>
      </c>
      <c r="AN8" s="10">
        <v>8.6399999999999999E-9</v>
      </c>
      <c r="AO8" s="10">
        <v>8.6399999999999999E-9</v>
      </c>
      <c r="AP8" s="10">
        <v>8.6399999999999999E-9</v>
      </c>
      <c r="AQ8" s="10">
        <v>8.6399999999999999E-9</v>
      </c>
      <c r="AR8" s="10">
        <v>8.6399999999999999E-9</v>
      </c>
      <c r="AS8" s="10">
        <v>8.6399999999999999E-9</v>
      </c>
      <c r="AT8" s="10">
        <v>8.6399999999999999E-9</v>
      </c>
      <c r="AU8" s="10">
        <v>8.6399999999999999E-9</v>
      </c>
      <c r="AV8" s="10">
        <v>2.592E-8</v>
      </c>
      <c r="AW8" s="10">
        <v>2.592E-8</v>
      </c>
      <c r="AX8" s="10">
        <v>2.592E-8</v>
      </c>
      <c r="AY8" s="10">
        <v>2.592E-8</v>
      </c>
      <c r="AZ8" s="10">
        <v>2.592E-8</v>
      </c>
      <c r="BA8" s="10">
        <v>2.592E-8</v>
      </c>
      <c r="BB8" s="10">
        <v>2.592E-8</v>
      </c>
      <c r="BC8" s="10">
        <v>2.592E-8</v>
      </c>
      <c r="BD8" s="10">
        <v>2.592E-8</v>
      </c>
      <c r="BE8" s="10">
        <v>8.6400000000000006E-8</v>
      </c>
      <c r="BF8" s="10">
        <v>8.6400000000000006E-8</v>
      </c>
      <c r="BG8" s="10">
        <v>8.6400000000000006E-8</v>
      </c>
      <c r="BH8" s="10">
        <v>8.6400000000000006E-8</v>
      </c>
      <c r="BI8" s="10">
        <v>8.6400000000000006E-8</v>
      </c>
      <c r="BJ8" s="10">
        <v>8.6400000000000006E-8</v>
      </c>
      <c r="BK8" s="10">
        <v>8.6400000000000006E-8</v>
      </c>
      <c r="BL8" s="10">
        <v>8.6400000000000006E-8</v>
      </c>
      <c r="BM8" s="10">
        <v>8.6400000000000006E-8</v>
      </c>
      <c r="BN8" s="10">
        <v>2.5919999999999999E-7</v>
      </c>
      <c r="BO8" s="10">
        <v>2.5919999999999999E-7</v>
      </c>
      <c r="BP8" s="10">
        <v>2.5919999999999999E-7</v>
      </c>
      <c r="BQ8" s="10">
        <v>2.5919999999999999E-7</v>
      </c>
      <c r="BR8" s="10">
        <v>2.5919999999999999E-7</v>
      </c>
      <c r="BS8" s="10">
        <v>2.5919999999999999E-7</v>
      </c>
      <c r="BT8" s="10">
        <v>2.5919999999999999E-7</v>
      </c>
      <c r="BU8" s="10">
        <v>2.5919999999999999E-7</v>
      </c>
      <c r="BV8" s="10">
        <v>2.5919999999999999E-7</v>
      </c>
      <c r="BW8" s="10">
        <v>8.6400000000000001E-7</v>
      </c>
      <c r="BX8" s="10">
        <v>8.6400000000000001E-7</v>
      </c>
      <c r="BY8" s="10">
        <v>8.6400000000000001E-7</v>
      </c>
      <c r="BZ8" s="10">
        <v>8.6400000000000001E-7</v>
      </c>
      <c r="CA8" s="10">
        <v>8.6400000000000001E-7</v>
      </c>
      <c r="CB8" s="10">
        <v>8.6400000000000001E-7</v>
      </c>
      <c r="CC8" s="10">
        <v>8.6400000000000001E-7</v>
      </c>
      <c r="CD8" s="10">
        <v>8.6400000000000001E-7</v>
      </c>
      <c r="CE8" s="10">
        <v>8.6400000000000001E-7</v>
      </c>
      <c r="CF8" s="10">
        <v>2.5919999999999999E-6</v>
      </c>
      <c r="CG8" s="10">
        <v>2.5919999999999999E-6</v>
      </c>
      <c r="CH8" s="10">
        <v>2.5919999999999999E-6</v>
      </c>
      <c r="CI8" s="10">
        <v>2.5919999999999999E-6</v>
      </c>
      <c r="CJ8" s="10">
        <v>2.5919999999999999E-6</v>
      </c>
      <c r="CK8" s="10">
        <v>2.5919999999999999E-6</v>
      </c>
      <c r="CL8" s="10">
        <v>2.5919999999999999E-6</v>
      </c>
      <c r="CM8" s="10">
        <v>2.5919999999999999E-6</v>
      </c>
      <c r="CN8" s="10">
        <v>2.5919999999999999E-6</v>
      </c>
      <c r="CO8" s="10">
        <v>8.6400000000000003E-6</v>
      </c>
      <c r="CP8" s="10">
        <v>8.6400000000000003E-6</v>
      </c>
      <c r="CQ8" s="10">
        <v>8.6400000000000003E-6</v>
      </c>
      <c r="CR8" s="10">
        <v>8.6400000000000003E-6</v>
      </c>
      <c r="CS8" s="10">
        <v>8.6400000000000003E-6</v>
      </c>
      <c r="CT8" s="10">
        <v>8.6400000000000003E-6</v>
      </c>
      <c r="CU8" s="10">
        <v>8.6400000000000003E-6</v>
      </c>
      <c r="CV8" s="10">
        <v>8.6400000000000003E-6</v>
      </c>
      <c r="CW8" s="10">
        <v>8.6400000000000003E-6</v>
      </c>
      <c r="CX8" s="10">
        <v>2.5919999999999999E-5</v>
      </c>
      <c r="CY8" s="10">
        <v>2.5919999999999999E-5</v>
      </c>
      <c r="CZ8" s="10">
        <v>2.5919999999999999E-5</v>
      </c>
      <c r="DA8" s="10">
        <v>2.5919999999999999E-5</v>
      </c>
      <c r="DB8" s="10">
        <v>2.5919999999999999E-5</v>
      </c>
      <c r="DC8" s="10">
        <v>2.5919999999999999E-5</v>
      </c>
      <c r="DD8" s="10">
        <v>2.5919999999999999E-5</v>
      </c>
      <c r="DE8" s="10">
        <v>2.5919999999999999E-5</v>
      </c>
      <c r="DF8" s="10">
        <v>2.5919999999999999E-5</v>
      </c>
      <c r="DG8" s="10">
        <v>8.6399999999999999E-5</v>
      </c>
      <c r="DH8" s="10">
        <v>8.6399999999999999E-5</v>
      </c>
      <c r="DI8" s="10">
        <v>8.6399999999999999E-5</v>
      </c>
      <c r="DJ8" s="10">
        <v>8.6399999999999999E-5</v>
      </c>
      <c r="DK8" s="10">
        <v>8.6399999999999999E-5</v>
      </c>
      <c r="DL8" s="10">
        <v>8.6399999999999999E-5</v>
      </c>
      <c r="DM8" s="10">
        <v>8.6399999999999999E-5</v>
      </c>
      <c r="DN8" s="10">
        <v>8.6399999999999999E-5</v>
      </c>
      <c r="DO8" s="10">
        <v>8.6399999999999999E-5</v>
      </c>
      <c r="DP8" s="10">
        <v>2.5920000000000001E-4</v>
      </c>
      <c r="DQ8" s="10">
        <v>2.5920000000000001E-4</v>
      </c>
      <c r="DR8" s="10">
        <v>2.5920000000000001E-4</v>
      </c>
      <c r="DS8" s="10">
        <v>2.5920000000000001E-4</v>
      </c>
      <c r="DT8" s="10">
        <v>2.5920000000000001E-4</v>
      </c>
      <c r="DU8" s="10">
        <v>2.5920000000000001E-4</v>
      </c>
      <c r="DV8" s="10">
        <v>2.5920000000000001E-4</v>
      </c>
      <c r="DW8" s="10">
        <v>2.5920000000000001E-4</v>
      </c>
      <c r="DX8" s="10">
        <v>2.5920000000000001E-4</v>
      </c>
      <c r="DY8" s="10">
        <v>8.6399999999999997E-4</v>
      </c>
      <c r="DZ8" s="10">
        <v>8.6399999999999997E-4</v>
      </c>
      <c r="EA8" s="10">
        <v>8.6399999999999997E-4</v>
      </c>
      <c r="EB8" s="10">
        <v>8.6399999999999997E-4</v>
      </c>
      <c r="EC8" s="10">
        <v>8.6399999999999997E-4</v>
      </c>
      <c r="ED8" s="10">
        <v>8.6399999999999997E-4</v>
      </c>
      <c r="EE8" s="10">
        <v>8.6399999999999997E-4</v>
      </c>
      <c r="EF8" s="10">
        <v>8.6399999999999997E-4</v>
      </c>
      <c r="EG8" s="10">
        <v>8.6399999999999997E-4</v>
      </c>
      <c r="EH8" s="10">
        <v>2.5920000000000001E-3</v>
      </c>
      <c r="EI8" s="10">
        <v>2.5920000000000001E-3</v>
      </c>
      <c r="EJ8" s="10">
        <v>2.5920000000000001E-3</v>
      </c>
      <c r="EK8" s="10">
        <v>2.5920000000000001E-3</v>
      </c>
      <c r="EL8" s="10">
        <v>2.5920000000000001E-3</v>
      </c>
      <c r="EM8" s="10">
        <v>2.5920000000000001E-3</v>
      </c>
      <c r="EN8" s="10">
        <v>2.5920000000000001E-3</v>
      </c>
      <c r="EO8" s="10">
        <v>2.5920000000000001E-3</v>
      </c>
      <c r="EP8" s="10">
        <v>2.5920000000000001E-3</v>
      </c>
      <c r="EQ8" s="10">
        <v>8.6400000000000001E-3</v>
      </c>
      <c r="ER8" s="10">
        <v>8.6400000000000001E-3</v>
      </c>
      <c r="ES8" s="10">
        <v>8.6400000000000001E-3</v>
      </c>
      <c r="ET8" s="10">
        <v>8.6400000000000001E-3</v>
      </c>
      <c r="EU8" s="10">
        <v>8.6400000000000001E-3</v>
      </c>
      <c r="EV8" s="10">
        <v>8.6400000000000001E-3</v>
      </c>
      <c r="EW8" s="10">
        <v>8.6400000000000001E-3</v>
      </c>
      <c r="EX8" s="10">
        <v>8.6400000000000001E-3</v>
      </c>
      <c r="EY8" s="10">
        <v>8.6400000000000001E-3</v>
      </c>
      <c r="EZ8" s="10">
        <v>2.5919999999999999E-2</v>
      </c>
      <c r="FA8" s="10">
        <v>2.5919999999999999E-2</v>
      </c>
      <c r="FB8" s="10">
        <v>2.5919999999999999E-2</v>
      </c>
      <c r="FC8" s="10">
        <v>2.5919999999999999E-2</v>
      </c>
      <c r="FD8" s="10">
        <v>2.5919999999999999E-2</v>
      </c>
      <c r="FE8" s="10">
        <v>2.5919999999999999E-2</v>
      </c>
      <c r="FF8" s="10">
        <v>2.5919999999999999E-2</v>
      </c>
      <c r="FG8" s="10">
        <v>2.5919999999999999E-2</v>
      </c>
      <c r="FH8" s="10">
        <v>2.5919999999999999E-2</v>
      </c>
      <c r="FI8" s="10">
        <v>8.6400000000000005E-2</v>
      </c>
      <c r="FJ8" s="10">
        <v>8.6400000000000005E-2</v>
      </c>
      <c r="FK8" s="10">
        <v>8.6400000000000005E-2</v>
      </c>
      <c r="FL8" s="10">
        <v>8.6400000000000005E-2</v>
      </c>
      <c r="FM8" s="10">
        <v>8.6400000000000005E-2</v>
      </c>
      <c r="FN8" s="10">
        <v>8.6400000000000005E-2</v>
      </c>
      <c r="FO8" s="10">
        <v>8.6400000000000005E-2</v>
      </c>
      <c r="FP8" s="10">
        <v>8.6400000000000005E-2</v>
      </c>
      <c r="FQ8" s="10">
        <v>8.6400000000000005E-2</v>
      </c>
      <c r="FR8" s="1">
        <v>8.6399999999999999E-9</v>
      </c>
      <c r="FS8" s="1">
        <v>2.592E-8</v>
      </c>
      <c r="FT8" s="1">
        <v>8.6399999999999993E-8</v>
      </c>
      <c r="FU8" s="1">
        <v>2.5919999999999999E-7</v>
      </c>
      <c r="FV8" s="1">
        <v>8.639999999999999E-7</v>
      </c>
      <c r="FW8" s="1">
        <v>2.5919999999999999E-6</v>
      </c>
      <c r="FX8" s="1">
        <v>8.6400000000000003E-6</v>
      </c>
      <c r="FY8" s="1">
        <v>2.5919999999999999E-5</v>
      </c>
      <c r="FZ8" s="1">
        <v>8.6399999999999999E-5</v>
      </c>
      <c r="GA8" s="1">
        <v>2.5920000000000001E-4</v>
      </c>
      <c r="GB8" s="1">
        <v>8.6399999999999997E-4</v>
      </c>
      <c r="GC8" s="1">
        <v>2.5920000000000001E-3</v>
      </c>
      <c r="GD8" s="1">
        <v>8.6400000000000001E-3</v>
      </c>
      <c r="GE8" s="1">
        <v>2.5919999999999999E-2</v>
      </c>
      <c r="GF8" s="1">
        <v>8.6399999999999991E-2</v>
      </c>
    </row>
    <row r="9" spans="1:188" x14ac:dyDescent="0.45">
      <c r="A9" t="s">
        <v>547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358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358</v>
      </c>
      <c r="AK9">
        <v>20000000</v>
      </c>
      <c r="AM9" s="1">
        <v>8.6400000000000001E-3</v>
      </c>
      <c r="AN9" s="1">
        <v>2.5919999999999999E-2</v>
      </c>
      <c r="AO9" s="1">
        <v>8.6400000000000005E-2</v>
      </c>
      <c r="AP9" s="1">
        <v>0.25919999999999999</v>
      </c>
      <c r="AQ9" s="1">
        <v>0.86399999999999999</v>
      </c>
      <c r="AR9" s="1">
        <v>2.5920000000000001</v>
      </c>
      <c r="AS9" s="1">
        <v>8.64</v>
      </c>
      <c r="AT9" s="1">
        <v>25.92</v>
      </c>
      <c r="AU9" s="1">
        <v>86.4</v>
      </c>
      <c r="AV9" s="1">
        <v>8.6400000000000001E-3</v>
      </c>
      <c r="AW9" s="1">
        <v>2.5919999999999999E-2</v>
      </c>
      <c r="AX9" s="1">
        <v>8.6400000000000005E-2</v>
      </c>
      <c r="AY9" s="1">
        <v>0.25919999999999999</v>
      </c>
      <c r="AZ9" s="1">
        <v>0.86399999999999999</v>
      </c>
      <c r="BA9" s="1">
        <v>2.5920000000000001</v>
      </c>
      <c r="BB9" s="1">
        <v>8.64</v>
      </c>
      <c r="BC9" s="1">
        <v>25.92</v>
      </c>
      <c r="BD9" s="1">
        <v>86.4</v>
      </c>
      <c r="BE9" s="1">
        <v>8.6400000000000001E-3</v>
      </c>
      <c r="BF9" s="1">
        <v>2.5919999999999999E-2</v>
      </c>
      <c r="BG9" s="1">
        <v>8.6400000000000005E-2</v>
      </c>
      <c r="BH9" s="1">
        <v>0.25919999999999999</v>
      </c>
      <c r="BI9" s="1">
        <v>0.86399999999999999</v>
      </c>
      <c r="BJ9" s="1">
        <v>2.5920000000000001</v>
      </c>
      <c r="BK9" s="1">
        <v>8.64</v>
      </c>
      <c r="BL9" s="1">
        <v>25.92</v>
      </c>
      <c r="BM9" s="1">
        <v>86.4</v>
      </c>
      <c r="BN9" s="1">
        <v>8.6400000000000001E-3</v>
      </c>
      <c r="BO9" s="1">
        <v>2.5919999999999999E-2</v>
      </c>
      <c r="BP9" s="1">
        <v>8.6400000000000005E-2</v>
      </c>
      <c r="BQ9" s="1">
        <v>0.25919999999999999</v>
      </c>
      <c r="BR9" s="1">
        <v>0.86399999999999999</v>
      </c>
      <c r="BS9" s="1">
        <v>2.5920000000000001</v>
      </c>
      <c r="BT9" s="1">
        <v>8.64</v>
      </c>
      <c r="BU9" s="1">
        <v>25.92</v>
      </c>
      <c r="BV9" s="1">
        <v>86.4</v>
      </c>
      <c r="BW9" s="1">
        <v>8.6400000000000001E-3</v>
      </c>
      <c r="BX9" s="1">
        <v>2.5919999999999999E-2</v>
      </c>
      <c r="BY9" s="1">
        <v>8.6400000000000005E-2</v>
      </c>
      <c r="BZ9" s="1">
        <v>0.25919999999999999</v>
      </c>
      <c r="CA9" s="1">
        <v>0.86399999999999999</v>
      </c>
      <c r="CB9" s="1">
        <v>2.5920000000000001</v>
      </c>
      <c r="CC9" s="1">
        <v>8.64</v>
      </c>
      <c r="CD9" s="1">
        <v>25.92</v>
      </c>
      <c r="CE9" s="1">
        <v>86.4</v>
      </c>
      <c r="CF9" s="1">
        <v>8.6400000000000001E-3</v>
      </c>
      <c r="CG9" s="1">
        <v>2.5919999999999999E-2</v>
      </c>
      <c r="CH9" s="1">
        <v>8.6400000000000005E-2</v>
      </c>
      <c r="CI9" s="1">
        <v>0.25919999999999999</v>
      </c>
      <c r="CJ9" s="1">
        <v>0.86399999999999999</v>
      </c>
      <c r="CK9" s="1">
        <v>2.5920000000000001</v>
      </c>
      <c r="CL9" s="1">
        <v>8.64</v>
      </c>
      <c r="CM9" s="1">
        <v>25.92</v>
      </c>
      <c r="CN9" s="1">
        <v>86.4</v>
      </c>
      <c r="CO9" s="1">
        <v>8.6400000000000001E-3</v>
      </c>
      <c r="CP9" s="1">
        <v>2.5919999999999999E-2</v>
      </c>
      <c r="CQ9" s="1">
        <v>8.6400000000000005E-2</v>
      </c>
      <c r="CR9" s="1">
        <v>0.25919999999999999</v>
      </c>
      <c r="CS9" s="1">
        <v>0.86399999999999999</v>
      </c>
      <c r="CT9" s="1">
        <v>2.5920000000000001</v>
      </c>
      <c r="CU9" s="1">
        <v>8.64</v>
      </c>
      <c r="CV9" s="1">
        <v>25.92</v>
      </c>
      <c r="CW9" s="1">
        <v>86.4</v>
      </c>
      <c r="CX9" s="1">
        <v>8.6400000000000001E-3</v>
      </c>
      <c r="CY9" s="1">
        <v>2.5919999999999999E-2</v>
      </c>
      <c r="CZ9" s="1">
        <v>8.6400000000000005E-2</v>
      </c>
      <c r="DA9" s="1">
        <v>0.25919999999999999</v>
      </c>
      <c r="DB9" s="1">
        <v>0.86399999999999999</v>
      </c>
      <c r="DC9" s="1">
        <v>2.5920000000000001</v>
      </c>
      <c r="DD9" s="1">
        <v>8.64</v>
      </c>
      <c r="DE9" s="1">
        <v>25.92</v>
      </c>
      <c r="DF9" s="1">
        <v>86.4</v>
      </c>
      <c r="DG9" s="1">
        <v>8.6400000000000001E-3</v>
      </c>
      <c r="DH9" s="1">
        <v>2.5919999999999999E-2</v>
      </c>
      <c r="DI9" s="1">
        <v>8.6400000000000005E-2</v>
      </c>
      <c r="DJ9" s="1">
        <v>0.25919999999999999</v>
      </c>
      <c r="DK9" s="1">
        <v>0.86399999999999999</v>
      </c>
      <c r="DL9" s="1">
        <v>2.5920000000000001</v>
      </c>
      <c r="DM9" s="1">
        <v>8.64</v>
      </c>
      <c r="DN9" s="1">
        <v>25.92</v>
      </c>
      <c r="DO9" s="1">
        <v>86.4</v>
      </c>
      <c r="DP9" s="1">
        <v>8.6400000000000001E-3</v>
      </c>
      <c r="DQ9" s="1">
        <v>2.5919999999999999E-2</v>
      </c>
      <c r="DR9" s="1">
        <v>8.6400000000000005E-2</v>
      </c>
      <c r="DS9" s="1">
        <v>0.25919999999999999</v>
      </c>
      <c r="DT9" s="1">
        <v>0.86399999999999999</v>
      </c>
      <c r="DU9" s="1">
        <v>2.5920000000000001</v>
      </c>
      <c r="DV9" s="1">
        <v>8.64</v>
      </c>
      <c r="DW9" s="1">
        <v>25.92</v>
      </c>
      <c r="DX9" s="1">
        <v>86.4</v>
      </c>
      <c r="DY9" s="1">
        <v>8.6400000000000001E-3</v>
      </c>
      <c r="DZ9" s="1">
        <v>2.5919999999999999E-2</v>
      </c>
      <c r="EA9" s="1">
        <v>8.6400000000000005E-2</v>
      </c>
      <c r="EB9" s="1">
        <v>0.25919999999999999</v>
      </c>
      <c r="EC9" s="1">
        <v>0.86399999999999999</v>
      </c>
      <c r="ED9" s="1">
        <v>2.5920000000000001</v>
      </c>
      <c r="EE9" s="1">
        <v>8.64</v>
      </c>
      <c r="EF9" s="1">
        <v>25.92</v>
      </c>
      <c r="EG9" s="1">
        <v>86.4</v>
      </c>
      <c r="EH9" s="1">
        <v>8.6400000000000001E-3</v>
      </c>
      <c r="EI9" s="1">
        <v>2.5919999999999999E-2</v>
      </c>
      <c r="EJ9" s="1">
        <v>8.6400000000000005E-2</v>
      </c>
      <c r="EK9" s="1">
        <v>0.25919999999999999</v>
      </c>
      <c r="EL9" s="1">
        <v>0.86399999999999999</v>
      </c>
      <c r="EM9" s="1">
        <v>2.5920000000000001</v>
      </c>
      <c r="EN9" s="1">
        <v>8.64</v>
      </c>
      <c r="EO9" s="1">
        <v>25.92</v>
      </c>
      <c r="EP9" s="1">
        <v>86.4</v>
      </c>
      <c r="EQ9" s="1">
        <v>8.6400000000000001E-3</v>
      </c>
      <c r="ER9" s="1">
        <v>2.5919999999999999E-2</v>
      </c>
      <c r="ES9" s="1">
        <v>8.6400000000000005E-2</v>
      </c>
      <c r="ET9" s="1">
        <v>0.25919999999999999</v>
      </c>
      <c r="EU9" s="1">
        <v>0.86399999999999999</v>
      </c>
      <c r="EV9" s="1">
        <v>2.5920000000000001</v>
      </c>
      <c r="EW9" s="1">
        <v>8.64</v>
      </c>
      <c r="EX9" s="1">
        <v>25.92</v>
      </c>
      <c r="EY9" s="1">
        <v>86.4</v>
      </c>
      <c r="EZ9" s="1">
        <v>8.6400000000000001E-3</v>
      </c>
      <c r="FA9" s="1">
        <v>2.5919999999999999E-2</v>
      </c>
      <c r="FB9" s="1">
        <v>8.6400000000000005E-2</v>
      </c>
      <c r="FC9" s="1">
        <v>0.25919999999999999</v>
      </c>
      <c r="FD9" s="1">
        <v>0.86399999999999999</v>
      </c>
      <c r="FE9" s="1">
        <v>2.5920000000000001</v>
      </c>
      <c r="FF9" s="1">
        <v>8.64</v>
      </c>
      <c r="FG9" s="1">
        <v>25.92</v>
      </c>
      <c r="FH9" s="1">
        <v>86.4</v>
      </c>
      <c r="FI9" s="1">
        <v>8.6400000000000001E-3</v>
      </c>
      <c r="FJ9" s="1">
        <v>2.5919999999999999E-2</v>
      </c>
      <c r="FK9" s="1">
        <v>8.6400000000000005E-2</v>
      </c>
      <c r="FL9" s="1">
        <v>0.25919999999999999</v>
      </c>
      <c r="FM9" s="1">
        <v>0.86399999999999999</v>
      </c>
      <c r="FN9" s="1">
        <v>2.5920000000000001</v>
      </c>
      <c r="FO9" s="1">
        <v>8.64</v>
      </c>
      <c r="FP9" s="1">
        <v>25.92</v>
      </c>
      <c r="FQ9" s="1">
        <v>86.4</v>
      </c>
      <c r="FR9" s="1">
        <v>43.2</v>
      </c>
      <c r="FS9" s="1">
        <v>43.2</v>
      </c>
      <c r="FT9" s="1">
        <v>43.2</v>
      </c>
      <c r="FU9" s="1">
        <v>43.2</v>
      </c>
      <c r="FV9" s="1">
        <v>43.2</v>
      </c>
      <c r="FW9" s="1">
        <v>43.2</v>
      </c>
      <c r="FX9" s="1">
        <v>43.2</v>
      </c>
      <c r="FY9" s="1">
        <v>43.2</v>
      </c>
      <c r="FZ9" s="1">
        <v>43.2</v>
      </c>
      <c r="GA9" s="1">
        <v>43.2</v>
      </c>
      <c r="GB9" s="1">
        <v>43.2</v>
      </c>
      <c r="GC9" s="1">
        <v>43.2</v>
      </c>
      <c r="GD9" s="1">
        <v>43.2</v>
      </c>
      <c r="GE9" s="1">
        <v>43.2</v>
      </c>
      <c r="GF9" s="1">
        <v>43.2</v>
      </c>
    </row>
    <row r="10" spans="1:188" x14ac:dyDescent="0.45">
      <c r="A10" t="s">
        <v>548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359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359</v>
      </c>
      <c r="AK10">
        <v>0</v>
      </c>
      <c r="AM10" s="10">
        <v>8.6399999999999999E-9</v>
      </c>
      <c r="AN10" s="10">
        <v>8.6399999999999999E-9</v>
      </c>
      <c r="AO10" s="10">
        <v>8.6399999999999999E-9</v>
      </c>
      <c r="AP10" s="10">
        <v>8.6399999999999999E-9</v>
      </c>
      <c r="AQ10" s="10">
        <v>8.6399999999999999E-9</v>
      </c>
      <c r="AR10" s="10">
        <v>8.6399999999999999E-9</v>
      </c>
      <c r="AS10" s="10">
        <v>8.6399999999999999E-9</v>
      </c>
      <c r="AT10" s="10">
        <v>8.6399999999999999E-9</v>
      </c>
      <c r="AU10" s="10">
        <v>8.6399999999999999E-9</v>
      </c>
      <c r="AV10" s="10">
        <v>2.592E-8</v>
      </c>
      <c r="AW10" s="10">
        <v>2.592E-8</v>
      </c>
      <c r="AX10" s="10">
        <v>2.592E-8</v>
      </c>
      <c r="AY10" s="10">
        <v>2.592E-8</v>
      </c>
      <c r="AZ10" s="10">
        <v>2.592E-8</v>
      </c>
      <c r="BA10" s="10">
        <v>2.592E-8</v>
      </c>
      <c r="BB10" s="10">
        <v>2.592E-8</v>
      </c>
      <c r="BC10" s="10">
        <v>2.592E-8</v>
      </c>
      <c r="BD10" s="10">
        <v>2.592E-8</v>
      </c>
      <c r="BE10" s="10">
        <v>8.6400000000000006E-8</v>
      </c>
      <c r="BF10" s="10">
        <v>8.6400000000000006E-8</v>
      </c>
      <c r="BG10" s="10">
        <v>8.6400000000000006E-8</v>
      </c>
      <c r="BH10" s="10">
        <v>8.6400000000000006E-8</v>
      </c>
      <c r="BI10" s="10">
        <v>8.6400000000000006E-8</v>
      </c>
      <c r="BJ10" s="10">
        <v>8.6400000000000006E-8</v>
      </c>
      <c r="BK10" s="10">
        <v>8.6400000000000006E-8</v>
      </c>
      <c r="BL10" s="10">
        <v>8.6400000000000006E-8</v>
      </c>
      <c r="BM10" s="10">
        <v>8.6400000000000006E-8</v>
      </c>
      <c r="BN10" s="10">
        <v>2.5919999999999999E-7</v>
      </c>
      <c r="BO10" s="10">
        <v>2.5919999999999999E-7</v>
      </c>
      <c r="BP10" s="10">
        <v>2.5919999999999999E-7</v>
      </c>
      <c r="BQ10" s="10">
        <v>2.5919999999999999E-7</v>
      </c>
      <c r="BR10" s="10">
        <v>2.5919999999999999E-7</v>
      </c>
      <c r="BS10" s="10">
        <v>2.5919999999999999E-7</v>
      </c>
      <c r="BT10" s="10">
        <v>2.5919999999999999E-7</v>
      </c>
      <c r="BU10" s="10">
        <v>2.5919999999999999E-7</v>
      </c>
      <c r="BV10" s="10">
        <v>2.5919999999999999E-7</v>
      </c>
      <c r="BW10" s="10">
        <v>8.6400000000000001E-7</v>
      </c>
      <c r="BX10" s="10">
        <v>8.6400000000000001E-7</v>
      </c>
      <c r="BY10" s="10">
        <v>8.6400000000000001E-7</v>
      </c>
      <c r="BZ10" s="10">
        <v>8.6400000000000001E-7</v>
      </c>
      <c r="CA10" s="10">
        <v>8.6400000000000001E-7</v>
      </c>
      <c r="CB10" s="10">
        <v>8.6400000000000001E-7</v>
      </c>
      <c r="CC10" s="10">
        <v>8.6400000000000001E-7</v>
      </c>
      <c r="CD10" s="10">
        <v>8.6400000000000001E-7</v>
      </c>
      <c r="CE10" s="10">
        <v>8.6400000000000001E-7</v>
      </c>
      <c r="CF10" s="10">
        <v>2.5919999999999999E-6</v>
      </c>
      <c r="CG10" s="10">
        <v>2.5919999999999999E-6</v>
      </c>
      <c r="CH10" s="10">
        <v>2.5919999999999999E-6</v>
      </c>
      <c r="CI10" s="10">
        <v>2.5919999999999999E-6</v>
      </c>
      <c r="CJ10" s="10">
        <v>2.5919999999999999E-6</v>
      </c>
      <c r="CK10" s="10">
        <v>2.5919999999999999E-6</v>
      </c>
      <c r="CL10" s="10">
        <v>2.5919999999999999E-6</v>
      </c>
      <c r="CM10" s="10">
        <v>2.5919999999999999E-6</v>
      </c>
      <c r="CN10" s="10">
        <v>2.5919999999999999E-6</v>
      </c>
      <c r="CO10" s="10">
        <v>8.6400000000000003E-6</v>
      </c>
      <c r="CP10" s="10">
        <v>8.6400000000000003E-6</v>
      </c>
      <c r="CQ10" s="10">
        <v>8.6400000000000003E-6</v>
      </c>
      <c r="CR10" s="10">
        <v>8.6400000000000003E-6</v>
      </c>
      <c r="CS10" s="10">
        <v>8.6400000000000003E-6</v>
      </c>
      <c r="CT10" s="10">
        <v>8.6400000000000003E-6</v>
      </c>
      <c r="CU10" s="10">
        <v>8.6400000000000003E-6</v>
      </c>
      <c r="CV10" s="10">
        <v>8.6400000000000003E-6</v>
      </c>
      <c r="CW10" s="10">
        <v>8.6400000000000003E-6</v>
      </c>
      <c r="CX10" s="10">
        <v>2.5919999999999999E-5</v>
      </c>
      <c r="CY10" s="10">
        <v>2.5919999999999999E-5</v>
      </c>
      <c r="CZ10" s="10">
        <v>2.5919999999999999E-5</v>
      </c>
      <c r="DA10" s="10">
        <v>2.5919999999999999E-5</v>
      </c>
      <c r="DB10" s="10">
        <v>2.5919999999999999E-5</v>
      </c>
      <c r="DC10" s="10">
        <v>2.5919999999999999E-5</v>
      </c>
      <c r="DD10" s="10">
        <v>2.5919999999999999E-5</v>
      </c>
      <c r="DE10" s="10">
        <v>2.5919999999999999E-5</v>
      </c>
      <c r="DF10" s="10">
        <v>2.5919999999999999E-5</v>
      </c>
      <c r="DG10" s="10">
        <v>8.6399999999999999E-5</v>
      </c>
      <c r="DH10" s="10">
        <v>8.6399999999999999E-5</v>
      </c>
      <c r="DI10" s="10">
        <v>8.6399999999999999E-5</v>
      </c>
      <c r="DJ10" s="10">
        <v>8.6399999999999999E-5</v>
      </c>
      <c r="DK10" s="10">
        <v>8.6399999999999999E-5</v>
      </c>
      <c r="DL10" s="10">
        <v>8.6399999999999999E-5</v>
      </c>
      <c r="DM10" s="10">
        <v>8.6399999999999999E-5</v>
      </c>
      <c r="DN10" s="10">
        <v>8.6399999999999999E-5</v>
      </c>
      <c r="DO10" s="10">
        <v>8.6399999999999999E-5</v>
      </c>
      <c r="DP10" s="10">
        <v>2.5920000000000001E-4</v>
      </c>
      <c r="DQ10" s="10">
        <v>2.5920000000000001E-4</v>
      </c>
      <c r="DR10" s="10">
        <v>2.5920000000000001E-4</v>
      </c>
      <c r="DS10" s="10">
        <v>2.5920000000000001E-4</v>
      </c>
      <c r="DT10" s="10">
        <v>2.5920000000000001E-4</v>
      </c>
      <c r="DU10" s="10">
        <v>2.5920000000000001E-4</v>
      </c>
      <c r="DV10" s="10">
        <v>2.5920000000000001E-4</v>
      </c>
      <c r="DW10" s="10">
        <v>2.5920000000000001E-4</v>
      </c>
      <c r="DX10" s="10">
        <v>2.5920000000000001E-4</v>
      </c>
      <c r="DY10" s="10">
        <v>8.6399999999999997E-4</v>
      </c>
      <c r="DZ10" s="10">
        <v>8.6399999999999997E-4</v>
      </c>
      <c r="EA10" s="10">
        <v>8.6399999999999997E-4</v>
      </c>
      <c r="EB10" s="10">
        <v>8.6399999999999997E-4</v>
      </c>
      <c r="EC10" s="10">
        <v>8.6399999999999997E-4</v>
      </c>
      <c r="ED10" s="10">
        <v>8.6399999999999997E-4</v>
      </c>
      <c r="EE10" s="10">
        <v>8.6399999999999997E-4</v>
      </c>
      <c r="EF10" s="10">
        <v>8.6399999999999997E-4</v>
      </c>
      <c r="EG10" s="10">
        <v>8.6399999999999997E-4</v>
      </c>
      <c r="EH10" s="10">
        <v>2.5920000000000001E-3</v>
      </c>
      <c r="EI10" s="10">
        <v>2.5920000000000001E-3</v>
      </c>
      <c r="EJ10" s="10">
        <v>2.5920000000000001E-3</v>
      </c>
      <c r="EK10" s="10">
        <v>2.5920000000000001E-3</v>
      </c>
      <c r="EL10" s="10">
        <v>2.5920000000000001E-3</v>
      </c>
      <c r="EM10" s="10">
        <v>2.5920000000000001E-3</v>
      </c>
      <c r="EN10" s="10">
        <v>2.5920000000000001E-3</v>
      </c>
      <c r="EO10" s="10">
        <v>2.5920000000000001E-3</v>
      </c>
      <c r="EP10" s="10">
        <v>2.5920000000000001E-3</v>
      </c>
      <c r="EQ10" s="10">
        <v>8.6400000000000001E-3</v>
      </c>
      <c r="ER10" s="10">
        <v>8.6400000000000001E-3</v>
      </c>
      <c r="ES10" s="10">
        <v>8.6400000000000001E-3</v>
      </c>
      <c r="ET10" s="10">
        <v>8.6400000000000001E-3</v>
      </c>
      <c r="EU10" s="10">
        <v>8.6400000000000001E-3</v>
      </c>
      <c r="EV10" s="10">
        <v>8.6400000000000001E-3</v>
      </c>
      <c r="EW10" s="10">
        <v>8.6400000000000001E-3</v>
      </c>
      <c r="EX10" s="10">
        <v>8.6400000000000001E-3</v>
      </c>
      <c r="EY10" s="10">
        <v>8.6400000000000001E-3</v>
      </c>
      <c r="EZ10" s="10">
        <v>2.5919999999999999E-2</v>
      </c>
      <c r="FA10" s="10">
        <v>2.5919999999999999E-2</v>
      </c>
      <c r="FB10" s="10">
        <v>2.5919999999999999E-2</v>
      </c>
      <c r="FC10" s="10">
        <v>2.5919999999999999E-2</v>
      </c>
      <c r="FD10" s="10">
        <v>2.5919999999999999E-2</v>
      </c>
      <c r="FE10" s="10">
        <v>2.5919999999999999E-2</v>
      </c>
      <c r="FF10" s="10">
        <v>2.5919999999999999E-2</v>
      </c>
      <c r="FG10" s="10">
        <v>2.5919999999999999E-2</v>
      </c>
      <c r="FH10" s="10">
        <v>2.5919999999999999E-2</v>
      </c>
      <c r="FI10" s="10">
        <v>8.6400000000000005E-2</v>
      </c>
      <c r="FJ10" s="10">
        <v>8.6400000000000005E-2</v>
      </c>
      <c r="FK10" s="10">
        <v>8.6400000000000005E-2</v>
      </c>
      <c r="FL10" s="10">
        <v>8.6400000000000005E-2</v>
      </c>
      <c r="FM10" s="10">
        <v>8.6400000000000005E-2</v>
      </c>
      <c r="FN10" s="10">
        <v>8.6400000000000005E-2</v>
      </c>
      <c r="FO10" s="10">
        <v>8.6400000000000005E-2</v>
      </c>
      <c r="FP10" s="10">
        <v>8.6400000000000005E-2</v>
      </c>
      <c r="FQ10" s="10">
        <v>8.6400000000000005E-2</v>
      </c>
      <c r="FR10" s="1">
        <v>8.6399999999999999E-9</v>
      </c>
      <c r="FS10" s="1">
        <v>2.592E-8</v>
      </c>
      <c r="FT10" s="1">
        <v>8.6399999999999993E-8</v>
      </c>
      <c r="FU10" s="1">
        <v>2.5919999999999999E-7</v>
      </c>
      <c r="FV10" s="1">
        <v>8.639999999999999E-7</v>
      </c>
      <c r="FW10" s="1">
        <v>2.5919999999999999E-6</v>
      </c>
      <c r="FX10" s="1">
        <v>8.6400000000000003E-6</v>
      </c>
      <c r="FY10" s="1">
        <v>2.5919999999999999E-5</v>
      </c>
      <c r="FZ10" s="1">
        <v>8.6399999999999999E-5</v>
      </c>
      <c r="GA10" s="1">
        <v>2.5920000000000001E-4</v>
      </c>
      <c r="GB10" s="1">
        <v>8.6399999999999997E-4</v>
      </c>
      <c r="GC10" s="1">
        <v>2.5920000000000001E-3</v>
      </c>
      <c r="GD10" s="1">
        <v>8.6400000000000001E-3</v>
      </c>
      <c r="GE10" s="1">
        <v>2.5919999999999999E-2</v>
      </c>
      <c r="GF10" s="1">
        <v>8.6399999999999991E-2</v>
      </c>
    </row>
    <row r="11" spans="1:188" x14ac:dyDescent="0.45">
      <c r="A11" t="s">
        <v>549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359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359</v>
      </c>
      <c r="AK11">
        <v>27000</v>
      </c>
      <c r="AM11" s="1">
        <v>8.6400000000000001E-3</v>
      </c>
      <c r="AN11" s="1">
        <v>2.5919999999999999E-2</v>
      </c>
      <c r="AO11" s="1">
        <v>8.6400000000000005E-2</v>
      </c>
      <c r="AP11" s="1">
        <v>0.25919999999999999</v>
      </c>
      <c r="AQ11" s="1">
        <v>0.86399999999999999</v>
      </c>
      <c r="AR11" s="1">
        <v>2.5920000000000001</v>
      </c>
      <c r="AS11" s="1">
        <v>8.64</v>
      </c>
      <c r="AT11" s="1">
        <v>25.92</v>
      </c>
      <c r="AU11" s="1">
        <v>86.4</v>
      </c>
      <c r="AV11" s="1">
        <v>8.6400000000000001E-3</v>
      </c>
      <c r="AW11" s="1">
        <v>2.5919999999999999E-2</v>
      </c>
      <c r="AX11" s="1">
        <v>8.6400000000000005E-2</v>
      </c>
      <c r="AY11" s="1">
        <v>0.25919999999999999</v>
      </c>
      <c r="AZ11" s="1">
        <v>0.86399999999999999</v>
      </c>
      <c r="BA11" s="1">
        <v>2.5920000000000001</v>
      </c>
      <c r="BB11" s="1">
        <v>8.64</v>
      </c>
      <c r="BC11" s="1">
        <v>25.92</v>
      </c>
      <c r="BD11" s="1">
        <v>86.4</v>
      </c>
      <c r="BE11" s="1">
        <v>8.6400000000000001E-3</v>
      </c>
      <c r="BF11" s="1">
        <v>2.5919999999999999E-2</v>
      </c>
      <c r="BG11" s="1">
        <v>8.6400000000000005E-2</v>
      </c>
      <c r="BH11" s="1">
        <v>0.25919999999999999</v>
      </c>
      <c r="BI11" s="1">
        <v>0.86399999999999999</v>
      </c>
      <c r="BJ11" s="1">
        <v>2.5920000000000001</v>
      </c>
      <c r="BK11" s="1">
        <v>8.64</v>
      </c>
      <c r="BL11" s="1">
        <v>25.92</v>
      </c>
      <c r="BM11" s="1">
        <v>86.4</v>
      </c>
      <c r="BN11" s="1">
        <v>8.6400000000000001E-3</v>
      </c>
      <c r="BO11" s="1">
        <v>2.5919999999999999E-2</v>
      </c>
      <c r="BP11" s="1">
        <v>8.6400000000000005E-2</v>
      </c>
      <c r="BQ11" s="1">
        <v>0.25919999999999999</v>
      </c>
      <c r="BR11" s="1">
        <v>0.86399999999999999</v>
      </c>
      <c r="BS11" s="1">
        <v>2.5920000000000001</v>
      </c>
      <c r="BT11" s="1">
        <v>8.64</v>
      </c>
      <c r="BU11" s="1">
        <v>25.92</v>
      </c>
      <c r="BV11" s="1">
        <v>86.4</v>
      </c>
      <c r="BW11" s="1">
        <v>8.6400000000000001E-3</v>
      </c>
      <c r="BX11" s="1">
        <v>2.5919999999999999E-2</v>
      </c>
      <c r="BY11" s="1">
        <v>8.6400000000000005E-2</v>
      </c>
      <c r="BZ11" s="1">
        <v>0.25919999999999999</v>
      </c>
      <c r="CA11" s="1">
        <v>0.86399999999999999</v>
      </c>
      <c r="CB11" s="1">
        <v>2.5920000000000001</v>
      </c>
      <c r="CC11" s="1">
        <v>8.64</v>
      </c>
      <c r="CD11" s="1">
        <v>25.92</v>
      </c>
      <c r="CE11" s="1">
        <v>86.4</v>
      </c>
      <c r="CF11" s="1">
        <v>8.6400000000000001E-3</v>
      </c>
      <c r="CG11" s="1">
        <v>2.5919999999999999E-2</v>
      </c>
      <c r="CH11" s="1">
        <v>8.6400000000000005E-2</v>
      </c>
      <c r="CI11" s="1">
        <v>0.25919999999999999</v>
      </c>
      <c r="CJ11" s="1">
        <v>0.86399999999999999</v>
      </c>
      <c r="CK11" s="1">
        <v>2.5920000000000001</v>
      </c>
      <c r="CL11" s="1">
        <v>8.64</v>
      </c>
      <c r="CM11" s="1">
        <v>25.92</v>
      </c>
      <c r="CN11" s="1">
        <v>86.4</v>
      </c>
      <c r="CO11" s="1">
        <v>8.6400000000000001E-3</v>
      </c>
      <c r="CP11" s="1">
        <v>2.5919999999999999E-2</v>
      </c>
      <c r="CQ11" s="1">
        <v>8.6400000000000005E-2</v>
      </c>
      <c r="CR11" s="1">
        <v>0.25919999999999999</v>
      </c>
      <c r="CS11" s="1">
        <v>0.86399999999999999</v>
      </c>
      <c r="CT11" s="1">
        <v>2.5920000000000001</v>
      </c>
      <c r="CU11" s="1">
        <v>8.64</v>
      </c>
      <c r="CV11" s="1">
        <v>25.92</v>
      </c>
      <c r="CW11" s="1">
        <v>86.4</v>
      </c>
      <c r="CX11" s="1">
        <v>8.6400000000000001E-3</v>
      </c>
      <c r="CY11" s="1">
        <v>2.5919999999999999E-2</v>
      </c>
      <c r="CZ11" s="1">
        <v>8.6400000000000005E-2</v>
      </c>
      <c r="DA11" s="1">
        <v>0.25919999999999999</v>
      </c>
      <c r="DB11" s="1">
        <v>0.86399999999999999</v>
      </c>
      <c r="DC11" s="1">
        <v>2.5920000000000001</v>
      </c>
      <c r="DD11" s="1">
        <v>8.64</v>
      </c>
      <c r="DE11" s="1">
        <v>25.92</v>
      </c>
      <c r="DF11" s="1">
        <v>86.4</v>
      </c>
      <c r="DG11" s="1">
        <v>8.6400000000000001E-3</v>
      </c>
      <c r="DH11" s="1">
        <v>2.5919999999999999E-2</v>
      </c>
      <c r="DI11" s="1">
        <v>8.6400000000000005E-2</v>
      </c>
      <c r="DJ11" s="1">
        <v>0.25919999999999999</v>
      </c>
      <c r="DK11" s="1">
        <v>0.86399999999999999</v>
      </c>
      <c r="DL11" s="1">
        <v>2.5920000000000001</v>
      </c>
      <c r="DM11" s="1">
        <v>8.64</v>
      </c>
      <c r="DN11" s="1">
        <v>25.92</v>
      </c>
      <c r="DO11" s="1">
        <v>86.4</v>
      </c>
      <c r="DP11" s="1">
        <v>8.6400000000000001E-3</v>
      </c>
      <c r="DQ11" s="1">
        <v>2.5919999999999999E-2</v>
      </c>
      <c r="DR11" s="1">
        <v>8.6400000000000005E-2</v>
      </c>
      <c r="DS11" s="1">
        <v>0.25919999999999999</v>
      </c>
      <c r="DT11" s="1">
        <v>0.86399999999999999</v>
      </c>
      <c r="DU11" s="1">
        <v>2.5920000000000001</v>
      </c>
      <c r="DV11" s="1">
        <v>8.64</v>
      </c>
      <c r="DW11" s="1">
        <v>25.92</v>
      </c>
      <c r="DX11" s="1">
        <v>86.4</v>
      </c>
      <c r="DY11" s="1">
        <v>8.6400000000000001E-3</v>
      </c>
      <c r="DZ11" s="1">
        <v>2.5919999999999999E-2</v>
      </c>
      <c r="EA11" s="1">
        <v>8.6400000000000005E-2</v>
      </c>
      <c r="EB11" s="1">
        <v>0.25919999999999999</v>
      </c>
      <c r="EC11" s="1">
        <v>0.86399999999999999</v>
      </c>
      <c r="ED11" s="1">
        <v>2.5920000000000001</v>
      </c>
      <c r="EE11" s="1">
        <v>8.64</v>
      </c>
      <c r="EF11" s="1">
        <v>25.92</v>
      </c>
      <c r="EG11" s="1">
        <v>86.4</v>
      </c>
      <c r="EH11" s="1">
        <v>8.6400000000000001E-3</v>
      </c>
      <c r="EI11" s="1">
        <v>2.5919999999999999E-2</v>
      </c>
      <c r="EJ11" s="1">
        <v>8.6400000000000005E-2</v>
      </c>
      <c r="EK11" s="1">
        <v>0.25919999999999999</v>
      </c>
      <c r="EL11" s="1">
        <v>0.86399999999999999</v>
      </c>
      <c r="EM11" s="1">
        <v>2.5920000000000001</v>
      </c>
      <c r="EN11" s="1">
        <v>8.64</v>
      </c>
      <c r="EO11" s="1">
        <v>25.92</v>
      </c>
      <c r="EP11" s="1">
        <v>86.4</v>
      </c>
      <c r="EQ11" s="1">
        <v>8.6400000000000001E-3</v>
      </c>
      <c r="ER11" s="1">
        <v>2.5919999999999999E-2</v>
      </c>
      <c r="ES11" s="1">
        <v>8.6400000000000005E-2</v>
      </c>
      <c r="ET11" s="1">
        <v>0.25919999999999999</v>
      </c>
      <c r="EU11" s="1">
        <v>0.86399999999999999</v>
      </c>
      <c r="EV11" s="1">
        <v>2.5920000000000001</v>
      </c>
      <c r="EW11" s="1">
        <v>8.64</v>
      </c>
      <c r="EX11" s="1">
        <v>25.92</v>
      </c>
      <c r="EY11" s="1">
        <v>86.4</v>
      </c>
      <c r="EZ11" s="1">
        <v>8.6400000000000001E-3</v>
      </c>
      <c r="FA11" s="1">
        <v>2.5919999999999999E-2</v>
      </c>
      <c r="FB11" s="1">
        <v>8.6400000000000005E-2</v>
      </c>
      <c r="FC11" s="1">
        <v>0.25919999999999999</v>
      </c>
      <c r="FD11" s="1">
        <v>0.86399999999999999</v>
      </c>
      <c r="FE11" s="1">
        <v>2.5920000000000001</v>
      </c>
      <c r="FF11" s="1">
        <v>8.64</v>
      </c>
      <c r="FG11" s="1">
        <v>25.92</v>
      </c>
      <c r="FH11" s="1">
        <v>86.4</v>
      </c>
      <c r="FI11" s="1">
        <v>8.6400000000000001E-3</v>
      </c>
      <c r="FJ11" s="1">
        <v>2.5919999999999999E-2</v>
      </c>
      <c r="FK11" s="1">
        <v>8.6400000000000005E-2</v>
      </c>
      <c r="FL11" s="1">
        <v>0.25919999999999999</v>
      </c>
      <c r="FM11" s="1">
        <v>0.86399999999999999</v>
      </c>
      <c r="FN11" s="1">
        <v>2.5920000000000001</v>
      </c>
      <c r="FO11" s="1">
        <v>8.64</v>
      </c>
      <c r="FP11" s="1">
        <v>25.92</v>
      </c>
      <c r="FQ11" s="1">
        <v>86.4</v>
      </c>
      <c r="FR11" s="1">
        <v>43.2</v>
      </c>
      <c r="FS11" s="1">
        <v>43.2</v>
      </c>
      <c r="FT11" s="1">
        <v>43.2</v>
      </c>
      <c r="FU11" s="1">
        <v>43.2</v>
      </c>
      <c r="FV11" s="1">
        <v>43.2</v>
      </c>
      <c r="FW11" s="1">
        <v>43.2</v>
      </c>
      <c r="FX11" s="1">
        <v>43.2</v>
      </c>
      <c r="FY11" s="1">
        <v>43.2</v>
      </c>
      <c r="FZ11" s="1">
        <v>43.2</v>
      </c>
      <c r="GA11" s="1">
        <v>43.2</v>
      </c>
      <c r="GB11" s="1">
        <v>43.2</v>
      </c>
      <c r="GC11" s="1">
        <v>43.2</v>
      </c>
      <c r="GD11" s="1">
        <v>43.2</v>
      </c>
      <c r="GE11" s="1">
        <v>43.2</v>
      </c>
      <c r="GF11" s="1">
        <v>43.2</v>
      </c>
    </row>
    <row r="12" spans="1:188" x14ac:dyDescent="0.45">
      <c r="A12" t="s">
        <v>550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359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359</v>
      </c>
      <c r="AK12">
        <v>20000000</v>
      </c>
    </row>
    <row r="13" spans="1:188" x14ac:dyDescent="0.45">
      <c r="A13" t="s">
        <v>551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360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360</v>
      </c>
      <c r="AK13">
        <v>0</v>
      </c>
    </row>
    <row r="14" spans="1:188" x14ac:dyDescent="0.45">
      <c r="A14" t="s">
        <v>552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360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360</v>
      </c>
      <c r="AK14">
        <v>27000</v>
      </c>
    </row>
    <row r="15" spans="1:188" x14ac:dyDescent="0.45">
      <c r="A15" t="s">
        <v>553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360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360</v>
      </c>
      <c r="AK15">
        <v>20000000</v>
      </c>
    </row>
    <row r="16" spans="1:188" x14ac:dyDescent="0.45">
      <c r="A16" t="s">
        <v>554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555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555</v>
      </c>
      <c r="AK16">
        <v>0</v>
      </c>
    </row>
    <row r="17" spans="1:37" x14ac:dyDescent="0.45">
      <c r="A17" t="s">
        <v>556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555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555</v>
      </c>
      <c r="AK17">
        <v>27000</v>
      </c>
    </row>
    <row r="18" spans="1:37" x14ac:dyDescent="0.45">
      <c r="A18" t="s">
        <v>557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558</v>
      </c>
      <c r="R18" t="s">
        <v>555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555</v>
      </c>
      <c r="AK18">
        <v>20000000</v>
      </c>
    </row>
    <row r="19" spans="1:37" x14ac:dyDescent="0.45">
      <c r="A19" t="s">
        <v>559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560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82</v>
      </c>
      <c r="L20" s="3" t="s">
        <v>70</v>
      </c>
      <c r="M20" s="3" t="s">
        <v>72</v>
      </c>
      <c r="N20" s="3" t="s">
        <v>73</v>
      </c>
      <c r="O20" s="3" t="s">
        <v>74</v>
      </c>
      <c r="P20" s="3" t="s">
        <v>75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561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562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563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564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565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566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567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568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569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570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571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572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573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574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  <c r="AD30" t="s">
        <v>575</v>
      </c>
      <c r="AE30" s="12">
        <v>200</v>
      </c>
      <c r="AF30" s="12">
        <v>200</v>
      </c>
      <c r="AG30" s="12">
        <v>200</v>
      </c>
      <c r="AH30" s="12">
        <v>200</v>
      </c>
      <c r="AI30" s="12">
        <v>200</v>
      </c>
      <c r="AJ30" s="12">
        <v>200</v>
      </c>
    </row>
    <row r="31" spans="1:37" x14ac:dyDescent="0.45">
      <c r="A31" t="s">
        <v>576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577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  <c r="AE31" s="11">
        <v>0.75</v>
      </c>
      <c r="AF31" s="11">
        <v>0.5</v>
      </c>
      <c r="AG31" s="11">
        <v>0.25</v>
      </c>
      <c r="AH31" s="11">
        <v>0.1</v>
      </c>
      <c r="AI31" s="11">
        <v>0.01</v>
      </c>
      <c r="AJ31" s="11">
        <v>0</v>
      </c>
    </row>
    <row r="32" spans="1:37" x14ac:dyDescent="0.45">
      <c r="A32" t="s">
        <v>578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  <c r="AD32" t="s">
        <v>579</v>
      </c>
      <c r="AE32" s="2">
        <f t="shared" ref="AE32:AJ32" si="4">+AE31*AE30</f>
        <v>150</v>
      </c>
      <c r="AF32" s="2">
        <f t="shared" si="4"/>
        <v>100</v>
      </c>
      <c r="AG32" s="2">
        <f t="shared" si="4"/>
        <v>50</v>
      </c>
      <c r="AH32" s="2">
        <f t="shared" si="4"/>
        <v>20</v>
      </c>
      <c r="AI32" s="2">
        <f t="shared" si="4"/>
        <v>2</v>
      </c>
      <c r="AJ32" s="2">
        <f t="shared" si="4"/>
        <v>0</v>
      </c>
    </row>
    <row r="33" spans="1:42" x14ac:dyDescent="0.45">
      <c r="A33" t="s">
        <v>580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42" x14ac:dyDescent="0.45">
      <c r="A34" t="s">
        <v>581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5">+W34/100</f>
        <v>5.0209969717145189E-6</v>
      </c>
      <c r="Y34" s="1">
        <f t="shared" ref="Y34:Y65" si="6">+W34</f>
        <v>5.0209969717145185E-4</v>
      </c>
      <c r="Z34" s="1">
        <f t="shared" ref="Z34:Z65" si="7">+Y34/100</f>
        <v>5.0209969717145189E-6</v>
      </c>
      <c r="AA34" s="1">
        <f t="shared" ref="AA34:AA65" si="8">+W34</f>
        <v>5.0209969717145185E-4</v>
      </c>
      <c r="AD34" t="s">
        <v>582</v>
      </c>
      <c r="AE34" s="1">
        <f t="shared" ref="AE34:AJ34" si="9">AE32/(1000*360)</f>
        <v>4.1666666666666669E-4</v>
      </c>
      <c r="AF34" s="1">
        <f t="shared" si="9"/>
        <v>2.7777777777777778E-4</v>
      </c>
      <c r="AG34" s="1">
        <f t="shared" si="9"/>
        <v>1.3888888888888889E-4</v>
      </c>
      <c r="AH34" s="1">
        <f t="shared" si="9"/>
        <v>5.5555555555555558E-5</v>
      </c>
      <c r="AI34" s="1">
        <f t="shared" si="9"/>
        <v>5.5555555555555558E-6</v>
      </c>
      <c r="AJ34" s="1">
        <f t="shared" si="9"/>
        <v>0</v>
      </c>
    </row>
    <row r="35" spans="1:42" x14ac:dyDescent="0.45">
      <c r="A35" t="s">
        <v>583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5"/>
        <v>7.4802277554614559E-6</v>
      </c>
      <c r="Y35" s="1">
        <f t="shared" si="6"/>
        <v>7.4802277554614563E-4</v>
      </c>
      <c r="Z35" s="1">
        <f t="shared" si="7"/>
        <v>7.4802277554614559E-6</v>
      </c>
      <c r="AA35" s="1">
        <f t="shared" si="8"/>
        <v>7.4802277554614563E-4</v>
      </c>
    </row>
    <row r="36" spans="1:42" x14ac:dyDescent="0.45">
      <c r="A36" t="s">
        <v>584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5"/>
        <v>5.6061012672548299E-6</v>
      </c>
      <c r="Y36" s="1">
        <f t="shared" si="6"/>
        <v>5.6061012672548299E-4</v>
      </c>
      <c r="Z36" s="1">
        <f t="shared" si="7"/>
        <v>5.6061012672548299E-6</v>
      </c>
      <c r="AA36" s="1">
        <f t="shared" si="8"/>
        <v>5.6061012672548299E-4</v>
      </c>
    </row>
    <row r="37" spans="1:42" x14ac:dyDescent="0.45">
      <c r="A37" t="s">
        <v>585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5"/>
        <v>8.2964178446747183E-6</v>
      </c>
      <c r="Y37" s="1">
        <f t="shared" si="6"/>
        <v>8.2964178446747177E-4</v>
      </c>
      <c r="Z37" s="1">
        <f t="shared" si="7"/>
        <v>8.2964178446747183E-6</v>
      </c>
      <c r="AA37" s="1">
        <f t="shared" si="8"/>
        <v>8.2964178446747177E-4</v>
      </c>
    </row>
    <row r="38" spans="1:42" x14ac:dyDescent="0.45">
      <c r="A38" t="s">
        <v>586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5"/>
        <v>5.5192525783438831E-6</v>
      </c>
      <c r="Y38" s="1">
        <f t="shared" si="6"/>
        <v>5.5192525783438826E-4</v>
      </c>
      <c r="Z38" s="1">
        <f t="shared" si="7"/>
        <v>5.5192525783438831E-6</v>
      </c>
      <c r="AA38" s="1">
        <f t="shared" si="8"/>
        <v>5.5192525783438826E-4</v>
      </c>
    </row>
    <row r="39" spans="1:42" x14ac:dyDescent="0.45">
      <c r="A39" t="s">
        <v>587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5"/>
        <v>2.594301690595899E-6</v>
      </c>
      <c r="Y39" s="1">
        <f t="shared" si="6"/>
        <v>2.594301690595899E-4</v>
      </c>
      <c r="Z39" s="1">
        <f t="shared" si="7"/>
        <v>2.594301690595899E-6</v>
      </c>
      <c r="AA39" s="1">
        <f t="shared" si="8"/>
        <v>2.594301690595899E-4</v>
      </c>
    </row>
    <row r="40" spans="1:42" x14ac:dyDescent="0.45">
      <c r="A40" t="s">
        <v>588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5"/>
        <v>5.875880691815483E-6</v>
      </c>
      <c r="Y40" s="1">
        <f t="shared" si="6"/>
        <v>5.8758806918154829E-4</v>
      </c>
      <c r="Z40" s="1">
        <f t="shared" si="7"/>
        <v>5.875880691815483E-6</v>
      </c>
      <c r="AA40" s="1">
        <f t="shared" si="8"/>
        <v>5.8758806918154829E-4</v>
      </c>
    </row>
    <row r="41" spans="1:42" x14ac:dyDescent="0.45">
      <c r="A41" t="s">
        <v>589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5"/>
        <v>7.1827862361545341E-6</v>
      </c>
      <c r="Y41" s="1">
        <f t="shared" si="6"/>
        <v>7.1827862361545337E-4</v>
      </c>
      <c r="Z41" s="1">
        <f t="shared" si="7"/>
        <v>7.1827862361545341E-6</v>
      </c>
      <c r="AA41" s="1">
        <f t="shared" si="8"/>
        <v>7.1827862361545337E-4</v>
      </c>
    </row>
    <row r="42" spans="1:42" x14ac:dyDescent="0.45">
      <c r="A42" t="s">
        <v>590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5"/>
        <v>6.3964240766474304E-6</v>
      </c>
      <c r="Y42" s="1">
        <f t="shared" si="6"/>
        <v>6.3964240766474305E-4</v>
      </c>
      <c r="Z42" s="1">
        <f t="shared" si="7"/>
        <v>6.3964240766474304E-6</v>
      </c>
      <c r="AA42" s="1">
        <f t="shared" si="8"/>
        <v>6.3964240766474305E-4</v>
      </c>
    </row>
    <row r="43" spans="1:42" x14ac:dyDescent="0.45">
      <c r="A43" t="s">
        <v>591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5"/>
        <v>6.4218380286974329E-6</v>
      </c>
      <c r="Y43" s="1">
        <f t="shared" si="6"/>
        <v>6.4218380286974329E-4</v>
      </c>
      <c r="Z43" s="1">
        <f t="shared" si="7"/>
        <v>6.4218380286974329E-6</v>
      </c>
      <c r="AA43" s="1">
        <f t="shared" si="8"/>
        <v>6.4218380286974329E-4</v>
      </c>
    </row>
    <row r="44" spans="1:42" x14ac:dyDescent="0.45">
      <c r="A44" t="s">
        <v>592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5"/>
        <v>7.9556383137322939E-6</v>
      </c>
      <c r="Y44" s="1">
        <f t="shared" si="6"/>
        <v>7.9556383137322937E-4</v>
      </c>
      <c r="Z44" s="1">
        <f t="shared" si="7"/>
        <v>7.9556383137322939E-6</v>
      </c>
      <c r="AA44" s="1">
        <f t="shared" si="8"/>
        <v>7.9556383137322937E-4</v>
      </c>
    </row>
    <row r="45" spans="1:42" x14ac:dyDescent="0.45">
      <c r="A45" t="s">
        <v>593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5"/>
        <v>4.7143997174482336E-6</v>
      </c>
      <c r="Y45" s="1">
        <f t="shared" si="6"/>
        <v>4.7143997174482332E-4</v>
      </c>
      <c r="Z45" s="1">
        <f t="shared" si="7"/>
        <v>4.7143997174482336E-6</v>
      </c>
      <c r="AA45" s="1">
        <f t="shared" si="8"/>
        <v>4.7143997174482332E-4</v>
      </c>
    </row>
    <row r="46" spans="1:42" x14ac:dyDescent="0.45">
      <c r="A46" t="s">
        <v>594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5"/>
        <v>6.1579065355337439E-6</v>
      </c>
      <c r="Y46" s="1">
        <f t="shared" si="6"/>
        <v>6.1579065355337435E-4</v>
      </c>
      <c r="Z46" s="1">
        <f t="shared" si="7"/>
        <v>6.1579065355337439E-6</v>
      </c>
      <c r="AA46" s="1">
        <f t="shared" si="8"/>
        <v>6.1579065355337435E-4</v>
      </c>
      <c r="AD46" t="s">
        <v>354</v>
      </c>
      <c r="AE46" t="s">
        <v>82</v>
      </c>
      <c r="AF46" t="s">
        <v>384</v>
      </c>
      <c r="AG46" t="s">
        <v>379</v>
      </c>
      <c r="AH46" t="s">
        <v>380</v>
      </c>
      <c r="AI46" t="s">
        <v>381</v>
      </c>
      <c r="AJ46" t="s">
        <v>382</v>
      </c>
      <c r="AK46" t="s">
        <v>383</v>
      </c>
      <c r="AL46" t="s">
        <v>595</v>
      </c>
      <c r="AM46" t="s">
        <v>596</v>
      </c>
      <c r="AN46" t="s">
        <v>597</v>
      </c>
      <c r="AO46" t="s">
        <v>598</v>
      </c>
      <c r="AP46" t="s">
        <v>599</v>
      </c>
    </row>
    <row r="47" spans="1:42" x14ac:dyDescent="0.45">
      <c r="A47" t="s">
        <v>600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5"/>
        <v>6.1124317251300025E-6</v>
      </c>
      <c r="Y47" s="1">
        <f t="shared" si="6"/>
        <v>6.1124317251300023E-4</v>
      </c>
      <c r="Z47" s="1">
        <f t="shared" si="7"/>
        <v>6.1124317251300025E-6</v>
      </c>
      <c r="AA47" s="1">
        <f t="shared" si="8"/>
        <v>6.1124317251300023E-4</v>
      </c>
      <c r="AD47" t="s">
        <v>356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45">
      <c r="A48" t="s">
        <v>601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5"/>
        <v>8.2762994075904666E-6</v>
      </c>
      <c r="Y48" s="1">
        <f t="shared" si="6"/>
        <v>8.2762994075904659E-4</v>
      </c>
      <c r="Z48" s="1">
        <f t="shared" si="7"/>
        <v>8.2762994075904666E-6</v>
      </c>
      <c r="AA48" s="1">
        <f t="shared" si="8"/>
        <v>8.2762994075904659E-4</v>
      </c>
      <c r="AD48" t="s">
        <v>356</v>
      </c>
      <c r="AE48" s="3">
        <v>3600000</v>
      </c>
      <c r="AF48">
        <v>0</v>
      </c>
      <c r="AG48">
        <v>-0.02</v>
      </c>
      <c r="AH48">
        <v>-0.2</v>
      </c>
      <c r="AI48">
        <v>-1</v>
      </c>
      <c r="AJ48">
        <v>-2</v>
      </c>
      <c r="AK48">
        <v>-3</v>
      </c>
      <c r="AL48">
        <v>-5</v>
      </c>
      <c r="AM48">
        <v>-10</v>
      </c>
      <c r="AN48">
        <v>-20</v>
      </c>
      <c r="AO48">
        <v>-40</v>
      </c>
      <c r="AP48">
        <v>-60</v>
      </c>
    </row>
    <row r="49" spans="1:42" x14ac:dyDescent="0.45">
      <c r="A49" t="s">
        <v>602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5"/>
        <v>6.7528242245754739E-6</v>
      </c>
      <c r="Y49" s="1">
        <f t="shared" si="6"/>
        <v>6.7528242245754738E-4</v>
      </c>
      <c r="Z49" s="1">
        <f t="shared" si="7"/>
        <v>6.7528242245754739E-6</v>
      </c>
      <c r="AA49" s="1">
        <f t="shared" si="8"/>
        <v>6.7528242245754738E-4</v>
      </c>
      <c r="AD49" t="s">
        <v>356</v>
      </c>
      <c r="AE49">
        <v>400000000</v>
      </c>
      <c r="AF49">
        <v>0</v>
      </c>
      <c r="AG49">
        <v>-0.02</v>
      </c>
      <c r="AH49">
        <v>-0.2</v>
      </c>
      <c r="AI49">
        <v>-1</v>
      </c>
      <c r="AJ49">
        <v>-2</v>
      </c>
      <c r="AK49">
        <v>-3</v>
      </c>
      <c r="AL49">
        <v>-5</v>
      </c>
      <c r="AM49">
        <v>-10</v>
      </c>
      <c r="AN49">
        <v>-20</v>
      </c>
      <c r="AO49">
        <v>-40</v>
      </c>
      <c r="AP49">
        <v>-60</v>
      </c>
    </row>
    <row r="50" spans="1:42" x14ac:dyDescent="0.45">
      <c r="A50" t="s">
        <v>603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5"/>
        <v>8.1609027804714623E-6</v>
      </c>
      <c r="Y50" s="1">
        <f t="shared" si="6"/>
        <v>8.1609027804714629E-4</v>
      </c>
      <c r="Z50" s="1">
        <f t="shared" si="7"/>
        <v>8.1609027804714623E-6</v>
      </c>
      <c r="AA50" s="1">
        <f t="shared" si="8"/>
        <v>8.1609027804714629E-4</v>
      </c>
      <c r="AD50" t="s">
        <v>357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 t="s">
        <v>604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5"/>
        <v>3.4945422270553398E-6</v>
      </c>
      <c r="Y51" s="1">
        <f t="shared" si="6"/>
        <v>3.4945422270553399E-4</v>
      </c>
      <c r="Z51" s="1">
        <f t="shared" si="7"/>
        <v>3.4945422270553398E-6</v>
      </c>
      <c r="AA51" s="1">
        <f t="shared" si="8"/>
        <v>3.4945422270553399E-4</v>
      </c>
      <c r="AD51" t="s">
        <v>357</v>
      </c>
      <c r="AE51" s="3">
        <v>3600000</v>
      </c>
      <c r="AF51">
        <v>0</v>
      </c>
      <c r="AG51">
        <v>-0.02</v>
      </c>
      <c r="AH51">
        <v>-0.2</v>
      </c>
      <c r="AI51">
        <v>-1</v>
      </c>
      <c r="AJ51">
        <v>-2</v>
      </c>
      <c r="AK51">
        <v>-3</v>
      </c>
      <c r="AL51">
        <v>-5</v>
      </c>
      <c r="AM51">
        <v>-10</v>
      </c>
      <c r="AN51">
        <v>-20</v>
      </c>
      <c r="AO51">
        <v>-40</v>
      </c>
      <c r="AP51">
        <v>-60</v>
      </c>
    </row>
    <row r="52" spans="1:42" x14ac:dyDescent="0.45">
      <c r="A52" t="s">
        <v>605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5"/>
        <v>5.5916517295822664E-6</v>
      </c>
      <c r="Y52" s="1">
        <f t="shared" si="6"/>
        <v>5.5916517295822666E-4</v>
      </c>
      <c r="Z52" s="1">
        <f t="shared" si="7"/>
        <v>5.5916517295822664E-6</v>
      </c>
      <c r="AA52" s="1">
        <f t="shared" si="8"/>
        <v>5.5916517295822666E-4</v>
      </c>
      <c r="AD52" t="s">
        <v>357</v>
      </c>
      <c r="AE52">
        <v>400000000</v>
      </c>
      <c r="AF52">
        <v>0</v>
      </c>
      <c r="AG52">
        <v>-0.02</v>
      </c>
      <c r="AH52">
        <v>-0.2</v>
      </c>
      <c r="AI52">
        <v>-1</v>
      </c>
      <c r="AJ52">
        <v>-2</v>
      </c>
      <c r="AK52">
        <v>-3</v>
      </c>
      <c r="AL52">
        <v>-5</v>
      </c>
      <c r="AM52">
        <v>-10</v>
      </c>
      <c r="AN52">
        <v>-20</v>
      </c>
      <c r="AO52">
        <v>-40</v>
      </c>
      <c r="AP52">
        <v>-60</v>
      </c>
    </row>
    <row r="53" spans="1:42" x14ac:dyDescent="0.45">
      <c r="A53" t="s">
        <v>606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5"/>
        <v>7.3867228076687175E-6</v>
      </c>
      <c r="Y53" s="1">
        <f t="shared" si="6"/>
        <v>7.3867228076687178E-4</v>
      </c>
      <c r="Z53" s="1">
        <f t="shared" si="7"/>
        <v>7.3867228076687175E-6</v>
      </c>
      <c r="AA53" s="1">
        <f t="shared" si="8"/>
        <v>7.3867228076687178E-4</v>
      </c>
      <c r="AD53" t="s">
        <v>358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45">
      <c r="A54" t="s">
        <v>607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5"/>
        <v>7.4209417307762091E-6</v>
      </c>
      <c r="Y54" s="1">
        <f t="shared" si="6"/>
        <v>7.4209417307762092E-4</v>
      </c>
      <c r="Z54" s="1">
        <f t="shared" si="7"/>
        <v>7.4209417307762091E-6</v>
      </c>
      <c r="AA54" s="1">
        <f t="shared" si="8"/>
        <v>7.4209417307762092E-4</v>
      </c>
      <c r="AD54" t="s">
        <v>358</v>
      </c>
      <c r="AE54" s="3">
        <v>3600000</v>
      </c>
      <c r="AF54">
        <v>0</v>
      </c>
      <c r="AG54">
        <v>-0.02</v>
      </c>
      <c r="AH54">
        <v>-0.2</v>
      </c>
      <c r="AI54">
        <v>-1</v>
      </c>
      <c r="AJ54">
        <v>-2</v>
      </c>
      <c r="AK54">
        <v>-3</v>
      </c>
      <c r="AL54">
        <v>-5</v>
      </c>
      <c r="AM54">
        <v>-10</v>
      </c>
      <c r="AN54">
        <v>-20</v>
      </c>
      <c r="AO54">
        <v>-40</v>
      </c>
      <c r="AP54">
        <v>-60</v>
      </c>
    </row>
    <row r="55" spans="1:42" x14ac:dyDescent="0.45">
      <c r="A55" t="s">
        <v>608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5"/>
        <v>4.6396100700759076E-6</v>
      </c>
      <c r="Y55" s="1">
        <f t="shared" si="6"/>
        <v>4.6396100700759078E-4</v>
      </c>
      <c r="Z55" s="1">
        <f t="shared" si="7"/>
        <v>4.6396100700759076E-6</v>
      </c>
      <c r="AA55" s="1">
        <f t="shared" si="8"/>
        <v>4.6396100700759078E-4</v>
      </c>
      <c r="AD55" t="s">
        <v>358</v>
      </c>
      <c r="AE55">
        <v>400000000</v>
      </c>
      <c r="AF55">
        <v>0</v>
      </c>
      <c r="AG55">
        <v>-0.02</v>
      </c>
      <c r="AH55">
        <v>-0.2</v>
      </c>
      <c r="AI55">
        <v>-1</v>
      </c>
      <c r="AJ55">
        <v>-2</v>
      </c>
      <c r="AK55">
        <v>-3</v>
      </c>
      <c r="AL55">
        <v>-5</v>
      </c>
      <c r="AM55">
        <v>-10</v>
      </c>
      <c r="AN55">
        <v>-20</v>
      </c>
      <c r="AO55">
        <v>-40</v>
      </c>
      <c r="AP55">
        <v>-60</v>
      </c>
    </row>
    <row r="56" spans="1:42" x14ac:dyDescent="0.45">
      <c r="A56" t="s">
        <v>609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5"/>
        <v>4.5068228800443208E-6</v>
      </c>
      <c r="Y56" s="1">
        <f t="shared" si="6"/>
        <v>4.5068228800443209E-4</v>
      </c>
      <c r="Z56" s="1">
        <f t="shared" si="7"/>
        <v>4.5068228800443208E-6</v>
      </c>
      <c r="AA56" s="1">
        <f t="shared" si="8"/>
        <v>4.5068228800443209E-4</v>
      </c>
      <c r="AD56" t="s">
        <v>359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45">
      <c r="A57" t="s">
        <v>610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5"/>
        <v>3.7507530034252025E-6</v>
      </c>
      <c r="Y57" s="1">
        <f t="shared" si="6"/>
        <v>3.7507530034252027E-4</v>
      </c>
      <c r="Z57" s="1">
        <f t="shared" si="7"/>
        <v>3.7507530034252025E-6</v>
      </c>
      <c r="AA57" s="1">
        <f t="shared" si="8"/>
        <v>3.7507530034252027E-4</v>
      </c>
      <c r="AD57" t="s">
        <v>359</v>
      </c>
      <c r="AE57" s="3">
        <v>3600000</v>
      </c>
      <c r="AF57">
        <v>0</v>
      </c>
      <c r="AG57">
        <v>-0.02</v>
      </c>
      <c r="AH57">
        <v>-0.2</v>
      </c>
      <c r="AI57">
        <v>-1</v>
      </c>
      <c r="AJ57">
        <v>-2</v>
      </c>
      <c r="AK57">
        <v>-3</v>
      </c>
      <c r="AL57">
        <v>-5</v>
      </c>
      <c r="AM57">
        <v>-10</v>
      </c>
      <c r="AN57">
        <v>-20</v>
      </c>
      <c r="AO57">
        <v>-40</v>
      </c>
      <c r="AP57">
        <v>-60</v>
      </c>
    </row>
    <row r="58" spans="1:42" x14ac:dyDescent="0.45">
      <c r="A58" t="s">
        <v>611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5"/>
        <v>5.0388556352573001E-6</v>
      </c>
      <c r="Y58" s="1">
        <f t="shared" si="6"/>
        <v>5.0388556352573002E-4</v>
      </c>
      <c r="Z58" s="1">
        <f t="shared" si="7"/>
        <v>5.0388556352573001E-6</v>
      </c>
      <c r="AA58" s="1">
        <f t="shared" si="8"/>
        <v>5.0388556352573002E-4</v>
      </c>
      <c r="AD58" t="s">
        <v>359</v>
      </c>
      <c r="AE58">
        <v>400000000</v>
      </c>
      <c r="AF58">
        <v>0</v>
      </c>
      <c r="AG58">
        <v>-0.02</v>
      </c>
      <c r="AH58">
        <v>-0.2</v>
      </c>
      <c r="AI58">
        <v>-1</v>
      </c>
      <c r="AJ58">
        <v>-2</v>
      </c>
      <c r="AK58">
        <v>-3</v>
      </c>
      <c r="AL58">
        <v>-5</v>
      </c>
      <c r="AM58">
        <v>-10</v>
      </c>
      <c r="AN58">
        <v>-20</v>
      </c>
      <c r="AO58">
        <v>-40</v>
      </c>
      <c r="AP58">
        <v>-60</v>
      </c>
    </row>
    <row r="59" spans="1:42" x14ac:dyDescent="0.45">
      <c r="A59" t="s">
        <v>612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5"/>
        <v>8.029496757110902E-6</v>
      </c>
      <c r="Y59" s="1">
        <f t="shared" si="6"/>
        <v>8.0294967571109023E-4</v>
      </c>
      <c r="Z59" s="1">
        <f t="shared" si="7"/>
        <v>8.029496757110902E-6</v>
      </c>
      <c r="AA59" s="1">
        <f t="shared" si="8"/>
        <v>8.0294967571109023E-4</v>
      </c>
      <c r="AD59" t="s">
        <v>360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 t="s">
        <v>613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5"/>
        <v>7.0007171819925804E-6</v>
      </c>
      <c r="Y60" s="1">
        <f t="shared" si="6"/>
        <v>7.0007171819925801E-4</v>
      </c>
      <c r="Z60" s="1">
        <f t="shared" si="7"/>
        <v>7.0007171819925804E-6</v>
      </c>
      <c r="AA60" s="1">
        <f t="shared" si="8"/>
        <v>7.0007171819925801E-4</v>
      </c>
      <c r="AD60" t="s">
        <v>360</v>
      </c>
      <c r="AE60" s="3">
        <v>3600000</v>
      </c>
      <c r="AF60">
        <v>0</v>
      </c>
      <c r="AG60">
        <v>-0.02</v>
      </c>
      <c r="AH60">
        <v>-0.2</v>
      </c>
      <c r="AI60">
        <v>-1</v>
      </c>
      <c r="AJ60">
        <v>-2</v>
      </c>
      <c r="AK60">
        <v>-3</v>
      </c>
      <c r="AL60">
        <v>-5</v>
      </c>
      <c r="AM60">
        <v>-10</v>
      </c>
      <c r="AN60">
        <v>-20</v>
      </c>
      <c r="AO60">
        <v>-40</v>
      </c>
      <c r="AP60">
        <v>-60</v>
      </c>
    </row>
    <row r="61" spans="1:42" x14ac:dyDescent="0.45">
      <c r="A61" t="s">
        <v>614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5"/>
        <v>5.6649151685696243E-6</v>
      </c>
      <c r="Y61" s="1">
        <f t="shared" si="6"/>
        <v>5.6649151685696242E-4</v>
      </c>
      <c r="Z61" s="1">
        <f t="shared" si="7"/>
        <v>5.6649151685696243E-6</v>
      </c>
      <c r="AA61" s="1">
        <f t="shared" si="8"/>
        <v>5.6649151685696242E-4</v>
      </c>
      <c r="AD61" t="s">
        <v>360</v>
      </c>
      <c r="AE61">
        <v>400000000</v>
      </c>
      <c r="AF61">
        <v>0</v>
      </c>
      <c r="AG61">
        <v>-0.02</v>
      </c>
      <c r="AH61">
        <v>-0.2</v>
      </c>
      <c r="AI61">
        <v>-1</v>
      </c>
      <c r="AJ61">
        <v>-2</v>
      </c>
      <c r="AK61">
        <v>-3</v>
      </c>
      <c r="AL61">
        <v>-5</v>
      </c>
      <c r="AM61">
        <v>-10</v>
      </c>
      <c r="AN61">
        <v>-20</v>
      </c>
      <c r="AO61">
        <v>-40</v>
      </c>
      <c r="AP61">
        <v>-60</v>
      </c>
    </row>
    <row r="62" spans="1:42" x14ac:dyDescent="0.45">
      <c r="A62" t="s">
        <v>615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5"/>
        <v>4.2985466508481172E-6</v>
      </c>
      <c r="Y62" s="1">
        <f t="shared" si="6"/>
        <v>4.2985466508481168E-4</v>
      </c>
      <c r="Z62" s="1">
        <f t="shared" si="7"/>
        <v>4.2985466508481172E-6</v>
      </c>
      <c r="AA62" s="1">
        <f t="shared" si="8"/>
        <v>4.2985466508481168E-4</v>
      </c>
    </row>
    <row r="63" spans="1:42" x14ac:dyDescent="0.45">
      <c r="A63" t="s">
        <v>616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5"/>
        <v>3.0854060773305716E-6</v>
      </c>
      <c r="Y63" s="1">
        <f t="shared" si="6"/>
        <v>3.0854060773305718E-4</v>
      </c>
      <c r="Z63" s="1">
        <f t="shared" si="7"/>
        <v>3.0854060773305716E-6</v>
      </c>
      <c r="AA63" s="1">
        <f t="shared" si="8"/>
        <v>3.0854060773305718E-4</v>
      </c>
      <c r="AD63" t="s">
        <v>617</v>
      </c>
    </row>
    <row r="64" spans="1:42" x14ac:dyDescent="0.45">
      <c r="A64" t="s">
        <v>618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5"/>
        <v>5.7701883542728862E-6</v>
      </c>
      <c r="Y64" s="1">
        <f t="shared" si="6"/>
        <v>5.7701883542728865E-4</v>
      </c>
      <c r="Z64" s="1">
        <f t="shared" si="7"/>
        <v>5.7701883542728862E-6</v>
      </c>
      <c r="AA64" s="1">
        <f t="shared" si="8"/>
        <v>5.7701883542728865E-4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1:54" x14ac:dyDescent="0.45">
      <c r="A65" t="s">
        <v>619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5"/>
        <v>8.4426260266278264E-6</v>
      </c>
      <c r="Y65" s="1">
        <f t="shared" si="6"/>
        <v>8.4426260266278266E-4</v>
      </c>
      <c r="Z65" s="1">
        <f t="shared" si="7"/>
        <v>8.4426260266278264E-6</v>
      </c>
      <c r="AA65" s="1">
        <f t="shared" si="8"/>
        <v>8.4426260266278266E-4</v>
      </c>
      <c r="AD65">
        <v>0</v>
      </c>
      <c r="AE65">
        <v>0</v>
      </c>
      <c r="AF65">
        <v>1</v>
      </c>
      <c r="AG65">
        <v>1</v>
      </c>
      <c r="AH65" t="s">
        <v>33</v>
      </c>
    </row>
    <row r="66" spans="1:54" x14ac:dyDescent="0.45">
      <c r="A66" t="s">
        <v>620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10">+W66/100</f>
        <v>9.5521688044650852E-6</v>
      </c>
      <c r="Y66" s="1">
        <f t="shared" ref="Y66:Y97" si="11">+W66</f>
        <v>9.552168804465085E-4</v>
      </c>
      <c r="Z66" s="1">
        <f t="shared" ref="Z66:Z97" si="12">+Y66/100</f>
        <v>9.5521688044650852E-6</v>
      </c>
      <c r="AA66" s="1">
        <f t="shared" ref="AA66:AA97" si="13">+W66</f>
        <v>9.552168804465085E-4</v>
      </c>
      <c r="AD66">
        <v>1</v>
      </c>
      <c r="AE66">
        <v>3600000</v>
      </c>
      <c r="AF66">
        <v>1</v>
      </c>
      <c r="AG66">
        <v>1</v>
      </c>
      <c r="AH66" t="s">
        <v>34</v>
      </c>
    </row>
    <row r="67" spans="1:54" x14ac:dyDescent="0.45">
      <c r="A67" t="s">
        <v>621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10"/>
        <v>3.5786093692759129E-6</v>
      </c>
      <c r="Y67" s="1">
        <f t="shared" si="11"/>
        <v>3.5786093692759128E-4</v>
      </c>
      <c r="Z67" s="1">
        <f t="shared" si="12"/>
        <v>3.5786093692759129E-6</v>
      </c>
      <c r="AA67" s="1">
        <f t="shared" si="13"/>
        <v>3.5786093692759128E-4</v>
      </c>
      <c r="AD67">
        <v>2</v>
      </c>
      <c r="AE67">
        <v>18000</v>
      </c>
      <c r="AF67">
        <v>600</v>
      </c>
      <c r="AG67">
        <v>1</v>
      </c>
      <c r="AH67" t="s">
        <v>622</v>
      </c>
    </row>
    <row r="68" spans="1:54" x14ac:dyDescent="0.45">
      <c r="A68" t="s">
        <v>623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10"/>
        <v>9.5065057852621648E-6</v>
      </c>
      <c r="Y68" s="1">
        <f t="shared" si="11"/>
        <v>9.5065057852621645E-4</v>
      </c>
      <c r="Z68" s="1">
        <f t="shared" si="12"/>
        <v>9.5065057852621648E-6</v>
      </c>
      <c r="AA68" s="1">
        <f t="shared" si="13"/>
        <v>9.5065057852621645E-4</v>
      </c>
      <c r="AD68">
        <v>3</v>
      </c>
      <c r="AE68">
        <v>180000</v>
      </c>
      <c r="AF68">
        <v>500</v>
      </c>
      <c r="AG68">
        <v>1</v>
      </c>
      <c r="AH68" t="s">
        <v>624</v>
      </c>
    </row>
    <row r="69" spans="1:54" x14ac:dyDescent="0.45">
      <c r="A69" t="s">
        <v>625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10"/>
        <v>4.7094307374518279E-6</v>
      </c>
      <c r="Y69" s="1">
        <f t="shared" si="11"/>
        <v>4.7094307374518279E-4</v>
      </c>
      <c r="Z69" s="1">
        <f t="shared" si="12"/>
        <v>4.7094307374518279E-6</v>
      </c>
      <c r="AA69" s="1">
        <f t="shared" si="13"/>
        <v>4.7094307374518279E-4</v>
      </c>
      <c r="AD69">
        <v>4</v>
      </c>
      <c r="AE69">
        <v>18000000</v>
      </c>
      <c r="AF69">
        <v>500</v>
      </c>
      <c r="AG69">
        <v>1</v>
      </c>
      <c r="AH69" t="s">
        <v>626</v>
      </c>
      <c r="AR69" t="s">
        <v>627</v>
      </c>
    </row>
    <row r="70" spans="1:54" x14ac:dyDescent="0.45">
      <c r="A70" t="s">
        <v>628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10"/>
        <v>7.0474477053287921E-6</v>
      </c>
      <c r="Y70" s="1">
        <f t="shared" si="11"/>
        <v>7.0474477053287924E-4</v>
      </c>
      <c r="Z70" s="1">
        <f t="shared" si="12"/>
        <v>7.0474477053287921E-6</v>
      </c>
      <c r="AA70" s="1">
        <f t="shared" si="13"/>
        <v>7.0474477053287924E-4</v>
      </c>
      <c r="AD70">
        <v>5</v>
      </c>
      <c r="AE70">
        <v>360000000</v>
      </c>
      <c r="AF70">
        <v>1000</v>
      </c>
      <c r="AG70">
        <v>1</v>
      </c>
      <c r="AH70" t="s">
        <v>629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630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10"/>
        <v>6.4754085128478099E-6</v>
      </c>
      <c r="Y71" s="1">
        <f t="shared" si="11"/>
        <v>6.47540851284781E-4</v>
      </c>
      <c r="Z71" s="1">
        <f t="shared" si="12"/>
        <v>6.4754085128478099E-6</v>
      </c>
      <c r="AA71" s="1">
        <f t="shared" si="13"/>
        <v>6.47540851284781E-4</v>
      </c>
      <c r="AD71">
        <v>6</v>
      </c>
      <c r="AE71">
        <v>360000000</v>
      </c>
      <c r="AF71">
        <v>10</v>
      </c>
      <c r="AG71">
        <v>1</v>
      </c>
      <c r="AH71" t="s">
        <v>631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632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10"/>
        <v>9.4119160098010124E-6</v>
      </c>
      <c r="Y72" s="1">
        <f t="shared" si="11"/>
        <v>9.4119160098010126E-4</v>
      </c>
      <c r="Z72" s="1">
        <f t="shared" si="12"/>
        <v>9.4119160098010124E-6</v>
      </c>
      <c r="AA72" s="1">
        <f t="shared" si="13"/>
        <v>9.4119160098010126E-4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633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10"/>
        <v>5.0662494239123105E-6</v>
      </c>
      <c r="Y73" s="1">
        <f t="shared" si="11"/>
        <v>5.0662494239123103E-4</v>
      </c>
      <c r="Z73" s="1">
        <f t="shared" si="12"/>
        <v>5.0662494239123105E-6</v>
      </c>
      <c r="AA73" s="1">
        <f t="shared" si="13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634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10"/>
        <v>5.534396610729259E-6</v>
      </c>
      <c r="Y74" s="1">
        <f t="shared" si="11"/>
        <v>5.5343966107292586E-4</v>
      </c>
      <c r="Z74" s="1">
        <f t="shared" si="12"/>
        <v>5.534396610729259E-6</v>
      </c>
      <c r="AA74" s="1">
        <f t="shared" si="13"/>
        <v>5.5343966107292586E-4</v>
      </c>
      <c r="AD74" t="s">
        <v>635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636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10"/>
        <v>6.3697425558412719E-6</v>
      </c>
      <c r="Y75" s="1">
        <f t="shared" si="11"/>
        <v>6.3697425558412722E-4</v>
      </c>
      <c r="Z75" s="1">
        <f t="shared" si="12"/>
        <v>6.3697425558412719E-6</v>
      </c>
      <c r="AA75" s="1">
        <f t="shared" si="13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637</v>
      </c>
      <c r="AI75" t="s">
        <v>638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639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10"/>
        <v>7.2912294272258739E-6</v>
      </c>
      <c r="Y76" s="1">
        <f t="shared" si="11"/>
        <v>7.291229427225874E-4</v>
      </c>
      <c r="Z76" s="1">
        <f t="shared" si="12"/>
        <v>7.2912294272258739E-6</v>
      </c>
      <c r="AA76" s="1">
        <f t="shared" si="13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640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10"/>
        <v>6.4225139746381978E-6</v>
      </c>
      <c r="Y77" s="1">
        <f t="shared" si="11"/>
        <v>6.4225139746381982E-4</v>
      </c>
      <c r="Z77" s="1">
        <f t="shared" si="12"/>
        <v>6.4225139746381978E-6</v>
      </c>
      <c r="AA77" s="1">
        <f t="shared" si="13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641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10"/>
        <v>4.86302289551712E-6</v>
      </c>
      <c r="Y78" s="1">
        <f t="shared" si="11"/>
        <v>4.8630228955171201E-4</v>
      </c>
      <c r="Z78" s="1">
        <f t="shared" si="12"/>
        <v>4.86302289551712E-6</v>
      </c>
      <c r="AA78" s="1">
        <f t="shared" si="13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642</v>
      </c>
    </row>
    <row r="79" spans="1:54" x14ac:dyDescent="0.45">
      <c r="A79" t="s">
        <v>643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10"/>
        <v>7.8134219163826665E-6</v>
      </c>
      <c r="Y79" s="1">
        <f t="shared" si="11"/>
        <v>7.8134219163826664E-4</v>
      </c>
      <c r="Z79" s="1">
        <f t="shared" si="12"/>
        <v>7.8134219163826665E-6</v>
      </c>
      <c r="AA79" s="1">
        <f t="shared" si="13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644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10"/>
        <v>5.850611777772623E-6</v>
      </c>
      <c r="Y80" s="1">
        <f t="shared" si="11"/>
        <v>5.8506117777726231E-4</v>
      </c>
      <c r="Z80" s="1">
        <f t="shared" si="12"/>
        <v>5.850611777772623E-6</v>
      </c>
      <c r="AA80" s="1">
        <f t="shared" si="13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13">
        <v>0</v>
      </c>
      <c r="AV80" s="13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61" x14ac:dyDescent="0.45">
      <c r="A81" t="s">
        <v>645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10"/>
        <v>6.3707586236717848E-6</v>
      </c>
      <c r="Y81" s="1">
        <f t="shared" si="11"/>
        <v>6.370758623671785E-4</v>
      </c>
      <c r="Z81" s="1">
        <f t="shared" si="12"/>
        <v>6.3707586236717848E-6</v>
      </c>
      <c r="AA81" s="1">
        <f t="shared" si="13"/>
        <v>6.370758623671785E-4</v>
      </c>
      <c r="AR81" t="s">
        <v>20</v>
      </c>
      <c r="AS81" t="s">
        <v>21</v>
      </c>
      <c r="AT81">
        <v>150</v>
      </c>
      <c r="AU81" s="13">
        <v>94</v>
      </c>
      <c r="AV81" s="13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61" x14ac:dyDescent="0.45">
      <c r="A82" t="s">
        <v>646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10"/>
        <v>8.0515352214514428E-6</v>
      </c>
      <c r="Y82" s="1">
        <f t="shared" si="11"/>
        <v>8.0515352214514436E-4</v>
      </c>
      <c r="Z82" s="1">
        <f t="shared" si="12"/>
        <v>8.0515352214514428E-6</v>
      </c>
      <c r="AA82" s="1">
        <f t="shared" si="13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637</v>
      </c>
      <c r="AI82" t="s">
        <v>638</v>
      </c>
      <c r="AR82" t="s">
        <v>22</v>
      </c>
      <c r="AS82" t="s">
        <v>23</v>
      </c>
      <c r="AT82">
        <v>200</v>
      </c>
      <c r="AU82" s="13">
        <v>118</v>
      </c>
      <c r="AV82" s="13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61" x14ac:dyDescent="0.45">
      <c r="A83" t="s">
        <v>647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10"/>
        <v>5.750724982417129E-6</v>
      </c>
      <c r="Y83" s="1">
        <f t="shared" si="11"/>
        <v>5.750724982417129E-4</v>
      </c>
      <c r="Z83" s="1">
        <f t="shared" si="12"/>
        <v>5.750724982417129E-6</v>
      </c>
      <c r="AA83" s="1">
        <f t="shared" si="13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13">
        <v>153</v>
      </c>
      <c r="AV83" s="13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61" x14ac:dyDescent="0.45">
      <c r="A84" t="s">
        <v>648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10"/>
        <v>6.7040596663695799E-6</v>
      </c>
      <c r="Y84" s="1">
        <f t="shared" si="11"/>
        <v>6.7040596663695798E-4</v>
      </c>
      <c r="Z84" s="1">
        <f t="shared" si="12"/>
        <v>6.7040596663695799E-6</v>
      </c>
      <c r="AA84" s="1">
        <f t="shared" si="13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13">
        <v>167</v>
      </c>
      <c r="AV84" s="13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61" x14ac:dyDescent="0.45">
      <c r="A85" t="s">
        <v>649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10"/>
        <v>6.6752831004103607E-6</v>
      </c>
      <c r="Y85" s="1">
        <f t="shared" si="11"/>
        <v>6.6752831004103605E-4</v>
      </c>
      <c r="Z85" s="1">
        <f t="shared" si="12"/>
        <v>6.6752831004103607E-6</v>
      </c>
      <c r="AA85" s="1">
        <f t="shared" si="13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61" x14ac:dyDescent="0.45">
      <c r="A86" t="s">
        <v>650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10"/>
        <v>6.8681608077582185E-6</v>
      </c>
      <c r="Y86" s="1">
        <f t="shared" si="11"/>
        <v>6.8681608077582183E-4</v>
      </c>
      <c r="Z86" s="1">
        <f t="shared" si="12"/>
        <v>6.8681608077582185E-6</v>
      </c>
      <c r="AA86" s="1">
        <f t="shared" si="13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61" x14ac:dyDescent="0.45">
      <c r="A87" t="s">
        <v>651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10"/>
        <v>8.5098987706838055E-6</v>
      </c>
      <c r="Y87" s="1">
        <f t="shared" si="11"/>
        <v>8.5098987706838051E-4</v>
      </c>
      <c r="Z87" s="1">
        <f t="shared" si="12"/>
        <v>8.5098987706838055E-6</v>
      </c>
      <c r="AA87" s="1">
        <f t="shared" si="13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61" x14ac:dyDescent="0.45">
      <c r="A88" t="s">
        <v>652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10"/>
        <v>6.7755654381398902E-6</v>
      </c>
      <c r="Y88" s="1">
        <f t="shared" si="11"/>
        <v>6.7755654381398901E-4</v>
      </c>
      <c r="Z88" s="1">
        <f t="shared" si="12"/>
        <v>6.7755654381398902E-6</v>
      </c>
      <c r="AA88" s="1">
        <f t="shared" si="13"/>
        <v>6.7755654381398901E-4</v>
      </c>
    </row>
    <row r="89" spans="1:61" x14ac:dyDescent="0.45">
      <c r="A89" t="s">
        <v>653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10"/>
        <v>9.4339543613295379E-6</v>
      </c>
      <c r="Y89" s="1">
        <f t="shared" si="11"/>
        <v>9.4339543613295384E-4</v>
      </c>
      <c r="Z89" s="1">
        <f t="shared" si="12"/>
        <v>9.4339543613295379E-6</v>
      </c>
      <c r="AA89" s="1">
        <f t="shared" si="13"/>
        <v>9.4339543613295384E-4</v>
      </c>
    </row>
    <row r="90" spans="1:61" x14ac:dyDescent="0.45">
      <c r="A90" t="s">
        <v>654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10"/>
        <v>5.8085408169564563E-6</v>
      </c>
      <c r="Y90" s="1">
        <f t="shared" si="11"/>
        <v>5.8085408169564559E-4</v>
      </c>
      <c r="Z90" s="1">
        <f t="shared" si="12"/>
        <v>5.8085408169564563E-6</v>
      </c>
      <c r="AA90" s="1">
        <f t="shared" si="13"/>
        <v>5.8085408169564559E-4</v>
      </c>
      <c r="AE90" t="s">
        <v>655</v>
      </c>
      <c r="AO90" t="s">
        <v>656</v>
      </c>
    </row>
    <row r="91" spans="1:61" x14ac:dyDescent="0.45">
      <c r="A91" t="s">
        <v>657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10"/>
        <v>3.6120501290660029E-6</v>
      </c>
      <c r="Y91" s="1">
        <f t="shared" si="11"/>
        <v>3.6120501290660029E-4</v>
      </c>
      <c r="Z91" s="1">
        <f t="shared" si="12"/>
        <v>3.6120501290660029E-6</v>
      </c>
      <c r="AA91" s="1">
        <f t="shared" si="13"/>
        <v>3.6120501290660029E-4</v>
      </c>
      <c r="AE91" t="s">
        <v>35</v>
      </c>
      <c r="AF91" t="s">
        <v>658</v>
      </c>
      <c r="AG91" t="s">
        <v>659</v>
      </c>
      <c r="AH91" t="s">
        <v>660</v>
      </c>
      <c r="AI91" t="s">
        <v>661</v>
      </c>
      <c r="AJ91" t="s">
        <v>662</v>
      </c>
      <c r="AK91" t="s">
        <v>663</v>
      </c>
      <c r="AL91" t="s">
        <v>664</v>
      </c>
      <c r="AM91" t="s">
        <v>665</v>
      </c>
      <c r="AO91" t="s">
        <v>35</v>
      </c>
      <c r="AP91" t="s">
        <v>658</v>
      </c>
      <c r="AQ91" t="s">
        <v>659</v>
      </c>
      <c r="AR91" t="s">
        <v>660</v>
      </c>
      <c r="AT91" t="s">
        <v>661</v>
      </c>
      <c r="AV91" t="s">
        <v>662</v>
      </c>
      <c r="AW91" t="s">
        <v>663</v>
      </c>
      <c r="AX91" t="s">
        <v>664</v>
      </c>
    </row>
    <row r="92" spans="1:61" x14ac:dyDescent="0.45">
      <c r="A92" t="s">
        <v>666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10"/>
        <v>6.2975536923403232E-6</v>
      </c>
      <c r="Y92" s="1">
        <f t="shared" si="11"/>
        <v>6.2975536923403231E-4</v>
      </c>
      <c r="Z92" s="1">
        <f t="shared" si="12"/>
        <v>6.2975536923403232E-6</v>
      </c>
      <c r="AA92" s="1">
        <f t="shared" si="13"/>
        <v>6.2975536923403231E-4</v>
      </c>
      <c r="AE92" s="8" t="s">
        <v>42</v>
      </c>
      <c r="AF92" s="1">
        <v>8.6400000000000001E-3</v>
      </c>
      <c r="AG92" s="1">
        <v>8.6400000000000001E-3</v>
      </c>
      <c r="AH92" s="1">
        <v>8.6400000000000001E-3</v>
      </c>
      <c r="AI92" s="1">
        <v>8.6400000000000001E-3</v>
      </c>
      <c r="AJ92" s="1">
        <v>8.6400000000000001E-3</v>
      </c>
      <c r="AK92" s="1">
        <v>8.6400000000000001E-3</v>
      </c>
      <c r="AL92" s="1">
        <v>8.6400000000000001E-3</v>
      </c>
      <c r="AM92" s="1">
        <v>8.6400000000000001E-3</v>
      </c>
      <c r="AO92" s="8" t="s">
        <v>42</v>
      </c>
      <c r="AP92" s="1">
        <v>8.6400000000000001E-3</v>
      </c>
      <c r="AQ92" s="1">
        <v>2.5919999999999999E-2</v>
      </c>
      <c r="AR92" s="1">
        <v>8.6400000000000005E-2</v>
      </c>
      <c r="AS92" s="1">
        <v>0.25919999999999999</v>
      </c>
      <c r="AT92" s="1">
        <v>0.86399999999999999</v>
      </c>
      <c r="AU92" s="1">
        <v>2.5920000000000001</v>
      </c>
      <c r="AV92" s="1">
        <v>8.64</v>
      </c>
      <c r="AW92" s="1">
        <v>25.92</v>
      </c>
      <c r="AX92" s="1">
        <v>86.4</v>
      </c>
    </row>
    <row r="93" spans="1:61" x14ac:dyDescent="0.45">
      <c r="A93" t="s">
        <v>667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10"/>
        <v>7.228323272845125E-6</v>
      </c>
      <c r="Y93" s="1">
        <f t="shared" si="11"/>
        <v>7.228323272845125E-4</v>
      </c>
      <c r="Z93" s="1">
        <f t="shared" si="12"/>
        <v>7.228323272845125E-6</v>
      </c>
      <c r="AA93" s="1">
        <f t="shared" si="13"/>
        <v>7.228323272845125E-4</v>
      </c>
      <c r="AE93" s="9" t="s">
        <v>46</v>
      </c>
      <c r="AF93" s="10">
        <v>8.6399999999999999E-9</v>
      </c>
      <c r="AG93" s="10">
        <v>8.6400000000000006E-8</v>
      </c>
      <c r="AH93" s="10">
        <v>8.6400000000000001E-7</v>
      </c>
      <c r="AI93" s="10">
        <v>8.6400000000000003E-6</v>
      </c>
      <c r="AJ93" s="10">
        <v>8.6399999999999999E-5</v>
      </c>
      <c r="AK93" s="10">
        <v>8.6399999999999997E-4</v>
      </c>
      <c r="AL93" s="10">
        <v>8.6400000000000001E-3</v>
      </c>
      <c r="AM93" s="10">
        <v>8.6400000000000005E-2</v>
      </c>
      <c r="AO93" s="9" t="s">
        <v>46</v>
      </c>
      <c r="AP93" s="10">
        <v>8.6399999999999999E-9</v>
      </c>
      <c r="AQ93" s="10">
        <v>8.6399999999999999E-9</v>
      </c>
      <c r="AR93" s="10">
        <v>8.6399999999999999E-9</v>
      </c>
      <c r="AS93" s="10">
        <v>8.6399999999999999E-9</v>
      </c>
      <c r="AT93" s="10">
        <v>8.6399999999999999E-9</v>
      </c>
      <c r="AU93" s="10">
        <v>8.6399999999999999E-9</v>
      </c>
      <c r="AV93" s="10">
        <v>8.6399999999999999E-9</v>
      </c>
      <c r="AW93" s="10">
        <v>8.6399999999999999E-9</v>
      </c>
      <c r="AX93" s="10">
        <v>8.6399999999999999E-9</v>
      </c>
    </row>
    <row r="94" spans="1:61" x14ac:dyDescent="0.45">
      <c r="A94" t="s">
        <v>668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10"/>
        <v>4.6803677487896461E-6</v>
      </c>
      <c r="Y94" s="1">
        <f t="shared" si="11"/>
        <v>4.6803677487896461E-4</v>
      </c>
      <c r="Z94" s="1">
        <f t="shared" si="12"/>
        <v>4.6803677487896461E-6</v>
      </c>
      <c r="AA94" s="1">
        <f t="shared" si="13"/>
        <v>4.6803677487896461E-4</v>
      </c>
      <c r="AE94" s="8" t="s">
        <v>48</v>
      </c>
      <c r="AF94" s="1">
        <v>8.6400000000000001E-3</v>
      </c>
      <c r="AG94" s="1">
        <v>8.6400000000000001E-3</v>
      </c>
      <c r="AH94" s="1">
        <v>8.6400000000000001E-3</v>
      </c>
      <c r="AI94" s="1">
        <v>8.6400000000000001E-3</v>
      </c>
      <c r="AJ94" s="1">
        <v>8.6400000000000001E-3</v>
      </c>
      <c r="AK94" s="1">
        <v>8.6400000000000001E-3</v>
      </c>
      <c r="AL94" s="1">
        <v>8.6400000000000001E-3</v>
      </c>
      <c r="AM94" s="1">
        <v>8.6400000000000001E-3</v>
      </c>
      <c r="AO94" s="8" t="s">
        <v>48</v>
      </c>
      <c r="AP94" s="1">
        <v>8.6400000000000001E-3</v>
      </c>
      <c r="AQ94" s="1">
        <v>2.5919999999999999E-2</v>
      </c>
      <c r="AR94" s="1">
        <v>8.6400000000000005E-2</v>
      </c>
      <c r="AS94" s="1">
        <v>0.25919999999999999</v>
      </c>
      <c r="AT94" s="1">
        <v>0.86399999999999999</v>
      </c>
      <c r="AU94" s="1">
        <v>2.5920000000000001</v>
      </c>
      <c r="AV94" s="1">
        <v>8.64</v>
      </c>
      <c r="AW94" s="1">
        <v>25.92</v>
      </c>
      <c r="AX94" s="1">
        <v>86.4</v>
      </c>
      <c r="AZ94" t="s">
        <v>35</v>
      </c>
      <c r="BA94" t="s">
        <v>658</v>
      </c>
      <c r="BB94" t="s">
        <v>659</v>
      </c>
      <c r="BC94" t="s">
        <v>660</v>
      </c>
      <c r="BE94" t="s">
        <v>661</v>
      </c>
      <c r="BG94" t="s">
        <v>662</v>
      </c>
      <c r="BH94" t="s">
        <v>663</v>
      </c>
      <c r="BI94" t="s">
        <v>664</v>
      </c>
    </row>
    <row r="95" spans="1:61" x14ac:dyDescent="0.45">
      <c r="A95" t="s">
        <v>669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10"/>
        <v>7.7336905885629418E-6</v>
      </c>
      <c r="Y95" s="1">
        <f t="shared" si="11"/>
        <v>7.7336905885629418E-4</v>
      </c>
      <c r="Z95" s="1">
        <f t="shared" si="12"/>
        <v>7.7336905885629418E-6</v>
      </c>
      <c r="AA95" s="1">
        <f t="shared" si="13"/>
        <v>7.7336905885629418E-4</v>
      </c>
      <c r="AE95" s="9" t="s">
        <v>50</v>
      </c>
      <c r="AF95" s="10">
        <v>8.6399999999999999E-9</v>
      </c>
      <c r="AG95" s="10">
        <v>8.6400000000000006E-8</v>
      </c>
      <c r="AH95" s="10">
        <v>8.6400000000000001E-7</v>
      </c>
      <c r="AI95" s="10">
        <v>8.6400000000000003E-6</v>
      </c>
      <c r="AJ95" s="10">
        <v>8.6399999999999999E-5</v>
      </c>
      <c r="AK95" s="10">
        <v>8.6399999999999997E-4</v>
      </c>
      <c r="AL95" s="10">
        <v>8.6400000000000001E-3</v>
      </c>
      <c r="AM95" s="10">
        <v>8.6400000000000005E-2</v>
      </c>
      <c r="AO95" s="9" t="s">
        <v>50</v>
      </c>
      <c r="AP95" s="10">
        <v>8.6399999999999999E-9</v>
      </c>
      <c r="AQ95" s="10">
        <v>8.6399999999999999E-9</v>
      </c>
      <c r="AR95" s="10">
        <v>8.6399999999999999E-9</v>
      </c>
      <c r="AS95" s="10">
        <v>8.6399999999999999E-9</v>
      </c>
      <c r="AT95" s="10">
        <v>8.6399999999999999E-9</v>
      </c>
      <c r="AU95" s="10">
        <v>8.6399999999999999E-9</v>
      </c>
      <c r="AV95" s="10">
        <v>8.6399999999999999E-9</v>
      </c>
      <c r="AW95" s="10">
        <v>8.6399999999999999E-9</v>
      </c>
      <c r="AX95" s="10">
        <v>8.6399999999999999E-9</v>
      </c>
      <c r="AZ95" s="8" t="s">
        <v>42</v>
      </c>
      <c r="BA95" s="1">
        <v>8.6400000000000001E-3</v>
      </c>
      <c r="BB95" s="1">
        <v>2.5919999999999999E-2</v>
      </c>
      <c r="BC95" s="1">
        <v>8.6400000000000005E-2</v>
      </c>
      <c r="BD95" s="1">
        <v>0.25919999999999999</v>
      </c>
      <c r="BE95" s="1">
        <v>0.86399999999999999</v>
      </c>
      <c r="BF95" s="1">
        <v>2.5920000000000001</v>
      </c>
      <c r="BG95" s="1">
        <v>8.64</v>
      </c>
      <c r="BH95" s="1">
        <v>25.92</v>
      </c>
      <c r="BI95" s="1">
        <v>86.4</v>
      </c>
    </row>
    <row r="96" spans="1:61" x14ac:dyDescent="0.45">
      <c r="A96" t="s">
        <v>670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10"/>
        <v>5.6237098746364081E-6</v>
      </c>
      <c r="Y96" s="1">
        <f t="shared" si="11"/>
        <v>5.6237098746364077E-4</v>
      </c>
      <c r="Z96" s="1">
        <f t="shared" si="12"/>
        <v>5.6237098746364081E-6</v>
      </c>
      <c r="AA96" s="1">
        <f t="shared" si="13"/>
        <v>5.6237098746364077E-4</v>
      </c>
      <c r="AE96" s="8" t="s">
        <v>52</v>
      </c>
      <c r="AF96" s="1">
        <v>8.6400000000000001E-3</v>
      </c>
      <c r="AG96" s="1">
        <v>8.6400000000000001E-3</v>
      </c>
      <c r="AH96" s="1">
        <v>8.6400000000000001E-3</v>
      </c>
      <c r="AI96" s="1">
        <v>8.6400000000000001E-3</v>
      </c>
      <c r="AJ96" s="1">
        <v>8.6400000000000001E-3</v>
      </c>
      <c r="AK96" s="1">
        <v>8.6400000000000001E-3</v>
      </c>
      <c r="AL96" s="1">
        <v>8.6400000000000001E-3</v>
      </c>
      <c r="AM96" s="1">
        <v>8.6400000000000001E-3</v>
      </c>
      <c r="AO96" s="8" t="s">
        <v>52</v>
      </c>
      <c r="AP96" s="1">
        <v>8.6400000000000001E-3</v>
      </c>
      <c r="AQ96" s="1">
        <v>2.5919999999999999E-2</v>
      </c>
      <c r="AR96" s="1">
        <v>8.6400000000000005E-2</v>
      </c>
      <c r="AS96" s="1">
        <v>0.25919999999999999</v>
      </c>
      <c r="AT96" s="1">
        <v>0.86399999999999999</v>
      </c>
      <c r="AU96" s="1">
        <v>2.5920000000000001</v>
      </c>
      <c r="AV96" s="1">
        <v>8.64</v>
      </c>
      <c r="AW96" s="1">
        <v>25.92</v>
      </c>
      <c r="AX96" s="1">
        <v>86.4</v>
      </c>
      <c r="AZ96" s="9" t="s">
        <v>46</v>
      </c>
      <c r="BA96" s="10">
        <v>2.592E-8</v>
      </c>
      <c r="BB96" s="10">
        <v>2.592E-8</v>
      </c>
      <c r="BC96" s="10">
        <v>2.592E-8</v>
      </c>
      <c r="BD96" s="10">
        <v>2.592E-8</v>
      </c>
      <c r="BE96" s="10">
        <v>2.592E-8</v>
      </c>
      <c r="BF96" s="10">
        <v>2.592E-8</v>
      </c>
      <c r="BG96" s="10">
        <v>2.592E-8</v>
      </c>
      <c r="BH96" s="10">
        <v>2.592E-8</v>
      </c>
      <c r="BI96" s="10">
        <v>2.592E-8</v>
      </c>
    </row>
    <row r="97" spans="1:61" x14ac:dyDescent="0.45">
      <c r="A97" t="s">
        <v>671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10"/>
        <v>8.1362777910270177E-6</v>
      </c>
      <c r="Y97" s="1">
        <f t="shared" si="11"/>
        <v>8.1362777910270177E-4</v>
      </c>
      <c r="Z97" s="1">
        <f t="shared" si="12"/>
        <v>8.1362777910270177E-6</v>
      </c>
      <c r="AA97" s="1">
        <f t="shared" si="13"/>
        <v>8.1362777910270177E-4</v>
      </c>
      <c r="AE97" s="8" t="s">
        <v>54</v>
      </c>
      <c r="AF97" s="1">
        <v>8.6400000000000001E-3</v>
      </c>
      <c r="AG97" s="1">
        <v>8.6400000000000001E-3</v>
      </c>
      <c r="AH97" s="1">
        <v>8.6400000000000001E-3</v>
      </c>
      <c r="AI97" s="1">
        <v>8.6400000000000001E-3</v>
      </c>
      <c r="AJ97" s="1">
        <v>8.6400000000000001E-3</v>
      </c>
      <c r="AK97" s="1">
        <v>8.6400000000000001E-3</v>
      </c>
      <c r="AL97" s="1">
        <v>8.6400000000000001E-3</v>
      </c>
      <c r="AM97" s="1">
        <v>8.6400000000000001E-3</v>
      </c>
      <c r="AO97" s="8" t="s">
        <v>54</v>
      </c>
      <c r="AP97" s="1">
        <v>8.6400000000000001E-3</v>
      </c>
      <c r="AQ97" s="1">
        <v>2.5919999999999999E-2</v>
      </c>
      <c r="AR97" s="1">
        <v>8.6400000000000005E-2</v>
      </c>
      <c r="AS97" s="1">
        <v>0.25919999999999999</v>
      </c>
      <c r="AT97" s="1">
        <v>0.86399999999999999</v>
      </c>
      <c r="AU97" s="1">
        <v>2.5920000000000001</v>
      </c>
      <c r="AV97" s="1">
        <v>8.64</v>
      </c>
      <c r="AW97" s="1">
        <v>25.92</v>
      </c>
      <c r="AX97" s="1">
        <v>86.4</v>
      </c>
      <c r="AZ97" s="8" t="s">
        <v>48</v>
      </c>
      <c r="BA97" s="1">
        <v>8.6400000000000001E-3</v>
      </c>
      <c r="BB97" s="1">
        <v>2.5919999999999999E-2</v>
      </c>
      <c r="BC97" s="1">
        <v>8.6400000000000005E-2</v>
      </c>
      <c r="BD97" s="1">
        <v>0.25919999999999999</v>
      </c>
      <c r="BE97" s="1">
        <v>0.86399999999999999</v>
      </c>
      <c r="BF97" s="1">
        <v>2.5920000000000001</v>
      </c>
      <c r="BG97" s="1">
        <v>8.64</v>
      </c>
      <c r="BH97" s="1">
        <v>25.92</v>
      </c>
      <c r="BI97" s="1">
        <v>86.4</v>
      </c>
    </row>
    <row r="98" spans="1:61" x14ac:dyDescent="0.45">
      <c r="A98" t="s">
        <v>672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4">+W98/100</f>
        <v>4.3560874881782632E-6</v>
      </c>
      <c r="Y98" s="1">
        <f t="shared" ref="Y98:Y129" si="15">+W98</f>
        <v>4.356087488178263E-4</v>
      </c>
      <c r="Z98" s="1">
        <f t="shared" ref="Z98:Z129" si="16">+Y98/100</f>
        <v>4.3560874881782632E-6</v>
      </c>
      <c r="AA98" s="1">
        <f t="shared" ref="AA98:AA129" si="17">+W98</f>
        <v>4.356087488178263E-4</v>
      </c>
      <c r="AE98" s="9" t="s">
        <v>55</v>
      </c>
      <c r="AF98" s="10">
        <v>8.6399999999999999E-9</v>
      </c>
      <c r="AG98" s="10">
        <v>8.6400000000000006E-8</v>
      </c>
      <c r="AH98" s="10">
        <v>8.6400000000000001E-7</v>
      </c>
      <c r="AI98" s="10">
        <v>8.6400000000000003E-6</v>
      </c>
      <c r="AJ98" s="10">
        <v>8.6399999999999999E-5</v>
      </c>
      <c r="AK98" s="10">
        <v>8.6399999999999997E-4</v>
      </c>
      <c r="AL98" s="10">
        <v>8.6400000000000001E-3</v>
      </c>
      <c r="AM98" s="10">
        <v>8.6400000000000005E-2</v>
      </c>
      <c r="AO98" s="9" t="s">
        <v>55</v>
      </c>
      <c r="AP98" s="10">
        <v>8.6399999999999999E-9</v>
      </c>
      <c r="AQ98" s="10">
        <v>8.6399999999999999E-9</v>
      </c>
      <c r="AR98" s="10">
        <v>8.6399999999999999E-9</v>
      </c>
      <c r="AS98" s="10">
        <v>8.6399999999999999E-9</v>
      </c>
      <c r="AT98" s="10">
        <v>8.6399999999999999E-9</v>
      </c>
      <c r="AU98" s="10">
        <v>8.6399999999999999E-9</v>
      </c>
      <c r="AV98" s="10">
        <v>8.6399999999999999E-9</v>
      </c>
      <c r="AW98" s="10">
        <v>8.6399999999999999E-9</v>
      </c>
      <c r="AX98" s="10">
        <v>8.6399999999999999E-9</v>
      </c>
      <c r="AZ98" s="9" t="s">
        <v>50</v>
      </c>
      <c r="BA98" s="10">
        <v>2.592E-8</v>
      </c>
      <c r="BB98" s="10">
        <v>2.592E-8</v>
      </c>
      <c r="BC98" s="10">
        <v>2.592E-8</v>
      </c>
      <c r="BD98" s="10">
        <v>2.592E-8</v>
      </c>
      <c r="BE98" s="10">
        <v>2.592E-8</v>
      </c>
      <c r="BF98" s="10">
        <v>2.592E-8</v>
      </c>
      <c r="BG98" s="10">
        <v>2.592E-8</v>
      </c>
      <c r="BH98" s="10">
        <v>2.592E-8</v>
      </c>
      <c r="BI98" s="10">
        <v>2.592E-8</v>
      </c>
    </row>
    <row r="99" spans="1:61" x14ac:dyDescent="0.45">
      <c r="A99" t="s">
        <v>673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4"/>
        <v>1.0028195602173E-5</v>
      </c>
      <c r="Y99" s="1">
        <f t="shared" si="15"/>
        <v>1.0028195602172999E-3</v>
      </c>
      <c r="Z99" s="1">
        <f t="shared" si="16"/>
        <v>1.0028195602173E-5</v>
      </c>
      <c r="AA99" s="1">
        <f t="shared" si="17"/>
        <v>1.0028195602172999E-3</v>
      </c>
      <c r="AE99" s="8" t="s">
        <v>56</v>
      </c>
      <c r="AF99" s="1">
        <v>8.6400000000000001E-3</v>
      </c>
      <c r="AG99" s="1">
        <v>8.6400000000000001E-3</v>
      </c>
      <c r="AH99" s="1">
        <v>8.6400000000000001E-3</v>
      </c>
      <c r="AI99" s="1">
        <v>8.6400000000000001E-3</v>
      </c>
      <c r="AJ99" s="1">
        <v>8.6400000000000001E-3</v>
      </c>
      <c r="AK99" s="1">
        <v>8.6400000000000001E-3</v>
      </c>
      <c r="AL99" s="1">
        <v>8.6400000000000001E-3</v>
      </c>
      <c r="AM99" s="1">
        <v>8.6400000000000001E-3</v>
      </c>
      <c r="AO99" s="8" t="s">
        <v>56</v>
      </c>
      <c r="AP99" s="1">
        <v>8.6400000000000001E-3</v>
      </c>
      <c r="AQ99" s="1">
        <v>2.5919999999999999E-2</v>
      </c>
      <c r="AR99" s="1">
        <v>8.6400000000000005E-2</v>
      </c>
      <c r="AS99" s="1">
        <v>0.25919999999999999</v>
      </c>
      <c r="AT99" s="1">
        <v>0.86399999999999999</v>
      </c>
      <c r="AU99" s="1">
        <v>2.5920000000000001</v>
      </c>
      <c r="AV99" s="1">
        <v>8.64</v>
      </c>
      <c r="AW99" s="1">
        <v>25.92</v>
      </c>
      <c r="AX99" s="1">
        <v>86.4</v>
      </c>
      <c r="AZ99" s="8" t="s">
        <v>52</v>
      </c>
      <c r="BA99" s="1">
        <v>8.6400000000000001E-3</v>
      </c>
      <c r="BB99" s="1">
        <v>2.5919999999999999E-2</v>
      </c>
      <c r="BC99" s="1">
        <v>8.6400000000000005E-2</v>
      </c>
      <c r="BD99" s="1">
        <v>0.25919999999999999</v>
      </c>
      <c r="BE99" s="1">
        <v>0.86399999999999999</v>
      </c>
      <c r="BF99" s="1">
        <v>2.5920000000000001</v>
      </c>
      <c r="BG99" s="1">
        <v>8.64</v>
      </c>
      <c r="BH99" s="1">
        <v>25.92</v>
      </c>
      <c r="BI99" s="1">
        <v>86.4</v>
      </c>
    </row>
    <row r="100" spans="1:61" x14ac:dyDescent="0.45">
      <c r="A100" t="s">
        <v>674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4"/>
        <v>5.0364788225881174E-6</v>
      </c>
      <c r="Y100" s="1">
        <f t="shared" si="15"/>
        <v>5.0364788225881177E-4</v>
      </c>
      <c r="Z100" s="1">
        <f t="shared" si="16"/>
        <v>5.0364788225881174E-6</v>
      </c>
      <c r="AA100" s="1">
        <f t="shared" si="17"/>
        <v>5.0364788225881177E-4</v>
      </c>
      <c r="AE100" s="9" t="s">
        <v>57</v>
      </c>
      <c r="AF100" s="10">
        <v>8.6399999999999999E-9</v>
      </c>
      <c r="AG100" s="10">
        <v>8.6400000000000006E-8</v>
      </c>
      <c r="AH100" s="10">
        <v>8.6400000000000001E-7</v>
      </c>
      <c r="AI100" s="10">
        <v>8.6400000000000003E-6</v>
      </c>
      <c r="AJ100" s="10">
        <v>8.6399999999999999E-5</v>
      </c>
      <c r="AK100" s="10">
        <v>8.6399999999999997E-4</v>
      </c>
      <c r="AL100" s="10">
        <v>8.6400000000000001E-3</v>
      </c>
      <c r="AM100" s="10">
        <v>8.6400000000000005E-2</v>
      </c>
      <c r="AO100" s="9" t="s">
        <v>57</v>
      </c>
      <c r="AP100" s="10">
        <v>8.6399999999999999E-9</v>
      </c>
      <c r="AQ100" s="10">
        <v>8.6399999999999999E-9</v>
      </c>
      <c r="AR100" s="10">
        <v>8.6399999999999999E-9</v>
      </c>
      <c r="AS100" s="10">
        <v>8.6399999999999999E-9</v>
      </c>
      <c r="AT100" s="10">
        <v>8.6399999999999999E-9</v>
      </c>
      <c r="AU100" s="10">
        <v>8.6399999999999999E-9</v>
      </c>
      <c r="AV100" s="10">
        <v>8.6399999999999999E-9</v>
      </c>
      <c r="AW100" s="10">
        <v>8.6399999999999999E-9</v>
      </c>
      <c r="AX100" s="10">
        <v>8.6399999999999999E-9</v>
      </c>
      <c r="AZ100" s="8" t="s">
        <v>54</v>
      </c>
      <c r="BA100" s="1">
        <v>8.6400000000000001E-3</v>
      </c>
      <c r="BB100" s="1">
        <v>2.5919999999999999E-2</v>
      </c>
      <c r="BC100" s="1">
        <v>8.6400000000000005E-2</v>
      </c>
      <c r="BD100" s="1">
        <v>0.25919999999999999</v>
      </c>
      <c r="BE100" s="1">
        <v>0.86399999999999999</v>
      </c>
      <c r="BF100" s="1">
        <v>2.5920000000000001</v>
      </c>
      <c r="BG100" s="1">
        <v>8.64</v>
      </c>
      <c r="BH100" s="1">
        <v>25.92</v>
      </c>
      <c r="BI100" s="1">
        <v>86.4</v>
      </c>
    </row>
    <row r="101" spans="1:61" x14ac:dyDescent="0.45">
      <c r="A101" t="s">
        <v>675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4"/>
        <v>7.9643019829107136E-6</v>
      </c>
      <c r="Y101" s="1">
        <f t="shared" si="15"/>
        <v>7.9643019829107138E-4</v>
      </c>
      <c r="Z101" s="1">
        <f t="shared" si="16"/>
        <v>7.9643019829107136E-6</v>
      </c>
      <c r="AA101" s="1">
        <f t="shared" si="17"/>
        <v>7.9643019829107138E-4</v>
      </c>
      <c r="AE101" s="8" t="s">
        <v>58</v>
      </c>
      <c r="AF101" s="1">
        <v>8.6400000000000001E-3</v>
      </c>
      <c r="AG101" s="1">
        <v>8.6400000000000001E-3</v>
      </c>
      <c r="AH101" s="1">
        <v>8.6400000000000001E-3</v>
      </c>
      <c r="AI101" s="1">
        <v>8.6400000000000001E-3</v>
      </c>
      <c r="AJ101" s="1">
        <v>8.6400000000000001E-3</v>
      </c>
      <c r="AK101" s="1">
        <v>8.6400000000000001E-3</v>
      </c>
      <c r="AL101" s="1">
        <v>8.6400000000000001E-3</v>
      </c>
      <c r="AM101" s="1">
        <v>8.6400000000000001E-3</v>
      </c>
      <c r="AO101" s="8" t="s">
        <v>58</v>
      </c>
      <c r="AP101" s="1">
        <v>8.6400000000000001E-3</v>
      </c>
      <c r="AQ101" s="1">
        <v>2.5919999999999999E-2</v>
      </c>
      <c r="AR101" s="1">
        <v>8.6400000000000005E-2</v>
      </c>
      <c r="AS101" s="1">
        <v>0.25919999999999999</v>
      </c>
      <c r="AT101" s="1">
        <v>0.86399999999999999</v>
      </c>
      <c r="AU101" s="1">
        <v>2.5920000000000001</v>
      </c>
      <c r="AV101" s="1">
        <v>8.64</v>
      </c>
      <c r="AW101" s="1">
        <v>25.92</v>
      </c>
      <c r="AX101" s="1">
        <v>86.4</v>
      </c>
      <c r="AZ101" s="9" t="s">
        <v>55</v>
      </c>
      <c r="BA101" s="10">
        <v>2.592E-8</v>
      </c>
      <c r="BB101" s="10">
        <v>2.592E-8</v>
      </c>
      <c r="BC101" s="10">
        <v>2.592E-8</v>
      </c>
      <c r="BD101" s="10">
        <v>2.592E-8</v>
      </c>
      <c r="BE101" s="10">
        <v>2.592E-8</v>
      </c>
      <c r="BF101" s="10">
        <v>2.592E-8</v>
      </c>
      <c r="BG101" s="10">
        <v>2.592E-8</v>
      </c>
      <c r="BH101" s="10">
        <v>2.592E-8</v>
      </c>
      <c r="BI101" s="10">
        <v>2.592E-8</v>
      </c>
    </row>
    <row r="102" spans="1:61" x14ac:dyDescent="0.45">
      <c r="A102" t="s">
        <v>676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4"/>
        <v>4.7180228576033659E-6</v>
      </c>
      <c r="Y102" s="1">
        <f t="shared" si="15"/>
        <v>4.7180228576033662E-4</v>
      </c>
      <c r="Z102" s="1">
        <f t="shared" si="16"/>
        <v>4.7180228576033659E-6</v>
      </c>
      <c r="AA102" s="1">
        <f t="shared" si="17"/>
        <v>4.7180228576033662E-4</v>
      </c>
      <c r="AZ102" s="8" t="s">
        <v>56</v>
      </c>
      <c r="BA102" s="1">
        <v>8.6400000000000001E-3</v>
      </c>
      <c r="BB102" s="1">
        <v>2.5919999999999999E-2</v>
      </c>
      <c r="BC102" s="1">
        <v>8.6400000000000005E-2</v>
      </c>
      <c r="BD102" s="1">
        <v>0.25919999999999999</v>
      </c>
      <c r="BE102" s="1">
        <v>0.86399999999999999</v>
      </c>
      <c r="BF102" s="1">
        <v>2.5920000000000001</v>
      </c>
      <c r="BG102" s="1">
        <v>8.64</v>
      </c>
      <c r="BH102" s="1">
        <v>25.92</v>
      </c>
      <c r="BI102" s="1">
        <v>86.4</v>
      </c>
    </row>
    <row r="103" spans="1:61" x14ac:dyDescent="0.45">
      <c r="A103" t="s">
        <v>677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4"/>
        <v>6.137354284910926E-6</v>
      </c>
      <c r="Y103" s="1">
        <f t="shared" si="15"/>
        <v>6.1373542849109256E-4</v>
      </c>
      <c r="Z103" s="1">
        <f t="shared" si="16"/>
        <v>6.137354284910926E-6</v>
      </c>
      <c r="AA103" s="1">
        <f t="shared" si="17"/>
        <v>6.1373542849109256E-4</v>
      </c>
      <c r="AE103" t="s">
        <v>35</v>
      </c>
      <c r="AF103" t="s">
        <v>658</v>
      </c>
      <c r="AG103" t="s">
        <v>659</v>
      </c>
      <c r="AH103" t="s">
        <v>660</v>
      </c>
      <c r="AI103" t="s">
        <v>661</v>
      </c>
      <c r="AJ103" t="s">
        <v>662</v>
      </c>
      <c r="AK103" t="s">
        <v>663</v>
      </c>
      <c r="AL103" t="s">
        <v>664</v>
      </c>
      <c r="AM103" t="s">
        <v>665</v>
      </c>
      <c r="AO103" t="s">
        <v>35</v>
      </c>
      <c r="AP103" t="s">
        <v>658</v>
      </c>
      <c r="AQ103" t="s">
        <v>659</v>
      </c>
      <c r="AR103" t="s">
        <v>660</v>
      </c>
      <c r="AT103" t="s">
        <v>661</v>
      </c>
      <c r="AV103" t="s">
        <v>662</v>
      </c>
      <c r="AW103" t="s">
        <v>663</v>
      </c>
      <c r="AX103" t="s">
        <v>664</v>
      </c>
      <c r="AZ103" s="9" t="s">
        <v>57</v>
      </c>
      <c r="BA103" s="10">
        <v>2.592E-8</v>
      </c>
      <c r="BB103" s="10">
        <v>2.592E-8</v>
      </c>
      <c r="BC103" s="10">
        <v>2.592E-8</v>
      </c>
      <c r="BD103" s="10">
        <v>2.592E-8</v>
      </c>
      <c r="BE103" s="10">
        <v>2.592E-8</v>
      </c>
      <c r="BF103" s="10">
        <v>2.592E-8</v>
      </c>
      <c r="BG103" s="10">
        <v>2.592E-8</v>
      </c>
      <c r="BH103" s="10">
        <v>2.592E-8</v>
      </c>
      <c r="BI103" s="10">
        <v>2.592E-8</v>
      </c>
    </row>
    <row r="104" spans="1:61" x14ac:dyDescent="0.45">
      <c r="A104" t="s">
        <v>678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4"/>
        <v>6.431101230847662E-6</v>
      </c>
      <c r="Y104" s="1">
        <f t="shared" si="15"/>
        <v>6.4311012308476624E-4</v>
      </c>
      <c r="Z104" s="1">
        <f t="shared" si="16"/>
        <v>6.431101230847662E-6</v>
      </c>
      <c r="AA104" s="1">
        <f t="shared" si="17"/>
        <v>6.4311012308476624E-4</v>
      </c>
      <c r="AE104" s="8" t="s">
        <v>42</v>
      </c>
      <c r="AF104" s="1">
        <v>4.3200000000000002E-2</v>
      </c>
      <c r="AG104" s="1">
        <v>4.3200000000000002E-2</v>
      </c>
      <c r="AH104" s="1">
        <v>4.3200000000000002E-2</v>
      </c>
      <c r="AI104" s="1">
        <v>4.3200000000000002E-2</v>
      </c>
      <c r="AJ104" s="1">
        <v>4.3200000000000002E-2</v>
      </c>
      <c r="AK104" s="1">
        <v>4.3200000000000002E-2</v>
      </c>
      <c r="AL104" s="1">
        <v>4.3200000000000002E-2</v>
      </c>
      <c r="AM104" s="1">
        <v>4.3200000000000002E-2</v>
      </c>
      <c r="AO104" s="8" t="s">
        <v>42</v>
      </c>
      <c r="AP104" s="1">
        <v>8.6400000000000001E-3</v>
      </c>
      <c r="AQ104" s="1">
        <v>2.5919999999999999E-2</v>
      </c>
      <c r="AR104" s="1">
        <v>8.6400000000000005E-2</v>
      </c>
      <c r="AS104" s="1">
        <v>0.25919999999999999</v>
      </c>
      <c r="AT104" s="1">
        <v>0.86399999999999999</v>
      </c>
      <c r="AU104" s="1">
        <v>2.5920000000000001</v>
      </c>
      <c r="AV104" s="1">
        <v>8.64</v>
      </c>
      <c r="AW104" s="1">
        <v>25.92</v>
      </c>
      <c r="AX104" s="1">
        <v>86.4</v>
      </c>
      <c r="AZ104" s="8" t="s">
        <v>58</v>
      </c>
      <c r="BA104" s="1">
        <v>8.6400000000000001E-3</v>
      </c>
      <c r="BB104" s="1">
        <v>2.5919999999999999E-2</v>
      </c>
      <c r="BC104" s="1">
        <v>8.6400000000000005E-2</v>
      </c>
      <c r="BD104" s="1">
        <v>0.25919999999999999</v>
      </c>
      <c r="BE104" s="1">
        <v>0.86399999999999999</v>
      </c>
      <c r="BF104" s="1">
        <v>2.5920000000000001</v>
      </c>
      <c r="BG104" s="1">
        <v>8.64</v>
      </c>
      <c r="BH104" s="1">
        <v>25.92</v>
      </c>
      <c r="BI104" s="1">
        <v>86.4</v>
      </c>
    </row>
    <row r="105" spans="1:61" x14ac:dyDescent="0.45">
      <c r="A105" t="s">
        <v>679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4"/>
        <v>6.2770310871303753E-6</v>
      </c>
      <c r="Y105" s="1">
        <f t="shared" si="15"/>
        <v>6.2770310871303756E-4</v>
      </c>
      <c r="Z105" s="1">
        <f t="shared" si="16"/>
        <v>6.2770310871303753E-6</v>
      </c>
      <c r="AA105" s="1">
        <f t="shared" si="17"/>
        <v>6.2770310871303756E-4</v>
      </c>
      <c r="AE105" s="9" t="s">
        <v>46</v>
      </c>
      <c r="AF105" s="10">
        <v>8.6399999999999999E-9</v>
      </c>
      <c r="AG105" s="10">
        <v>8.6400000000000006E-8</v>
      </c>
      <c r="AH105" s="10">
        <v>8.6400000000000001E-7</v>
      </c>
      <c r="AI105" s="10">
        <v>8.6400000000000003E-6</v>
      </c>
      <c r="AJ105" s="10">
        <v>8.6399999999999999E-5</v>
      </c>
      <c r="AK105" s="10">
        <v>8.6399999999999997E-4</v>
      </c>
      <c r="AL105" s="10">
        <v>8.6400000000000001E-3</v>
      </c>
      <c r="AM105" s="10">
        <v>8.6400000000000005E-2</v>
      </c>
      <c r="AO105" s="9" t="s">
        <v>46</v>
      </c>
      <c r="AP105" s="10">
        <v>8.6400000000000006E-8</v>
      </c>
      <c r="AQ105" s="10">
        <v>8.6400000000000006E-8</v>
      </c>
      <c r="AR105" s="10">
        <v>8.6400000000000006E-8</v>
      </c>
      <c r="AS105" s="10">
        <v>8.6400000000000006E-8</v>
      </c>
      <c r="AT105" s="10">
        <v>8.6400000000000006E-8</v>
      </c>
      <c r="AU105" s="10">
        <v>8.6400000000000006E-8</v>
      </c>
      <c r="AV105" s="10">
        <v>8.6400000000000006E-8</v>
      </c>
      <c r="AW105" s="10">
        <v>8.6400000000000006E-8</v>
      </c>
      <c r="AX105" s="10">
        <v>8.6400000000000006E-8</v>
      </c>
    </row>
    <row r="106" spans="1:61" x14ac:dyDescent="0.45">
      <c r="A106" t="s">
        <v>680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4"/>
        <v>5.7559569640524311E-6</v>
      </c>
      <c r="Y106" s="1">
        <f t="shared" si="15"/>
        <v>5.7559569640524308E-4</v>
      </c>
      <c r="Z106" s="1">
        <f t="shared" si="16"/>
        <v>5.7559569640524311E-6</v>
      </c>
      <c r="AA106" s="1">
        <f t="shared" si="17"/>
        <v>5.7559569640524308E-4</v>
      </c>
      <c r="AE106" s="8" t="s">
        <v>48</v>
      </c>
      <c r="AF106" s="1">
        <v>4.3200000000000002E-2</v>
      </c>
      <c r="AG106" s="1">
        <v>4.3200000000000002E-2</v>
      </c>
      <c r="AH106" s="1">
        <v>4.3200000000000002E-2</v>
      </c>
      <c r="AI106" s="1">
        <v>4.3200000000000002E-2</v>
      </c>
      <c r="AJ106" s="1">
        <v>4.3200000000000002E-2</v>
      </c>
      <c r="AK106" s="1">
        <v>4.3200000000000002E-2</v>
      </c>
      <c r="AL106" s="1">
        <v>4.3200000000000002E-2</v>
      </c>
      <c r="AM106" s="1">
        <v>4.3200000000000002E-2</v>
      </c>
      <c r="AO106" s="8" t="s">
        <v>48</v>
      </c>
      <c r="AP106" s="1">
        <v>8.6400000000000001E-3</v>
      </c>
      <c r="AQ106" s="1">
        <v>2.5919999999999999E-2</v>
      </c>
      <c r="AR106" s="1">
        <v>8.6400000000000005E-2</v>
      </c>
      <c r="AS106" s="1">
        <v>0.25919999999999999</v>
      </c>
      <c r="AT106" s="1">
        <v>0.86399999999999999</v>
      </c>
      <c r="AU106" s="1">
        <v>2.5920000000000001</v>
      </c>
      <c r="AV106" s="1">
        <v>8.64</v>
      </c>
      <c r="AW106" s="1">
        <v>25.92</v>
      </c>
      <c r="AX106" s="1">
        <v>86.4</v>
      </c>
      <c r="BA106" s="1"/>
    </row>
    <row r="107" spans="1:61" x14ac:dyDescent="0.45">
      <c r="A107" t="s">
        <v>681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4"/>
        <v>5.3332641124062638E-6</v>
      </c>
      <c r="Y107" s="1">
        <f t="shared" si="15"/>
        <v>5.3332641124062639E-4</v>
      </c>
      <c r="Z107" s="1">
        <f t="shared" si="16"/>
        <v>5.3332641124062638E-6</v>
      </c>
      <c r="AA107" s="1">
        <f t="shared" si="17"/>
        <v>5.3332641124062639E-4</v>
      </c>
      <c r="AE107" s="9" t="s">
        <v>50</v>
      </c>
      <c r="AF107" s="10">
        <v>8.6399999999999999E-9</v>
      </c>
      <c r="AG107" s="10">
        <v>8.6400000000000006E-8</v>
      </c>
      <c r="AH107" s="10">
        <v>8.6400000000000001E-7</v>
      </c>
      <c r="AI107" s="10">
        <v>8.6400000000000003E-6</v>
      </c>
      <c r="AJ107" s="10">
        <v>8.6399999999999999E-5</v>
      </c>
      <c r="AK107" s="10">
        <v>8.6399999999999997E-4</v>
      </c>
      <c r="AL107" s="10">
        <v>8.6400000000000001E-3</v>
      </c>
      <c r="AM107" s="10">
        <v>8.6400000000000005E-2</v>
      </c>
      <c r="AO107" s="9" t="s">
        <v>50</v>
      </c>
      <c r="AP107" s="10">
        <v>8.6400000000000006E-8</v>
      </c>
      <c r="AQ107" s="10">
        <v>8.6400000000000006E-8</v>
      </c>
      <c r="AR107" s="10">
        <v>8.6400000000000006E-8</v>
      </c>
      <c r="AS107" s="10">
        <v>8.6400000000000006E-8</v>
      </c>
      <c r="AT107" s="10">
        <v>8.6400000000000006E-8</v>
      </c>
      <c r="AU107" s="10">
        <v>8.6400000000000006E-8</v>
      </c>
      <c r="AV107" s="10">
        <v>8.6400000000000006E-8</v>
      </c>
      <c r="AW107" s="10">
        <v>8.6400000000000006E-8</v>
      </c>
      <c r="AX107" s="10">
        <v>8.6400000000000006E-8</v>
      </c>
      <c r="AZ107" t="s">
        <v>35</v>
      </c>
      <c r="BA107" t="s">
        <v>658</v>
      </c>
      <c r="BB107" t="s">
        <v>659</v>
      </c>
      <c r="BC107" t="s">
        <v>660</v>
      </c>
      <c r="BE107" t="s">
        <v>661</v>
      </c>
      <c r="BG107" t="s">
        <v>662</v>
      </c>
      <c r="BH107" t="s">
        <v>663</v>
      </c>
      <c r="BI107" t="s">
        <v>664</v>
      </c>
    </row>
    <row r="108" spans="1:61" x14ac:dyDescent="0.45">
      <c r="A108" t="s">
        <v>682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4"/>
        <v>8.2728508003655077E-6</v>
      </c>
      <c r="Y108" s="1">
        <f t="shared" si="15"/>
        <v>8.2728508003655082E-4</v>
      </c>
      <c r="Z108" s="1">
        <f t="shared" si="16"/>
        <v>8.2728508003655077E-6</v>
      </c>
      <c r="AA108" s="1">
        <f t="shared" si="17"/>
        <v>8.2728508003655082E-4</v>
      </c>
      <c r="AE108" s="8" t="s">
        <v>52</v>
      </c>
      <c r="AF108" s="1">
        <v>4.3200000000000002E-2</v>
      </c>
      <c r="AG108" s="1">
        <v>4.3200000000000002E-2</v>
      </c>
      <c r="AH108" s="1">
        <v>4.3200000000000002E-2</v>
      </c>
      <c r="AI108" s="1">
        <v>4.3200000000000002E-2</v>
      </c>
      <c r="AJ108" s="1">
        <v>4.3200000000000002E-2</v>
      </c>
      <c r="AK108" s="1">
        <v>4.3200000000000002E-2</v>
      </c>
      <c r="AL108" s="1">
        <v>4.3200000000000002E-2</v>
      </c>
      <c r="AM108" s="1">
        <v>4.3200000000000002E-2</v>
      </c>
      <c r="AO108" s="8" t="s">
        <v>52</v>
      </c>
      <c r="AP108" s="1">
        <v>8.6400000000000001E-3</v>
      </c>
      <c r="AQ108" s="1">
        <v>2.5919999999999999E-2</v>
      </c>
      <c r="AR108" s="1">
        <v>8.6400000000000005E-2</v>
      </c>
      <c r="AS108" s="1">
        <v>0.25919999999999999</v>
      </c>
      <c r="AT108" s="1">
        <v>0.86399999999999999</v>
      </c>
      <c r="AU108" s="1">
        <v>2.5920000000000001</v>
      </c>
      <c r="AV108" s="1">
        <v>8.64</v>
      </c>
      <c r="AW108" s="1">
        <v>25.92</v>
      </c>
      <c r="AX108" s="1">
        <v>86.4</v>
      </c>
      <c r="AZ108" s="8" t="s">
        <v>42</v>
      </c>
      <c r="BA108" s="1">
        <v>8.6400000000000001E-3</v>
      </c>
      <c r="BB108" s="1">
        <v>2.5919999999999999E-2</v>
      </c>
      <c r="BC108" s="1">
        <v>8.6400000000000005E-2</v>
      </c>
      <c r="BD108" s="1">
        <v>0.25919999999999999</v>
      </c>
      <c r="BE108" s="1">
        <v>0.86399999999999999</v>
      </c>
      <c r="BF108" s="1">
        <v>2.5920000000000001</v>
      </c>
      <c r="BG108" s="1">
        <v>8.64</v>
      </c>
      <c r="BH108" s="1">
        <v>25.92</v>
      </c>
      <c r="BI108" s="1">
        <v>86.4</v>
      </c>
    </row>
    <row r="109" spans="1:61" x14ac:dyDescent="0.45">
      <c r="A109" t="s">
        <v>683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4"/>
        <v>9.7268368705790621E-6</v>
      </c>
      <c r="Y109" s="1">
        <f t="shared" si="15"/>
        <v>9.7268368705790624E-4</v>
      </c>
      <c r="Z109" s="1">
        <f t="shared" si="16"/>
        <v>9.7268368705790621E-6</v>
      </c>
      <c r="AA109" s="1">
        <f t="shared" si="17"/>
        <v>9.7268368705790624E-4</v>
      </c>
      <c r="AE109" s="8" t="s">
        <v>54</v>
      </c>
      <c r="AF109" s="1">
        <v>4.3200000000000002E-2</v>
      </c>
      <c r="AG109" s="1">
        <v>4.3200000000000002E-2</v>
      </c>
      <c r="AH109" s="1">
        <v>4.3200000000000002E-2</v>
      </c>
      <c r="AI109" s="1">
        <v>4.3200000000000002E-2</v>
      </c>
      <c r="AJ109" s="1">
        <v>4.3200000000000002E-2</v>
      </c>
      <c r="AK109" s="1">
        <v>4.3200000000000002E-2</v>
      </c>
      <c r="AL109" s="1">
        <v>4.3200000000000002E-2</v>
      </c>
      <c r="AM109" s="1">
        <v>4.3200000000000002E-2</v>
      </c>
      <c r="AO109" s="8" t="s">
        <v>54</v>
      </c>
      <c r="AP109" s="1">
        <v>8.6400000000000001E-3</v>
      </c>
      <c r="AQ109" s="1">
        <v>2.5919999999999999E-2</v>
      </c>
      <c r="AR109" s="1">
        <v>8.6400000000000005E-2</v>
      </c>
      <c r="AS109" s="1">
        <v>0.25919999999999999</v>
      </c>
      <c r="AT109" s="1">
        <v>0.86399999999999999</v>
      </c>
      <c r="AU109" s="1">
        <v>2.5920000000000001</v>
      </c>
      <c r="AV109" s="1">
        <v>8.64</v>
      </c>
      <c r="AW109" s="1">
        <v>25.92</v>
      </c>
      <c r="AX109" s="1">
        <v>86.4</v>
      </c>
      <c r="AZ109" s="9" t="s">
        <v>46</v>
      </c>
      <c r="BA109" s="10">
        <v>2.5919999999999999E-7</v>
      </c>
      <c r="BB109" s="10">
        <v>2.5919999999999999E-7</v>
      </c>
      <c r="BC109" s="10">
        <v>2.5919999999999999E-7</v>
      </c>
      <c r="BD109" s="10">
        <v>2.5919999999999999E-7</v>
      </c>
      <c r="BE109" s="10">
        <v>2.5919999999999999E-7</v>
      </c>
      <c r="BF109" s="10">
        <v>2.5919999999999999E-7</v>
      </c>
      <c r="BG109" s="10">
        <v>2.5919999999999999E-7</v>
      </c>
      <c r="BH109" s="10">
        <v>2.5919999999999999E-7</v>
      </c>
      <c r="BI109" s="10">
        <v>2.5919999999999999E-7</v>
      </c>
    </row>
    <row r="110" spans="1:61" x14ac:dyDescent="0.45">
      <c r="A110" t="s">
        <v>684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4"/>
        <v>4.8961483057842049E-6</v>
      </c>
      <c r="Y110" s="1">
        <f t="shared" si="15"/>
        <v>4.8961483057842047E-4</v>
      </c>
      <c r="Z110" s="1">
        <f t="shared" si="16"/>
        <v>4.8961483057842049E-6</v>
      </c>
      <c r="AA110" s="1">
        <f t="shared" si="17"/>
        <v>4.8961483057842047E-4</v>
      </c>
      <c r="AE110" s="9" t="s">
        <v>55</v>
      </c>
      <c r="AF110" s="10">
        <v>8.6399999999999999E-9</v>
      </c>
      <c r="AG110" s="10">
        <v>8.6400000000000006E-8</v>
      </c>
      <c r="AH110" s="10">
        <v>8.6400000000000001E-7</v>
      </c>
      <c r="AI110" s="10">
        <v>8.6400000000000003E-6</v>
      </c>
      <c r="AJ110" s="10">
        <v>8.6399999999999999E-5</v>
      </c>
      <c r="AK110" s="10">
        <v>8.6399999999999997E-4</v>
      </c>
      <c r="AL110" s="10">
        <v>8.6400000000000001E-3</v>
      </c>
      <c r="AM110" s="10">
        <v>8.6400000000000005E-2</v>
      </c>
      <c r="AO110" s="9" t="s">
        <v>55</v>
      </c>
      <c r="AP110" s="10">
        <v>8.6400000000000006E-8</v>
      </c>
      <c r="AQ110" s="10">
        <v>8.6400000000000006E-8</v>
      </c>
      <c r="AR110" s="10">
        <v>8.6400000000000006E-8</v>
      </c>
      <c r="AS110" s="10">
        <v>8.6400000000000006E-8</v>
      </c>
      <c r="AT110" s="10">
        <v>8.6400000000000006E-8</v>
      </c>
      <c r="AU110" s="10">
        <v>8.6400000000000006E-8</v>
      </c>
      <c r="AV110" s="10">
        <v>8.6400000000000006E-8</v>
      </c>
      <c r="AW110" s="10">
        <v>8.6400000000000006E-8</v>
      </c>
      <c r="AX110" s="10">
        <v>8.6400000000000006E-8</v>
      </c>
      <c r="AZ110" s="8" t="s">
        <v>48</v>
      </c>
      <c r="BA110" s="1">
        <v>8.6400000000000001E-3</v>
      </c>
      <c r="BB110" s="1">
        <v>2.5919999999999999E-2</v>
      </c>
      <c r="BC110" s="1">
        <v>8.6400000000000005E-2</v>
      </c>
      <c r="BD110" s="1">
        <v>0.25919999999999999</v>
      </c>
      <c r="BE110" s="1">
        <v>0.86399999999999999</v>
      </c>
      <c r="BF110" s="1">
        <v>2.5920000000000001</v>
      </c>
      <c r="BG110" s="1">
        <v>8.64</v>
      </c>
      <c r="BH110" s="1">
        <v>25.92</v>
      </c>
      <c r="BI110" s="1">
        <v>86.4</v>
      </c>
    </row>
    <row r="111" spans="1:61" x14ac:dyDescent="0.45">
      <c r="A111" t="s">
        <v>685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4"/>
        <v>5.6725746685323387E-6</v>
      </c>
      <c r="Y111" s="1">
        <f t="shared" si="15"/>
        <v>5.6725746685323385E-4</v>
      </c>
      <c r="Z111" s="1">
        <f t="shared" si="16"/>
        <v>5.6725746685323387E-6</v>
      </c>
      <c r="AA111" s="1">
        <f t="shared" si="17"/>
        <v>5.6725746685323385E-4</v>
      </c>
      <c r="AE111" s="8" t="s">
        <v>56</v>
      </c>
      <c r="AF111" s="1">
        <v>4.3200000000000002E-2</v>
      </c>
      <c r="AG111" s="1">
        <v>4.3200000000000002E-2</v>
      </c>
      <c r="AH111" s="1">
        <v>4.3200000000000002E-2</v>
      </c>
      <c r="AI111" s="1">
        <v>4.3200000000000002E-2</v>
      </c>
      <c r="AJ111" s="1">
        <v>4.3200000000000002E-2</v>
      </c>
      <c r="AK111" s="1">
        <v>4.3200000000000002E-2</v>
      </c>
      <c r="AL111" s="1">
        <v>4.3200000000000002E-2</v>
      </c>
      <c r="AM111" s="1">
        <v>4.3200000000000002E-2</v>
      </c>
      <c r="AO111" s="8" t="s">
        <v>56</v>
      </c>
      <c r="AP111" s="1">
        <v>8.6400000000000001E-3</v>
      </c>
      <c r="AQ111" s="1">
        <v>2.5919999999999999E-2</v>
      </c>
      <c r="AR111" s="1">
        <v>8.6400000000000005E-2</v>
      </c>
      <c r="AS111" s="1">
        <v>0.25919999999999999</v>
      </c>
      <c r="AT111" s="1">
        <v>0.86399999999999999</v>
      </c>
      <c r="AU111" s="1">
        <v>2.5920000000000001</v>
      </c>
      <c r="AV111" s="1">
        <v>8.64</v>
      </c>
      <c r="AW111" s="1">
        <v>25.92</v>
      </c>
      <c r="AX111" s="1">
        <v>86.4</v>
      </c>
      <c r="AZ111" s="9" t="s">
        <v>50</v>
      </c>
      <c r="BA111" s="10">
        <v>2.5919999999999999E-7</v>
      </c>
      <c r="BB111" s="10">
        <v>2.5919999999999999E-7</v>
      </c>
      <c r="BC111" s="10">
        <v>2.5919999999999999E-7</v>
      </c>
      <c r="BD111" s="10">
        <v>2.5919999999999999E-7</v>
      </c>
      <c r="BE111" s="10">
        <v>2.5919999999999999E-7</v>
      </c>
      <c r="BF111" s="10">
        <v>2.5919999999999999E-7</v>
      </c>
      <c r="BG111" s="10">
        <v>2.5919999999999999E-7</v>
      </c>
      <c r="BH111" s="10">
        <v>2.5919999999999999E-7</v>
      </c>
      <c r="BI111" s="10">
        <v>2.5919999999999999E-7</v>
      </c>
    </row>
    <row r="112" spans="1:61" x14ac:dyDescent="0.45">
      <c r="A112" t="s">
        <v>686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4"/>
        <v>5.7586134556664866E-6</v>
      </c>
      <c r="Y112" s="1">
        <f t="shared" si="15"/>
        <v>5.7586134556664864E-4</v>
      </c>
      <c r="Z112" s="1">
        <f t="shared" si="16"/>
        <v>5.7586134556664866E-6</v>
      </c>
      <c r="AA112" s="1">
        <f t="shared" si="17"/>
        <v>5.7586134556664864E-4</v>
      </c>
      <c r="AE112" s="9" t="s">
        <v>57</v>
      </c>
      <c r="AF112" s="10">
        <v>8.6399999999999999E-9</v>
      </c>
      <c r="AG112" s="10">
        <v>8.6400000000000006E-8</v>
      </c>
      <c r="AH112" s="10">
        <v>8.6400000000000001E-7</v>
      </c>
      <c r="AI112" s="10">
        <v>8.6400000000000003E-6</v>
      </c>
      <c r="AJ112" s="10">
        <v>8.6399999999999999E-5</v>
      </c>
      <c r="AK112" s="10">
        <v>8.6399999999999997E-4</v>
      </c>
      <c r="AL112" s="10">
        <v>8.6400000000000001E-3</v>
      </c>
      <c r="AM112" s="10">
        <v>8.6400000000000005E-2</v>
      </c>
      <c r="AO112" s="9" t="s">
        <v>57</v>
      </c>
      <c r="AP112" s="10">
        <v>8.6400000000000006E-8</v>
      </c>
      <c r="AQ112" s="10">
        <v>8.6400000000000006E-8</v>
      </c>
      <c r="AR112" s="10">
        <v>8.6400000000000006E-8</v>
      </c>
      <c r="AS112" s="10">
        <v>8.6400000000000006E-8</v>
      </c>
      <c r="AT112" s="10">
        <v>8.6400000000000006E-8</v>
      </c>
      <c r="AU112" s="10">
        <v>8.6400000000000006E-8</v>
      </c>
      <c r="AV112" s="10">
        <v>8.6400000000000006E-8</v>
      </c>
      <c r="AW112" s="10">
        <v>8.6400000000000006E-8</v>
      </c>
      <c r="AX112" s="10">
        <v>8.6400000000000006E-8</v>
      </c>
      <c r="AZ112" s="8" t="s">
        <v>52</v>
      </c>
      <c r="BA112" s="1">
        <v>8.6400000000000001E-3</v>
      </c>
      <c r="BB112" s="1">
        <v>2.5919999999999999E-2</v>
      </c>
      <c r="BC112" s="1">
        <v>8.6400000000000005E-2</v>
      </c>
      <c r="BD112" s="1">
        <v>0.25919999999999999</v>
      </c>
      <c r="BE112" s="1">
        <v>0.86399999999999999</v>
      </c>
      <c r="BF112" s="1">
        <v>2.5920000000000001</v>
      </c>
      <c r="BG112" s="1">
        <v>8.64</v>
      </c>
      <c r="BH112" s="1">
        <v>25.92</v>
      </c>
      <c r="BI112" s="1">
        <v>86.4</v>
      </c>
    </row>
    <row r="113" spans="1:61" x14ac:dyDescent="0.45">
      <c r="A113" t="s">
        <v>687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4"/>
        <v>6.6475058859948897E-6</v>
      </c>
      <c r="Y113" s="1">
        <f t="shared" si="15"/>
        <v>6.64750588599489E-4</v>
      </c>
      <c r="Z113" s="1">
        <f t="shared" si="16"/>
        <v>6.6475058859948897E-6</v>
      </c>
      <c r="AA113" s="1">
        <f t="shared" si="17"/>
        <v>6.64750588599489E-4</v>
      </c>
      <c r="AE113" s="8" t="s">
        <v>58</v>
      </c>
      <c r="AF113" s="1">
        <v>4.3200000000000002E-2</v>
      </c>
      <c r="AG113" s="1">
        <v>4.3200000000000002E-2</v>
      </c>
      <c r="AH113" s="1">
        <v>4.3200000000000002E-2</v>
      </c>
      <c r="AI113" s="1">
        <v>4.3200000000000002E-2</v>
      </c>
      <c r="AJ113" s="1">
        <v>4.3200000000000002E-2</v>
      </c>
      <c r="AK113" s="1">
        <v>4.3200000000000002E-2</v>
      </c>
      <c r="AL113" s="1">
        <v>4.3200000000000002E-2</v>
      </c>
      <c r="AM113" s="1">
        <v>4.3200000000000002E-2</v>
      </c>
      <c r="AO113" s="8" t="s">
        <v>58</v>
      </c>
      <c r="AP113" s="1">
        <v>8.6400000000000001E-3</v>
      </c>
      <c r="AQ113" s="1">
        <v>2.5919999999999999E-2</v>
      </c>
      <c r="AR113" s="1">
        <v>8.6400000000000005E-2</v>
      </c>
      <c r="AS113" s="1">
        <v>0.25919999999999999</v>
      </c>
      <c r="AT113" s="1">
        <v>0.86399999999999999</v>
      </c>
      <c r="AU113" s="1">
        <v>2.5920000000000001</v>
      </c>
      <c r="AV113" s="1">
        <v>8.64</v>
      </c>
      <c r="AW113" s="1">
        <v>25.92</v>
      </c>
      <c r="AX113" s="1">
        <v>86.4</v>
      </c>
      <c r="AZ113" s="8" t="s">
        <v>54</v>
      </c>
      <c r="BA113" s="1">
        <v>8.6400000000000001E-3</v>
      </c>
      <c r="BB113" s="1">
        <v>2.5919999999999999E-2</v>
      </c>
      <c r="BC113" s="1">
        <v>8.6400000000000005E-2</v>
      </c>
      <c r="BD113" s="1">
        <v>0.25919999999999999</v>
      </c>
      <c r="BE113" s="1">
        <v>0.86399999999999999</v>
      </c>
      <c r="BF113" s="1">
        <v>2.5920000000000001</v>
      </c>
      <c r="BG113" s="1">
        <v>8.64</v>
      </c>
      <c r="BH113" s="1">
        <v>25.92</v>
      </c>
      <c r="BI113" s="1">
        <v>86.4</v>
      </c>
    </row>
    <row r="114" spans="1:61" x14ac:dyDescent="0.45">
      <c r="A114" t="s">
        <v>688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4"/>
        <v>9.4712108096549951E-6</v>
      </c>
      <c r="Y114" s="1">
        <f t="shared" si="15"/>
        <v>9.4712108096549959E-4</v>
      </c>
      <c r="Z114" s="1">
        <f t="shared" si="16"/>
        <v>9.4712108096549951E-6</v>
      </c>
      <c r="AA114" s="1">
        <f t="shared" si="17"/>
        <v>9.4712108096549959E-4</v>
      </c>
      <c r="AZ114" s="9" t="s">
        <v>55</v>
      </c>
      <c r="BA114" s="10">
        <v>2.5919999999999999E-7</v>
      </c>
      <c r="BB114" s="10">
        <v>2.5919999999999999E-7</v>
      </c>
      <c r="BC114" s="10">
        <v>2.5919999999999999E-7</v>
      </c>
      <c r="BD114" s="10">
        <v>2.5919999999999999E-7</v>
      </c>
      <c r="BE114" s="10">
        <v>2.5919999999999999E-7</v>
      </c>
      <c r="BF114" s="10">
        <v>2.5919999999999999E-7</v>
      </c>
      <c r="BG114" s="10">
        <v>2.5919999999999999E-7</v>
      </c>
      <c r="BH114" s="10">
        <v>2.5919999999999999E-7</v>
      </c>
      <c r="BI114" s="10">
        <v>2.5919999999999999E-7</v>
      </c>
    </row>
    <row r="115" spans="1:61" x14ac:dyDescent="0.45">
      <c r="A115" t="s">
        <v>689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4"/>
        <v>5.5438130895789645E-6</v>
      </c>
      <c r="Y115" s="1">
        <f t="shared" si="15"/>
        <v>5.5438130895789643E-4</v>
      </c>
      <c r="Z115" s="1">
        <f t="shared" si="16"/>
        <v>5.5438130895789645E-6</v>
      </c>
      <c r="AA115" s="1">
        <f t="shared" si="17"/>
        <v>5.5438130895789643E-4</v>
      </c>
      <c r="AE115" t="s">
        <v>35</v>
      </c>
      <c r="AF115" t="s">
        <v>658</v>
      </c>
      <c r="AG115" t="s">
        <v>659</v>
      </c>
      <c r="AH115" t="s">
        <v>660</v>
      </c>
      <c r="AI115" t="s">
        <v>661</v>
      </c>
      <c r="AJ115" t="s">
        <v>662</v>
      </c>
      <c r="AK115" t="s">
        <v>663</v>
      </c>
      <c r="AL115" t="s">
        <v>664</v>
      </c>
      <c r="AM115" t="s">
        <v>665</v>
      </c>
      <c r="AO115" t="s">
        <v>35</v>
      </c>
      <c r="AP115" t="s">
        <v>658</v>
      </c>
      <c r="AQ115" t="s">
        <v>659</v>
      </c>
      <c r="AR115" t="s">
        <v>660</v>
      </c>
      <c r="AT115" t="s">
        <v>661</v>
      </c>
      <c r="AV115" t="s">
        <v>662</v>
      </c>
      <c r="AW115" t="s">
        <v>663</v>
      </c>
      <c r="AX115" t="s">
        <v>664</v>
      </c>
      <c r="AZ115" s="8" t="s">
        <v>56</v>
      </c>
      <c r="BA115" s="1">
        <v>8.6400000000000001E-3</v>
      </c>
      <c r="BB115" s="1">
        <v>2.5919999999999999E-2</v>
      </c>
      <c r="BC115" s="1">
        <v>8.6400000000000005E-2</v>
      </c>
      <c r="BD115" s="1">
        <v>0.25919999999999999</v>
      </c>
      <c r="BE115" s="1">
        <v>0.86399999999999999</v>
      </c>
      <c r="BF115" s="1">
        <v>2.5920000000000001</v>
      </c>
      <c r="BG115" s="1">
        <v>8.64</v>
      </c>
      <c r="BH115" s="1">
        <v>25.92</v>
      </c>
      <c r="BI115" s="1">
        <v>86.4</v>
      </c>
    </row>
    <row r="116" spans="1:61" x14ac:dyDescent="0.45">
      <c r="A116" t="s">
        <v>690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4"/>
        <v>9.0184342071178342E-6</v>
      </c>
      <c r="Y116" s="1">
        <f t="shared" si="15"/>
        <v>9.0184342071178349E-4</v>
      </c>
      <c r="Z116" s="1">
        <f t="shared" si="16"/>
        <v>9.0184342071178342E-6</v>
      </c>
      <c r="AA116" s="1">
        <f t="shared" si="17"/>
        <v>9.0184342071178349E-4</v>
      </c>
      <c r="AE116" s="8" t="s">
        <v>42</v>
      </c>
      <c r="AF116" s="1">
        <v>8.6400000000000005E-2</v>
      </c>
      <c r="AG116" s="1">
        <v>8.6400000000000005E-2</v>
      </c>
      <c r="AH116" s="1">
        <v>8.6400000000000005E-2</v>
      </c>
      <c r="AI116" s="1">
        <v>8.6400000000000005E-2</v>
      </c>
      <c r="AJ116" s="1">
        <v>8.6400000000000005E-2</v>
      </c>
      <c r="AK116" s="1">
        <v>8.6400000000000005E-2</v>
      </c>
      <c r="AL116" s="1">
        <v>8.6400000000000005E-2</v>
      </c>
      <c r="AM116" s="1">
        <v>8.6400000000000005E-2</v>
      </c>
      <c r="AO116" s="8" t="s">
        <v>42</v>
      </c>
      <c r="AP116" s="1">
        <v>8.6400000000000001E-3</v>
      </c>
      <c r="AQ116" s="1">
        <v>2.5919999999999999E-2</v>
      </c>
      <c r="AR116" s="1">
        <v>8.6400000000000005E-2</v>
      </c>
      <c r="AS116" s="1">
        <v>0.25919999999999999</v>
      </c>
      <c r="AT116" s="1">
        <v>0.86399999999999999</v>
      </c>
      <c r="AU116" s="1">
        <v>2.5920000000000001</v>
      </c>
      <c r="AV116" s="1">
        <v>8.64</v>
      </c>
      <c r="AW116" s="1">
        <v>25.92</v>
      </c>
      <c r="AX116" s="1">
        <v>86.4</v>
      </c>
      <c r="AZ116" s="9" t="s">
        <v>57</v>
      </c>
      <c r="BA116" s="10">
        <v>2.5919999999999999E-7</v>
      </c>
      <c r="BB116" s="10">
        <v>2.5919999999999999E-7</v>
      </c>
      <c r="BC116" s="10">
        <v>2.5919999999999999E-7</v>
      </c>
      <c r="BD116" s="10">
        <v>2.5919999999999999E-7</v>
      </c>
      <c r="BE116" s="10">
        <v>2.5919999999999999E-7</v>
      </c>
      <c r="BF116" s="10">
        <v>2.5919999999999999E-7</v>
      </c>
      <c r="BG116" s="10">
        <v>2.5919999999999999E-7</v>
      </c>
      <c r="BH116" s="10">
        <v>2.5919999999999999E-7</v>
      </c>
      <c r="BI116" s="10">
        <v>2.5919999999999999E-7</v>
      </c>
    </row>
    <row r="117" spans="1:61" x14ac:dyDescent="0.45">
      <c r="A117" t="s">
        <v>691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4"/>
        <v>6.261291178914276E-6</v>
      </c>
      <c r="Y117" s="1">
        <f t="shared" si="15"/>
        <v>6.2612911789142764E-4</v>
      </c>
      <c r="Z117" s="1">
        <f t="shared" si="16"/>
        <v>6.261291178914276E-6</v>
      </c>
      <c r="AA117" s="1">
        <f t="shared" si="17"/>
        <v>6.2612911789142764E-4</v>
      </c>
      <c r="AE117" s="9" t="s">
        <v>46</v>
      </c>
      <c r="AF117" s="10">
        <v>8.6399999999999999E-9</v>
      </c>
      <c r="AG117" s="10">
        <v>8.6400000000000006E-8</v>
      </c>
      <c r="AH117" s="10">
        <v>8.6400000000000001E-7</v>
      </c>
      <c r="AI117" s="10">
        <v>8.6400000000000003E-6</v>
      </c>
      <c r="AJ117" s="10">
        <v>8.6399999999999999E-5</v>
      </c>
      <c r="AK117" s="10">
        <v>8.6399999999999997E-4</v>
      </c>
      <c r="AL117" s="10">
        <v>8.6400000000000001E-3</v>
      </c>
      <c r="AM117" s="10">
        <v>8.6400000000000005E-2</v>
      </c>
      <c r="AO117" s="9" t="s">
        <v>46</v>
      </c>
      <c r="AP117" s="10">
        <v>8.6400000000000001E-7</v>
      </c>
      <c r="AQ117" s="10">
        <v>8.6400000000000001E-7</v>
      </c>
      <c r="AR117" s="10">
        <v>8.6400000000000001E-7</v>
      </c>
      <c r="AS117" s="10">
        <v>8.6400000000000001E-7</v>
      </c>
      <c r="AT117" s="10">
        <v>8.6400000000000001E-7</v>
      </c>
      <c r="AU117" s="10">
        <v>8.6400000000000001E-7</v>
      </c>
      <c r="AV117" s="10">
        <v>8.6400000000000001E-7</v>
      </c>
      <c r="AW117" s="10">
        <v>8.6400000000000001E-7</v>
      </c>
      <c r="AX117" s="10">
        <v>8.6400000000000001E-7</v>
      </c>
      <c r="AZ117" s="8" t="s">
        <v>58</v>
      </c>
      <c r="BA117" s="1">
        <v>8.6400000000000001E-3</v>
      </c>
      <c r="BB117" s="1">
        <v>2.5919999999999999E-2</v>
      </c>
      <c r="BC117" s="1">
        <v>8.6400000000000005E-2</v>
      </c>
      <c r="BD117" s="1">
        <v>0.25919999999999999</v>
      </c>
      <c r="BE117" s="1">
        <v>0.86399999999999999</v>
      </c>
      <c r="BF117" s="1">
        <v>2.5920000000000001</v>
      </c>
      <c r="BG117" s="1">
        <v>8.64</v>
      </c>
      <c r="BH117" s="1">
        <v>25.92</v>
      </c>
      <c r="BI117" s="1">
        <v>86.4</v>
      </c>
    </row>
    <row r="118" spans="1:61" x14ac:dyDescent="0.45">
      <c r="A118" t="s">
        <v>692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4"/>
        <v>7.5873173424928586E-6</v>
      </c>
      <c r="Y118" s="1">
        <f t="shared" si="15"/>
        <v>7.5873173424928584E-4</v>
      </c>
      <c r="Z118" s="1">
        <f t="shared" si="16"/>
        <v>7.5873173424928586E-6</v>
      </c>
      <c r="AA118" s="1">
        <f t="shared" si="17"/>
        <v>7.5873173424928584E-4</v>
      </c>
      <c r="AE118" s="8" t="s">
        <v>48</v>
      </c>
      <c r="AF118" s="1">
        <v>8.6400000000000005E-2</v>
      </c>
      <c r="AG118" s="1">
        <v>8.6400000000000005E-2</v>
      </c>
      <c r="AH118" s="1">
        <v>8.6400000000000005E-2</v>
      </c>
      <c r="AI118" s="1">
        <v>8.6400000000000005E-2</v>
      </c>
      <c r="AJ118" s="1">
        <v>8.6400000000000005E-2</v>
      </c>
      <c r="AK118" s="1">
        <v>8.6400000000000005E-2</v>
      </c>
      <c r="AL118" s="1">
        <v>8.6400000000000005E-2</v>
      </c>
      <c r="AM118" s="1">
        <v>8.6400000000000005E-2</v>
      </c>
      <c r="AO118" s="8" t="s">
        <v>48</v>
      </c>
      <c r="AP118" s="1">
        <v>8.6400000000000001E-3</v>
      </c>
      <c r="AQ118" s="1">
        <v>2.5919999999999999E-2</v>
      </c>
      <c r="AR118" s="1">
        <v>8.6400000000000005E-2</v>
      </c>
      <c r="AS118" s="1">
        <v>0.25919999999999999</v>
      </c>
      <c r="AT118" s="1">
        <v>0.86399999999999999</v>
      </c>
      <c r="AU118" s="1">
        <v>2.5920000000000001</v>
      </c>
      <c r="AV118" s="1">
        <v>8.64</v>
      </c>
      <c r="AW118" s="1">
        <v>25.92</v>
      </c>
      <c r="AX118" s="1">
        <v>86.4</v>
      </c>
    </row>
    <row r="119" spans="1:61" x14ac:dyDescent="0.45">
      <c r="A119" t="s">
        <v>693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4"/>
        <v>6.1259290710490544E-6</v>
      </c>
      <c r="Y119" s="1">
        <f t="shared" si="15"/>
        <v>6.1259290710490542E-4</v>
      </c>
      <c r="Z119" s="1">
        <f t="shared" si="16"/>
        <v>6.1259290710490544E-6</v>
      </c>
      <c r="AA119" s="1">
        <f t="shared" si="17"/>
        <v>6.1259290710490542E-4</v>
      </c>
      <c r="AE119" s="9" t="s">
        <v>50</v>
      </c>
      <c r="AF119" s="10">
        <v>8.6399999999999999E-9</v>
      </c>
      <c r="AG119" s="10">
        <v>8.6400000000000006E-8</v>
      </c>
      <c r="AH119" s="10">
        <v>8.6400000000000001E-7</v>
      </c>
      <c r="AI119" s="10">
        <v>8.6400000000000003E-6</v>
      </c>
      <c r="AJ119" s="10">
        <v>8.6399999999999999E-5</v>
      </c>
      <c r="AK119" s="10">
        <v>8.6399999999999997E-4</v>
      </c>
      <c r="AL119" s="10">
        <v>8.6400000000000001E-3</v>
      </c>
      <c r="AM119" s="10">
        <v>8.6400000000000005E-2</v>
      </c>
      <c r="AO119" s="9" t="s">
        <v>50</v>
      </c>
      <c r="AP119" s="10">
        <v>8.6400000000000001E-7</v>
      </c>
      <c r="AQ119" s="10">
        <v>8.6400000000000001E-7</v>
      </c>
      <c r="AR119" s="10">
        <v>8.6400000000000001E-7</v>
      </c>
      <c r="AS119" s="10">
        <v>8.6400000000000001E-7</v>
      </c>
      <c r="AT119" s="10">
        <v>8.6400000000000001E-7</v>
      </c>
      <c r="AU119" s="10">
        <v>8.6400000000000001E-7</v>
      </c>
      <c r="AV119" s="10">
        <v>8.6400000000000001E-7</v>
      </c>
      <c r="AW119" s="10">
        <v>8.6400000000000001E-7</v>
      </c>
      <c r="AX119" s="10">
        <v>8.6400000000000001E-7</v>
      </c>
    </row>
    <row r="120" spans="1:61" x14ac:dyDescent="0.45">
      <c r="A120" t="s">
        <v>694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4"/>
        <v>6.9084118394068105E-6</v>
      </c>
      <c r="Y120" s="1">
        <f t="shared" si="15"/>
        <v>6.9084118394068103E-4</v>
      </c>
      <c r="Z120" s="1">
        <f t="shared" si="16"/>
        <v>6.9084118394068105E-6</v>
      </c>
      <c r="AA120" s="1">
        <f t="shared" si="17"/>
        <v>6.9084118394068103E-4</v>
      </c>
      <c r="AE120" s="8" t="s">
        <v>52</v>
      </c>
      <c r="AF120" s="1">
        <v>8.6400000000000005E-2</v>
      </c>
      <c r="AG120" s="1">
        <v>8.6400000000000005E-2</v>
      </c>
      <c r="AH120" s="1">
        <v>8.6400000000000005E-2</v>
      </c>
      <c r="AI120" s="1">
        <v>8.6400000000000005E-2</v>
      </c>
      <c r="AJ120" s="1">
        <v>8.6400000000000005E-2</v>
      </c>
      <c r="AK120" s="1">
        <v>8.6400000000000005E-2</v>
      </c>
      <c r="AL120" s="1">
        <v>8.6400000000000005E-2</v>
      </c>
      <c r="AM120" s="1">
        <v>8.6400000000000005E-2</v>
      </c>
      <c r="AO120" s="8" t="s">
        <v>52</v>
      </c>
      <c r="AP120" s="1">
        <v>8.6400000000000001E-3</v>
      </c>
      <c r="AQ120" s="1">
        <v>2.5919999999999999E-2</v>
      </c>
      <c r="AR120" s="1">
        <v>8.6400000000000005E-2</v>
      </c>
      <c r="AS120" s="1">
        <v>0.25919999999999999</v>
      </c>
      <c r="AT120" s="1">
        <v>0.86399999999999999</v>
      </c>
      <c r="AU120" s="1">
        <v>2.5920000000000001</v>
      </c>
      <c r="AV120" s="1">
        <v>8.64</v>
      </c>
      <c r="AW120" s="1">
        <v>25.92</v>
      </c>
      <c r="AX120" s="1">
        <v>86.4</v>
      </c>
      <c r="AZ120" t="s">
        <v>35</v>
      </c>
      <c r="BA120" t="s">
        <v>658</v>
      </c>
      <c r="BB120" t="s">
        <v>659</v>
      </c>
      <c r="BC120" t="s">
        <v>660</v>
      </c>
      <c r="BE120" t="s">
        <v>661</v>
      </c>
      <c r="BG120" t="s">
        <v>662</v>
      </c>
      <c r="BH120" t="s">
        <v>663</v>
      </c>
      <c r="BI120" t="s">
        <v>664</v>
      </c>
    </row>
    <row r="121" spans="1:61" x14ac:dyDescent="0.45">
      <c r="A121" t="s">
        <v>695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4"/>
        <v>6.6669851278469489E-6</v>
      </c>
      <c r="Y121" s="1">
        <f t="shared" si="15"/>
        <v>6.6669851278469488E-4</v>
      </c>
      <c r="Z121" s="1">
        <f t="shared" si="16"/>
        <v>6.6669851278469489E-6</v>
      </c>
      <c r="AA121" s="1">
        <f t="shared" si="17"/>
        <v>6.6669851278469488E-4</v>
      </c>
      <c r="AE121" s="8" t="s">
        <v>54</v>
      </c>
      <c r="AF121" s="1">
        <v>8.6400000000000005E-2</v>
      </c>
      <c r="AG121" s="1">
        <v>8.6400000000000005E-2</v>
      </c>
      <c r="AH121" s="1">
        <v>8.6400000000000005E-2</v>
      </c>
      <c r="AI121" s="1">
        <v>8.6400000000000005E-2</v>
      </c>
      <c r="AJ121" s="1">
        <v>8.6400000000000005E-2</v>
      </c>
      <c r="AK121" s="1">
        <v>8.6400000000000005E-2</v>
      </c>
      <c r="AL121" s="1">
        <v>8.6400000000000005E-2</v>
      </c>
      <c r="AM121" s="1">
        <v>8.6400000000000005E-2</v>
      </c>
      <c r="AO121" s="8" t="s">
        <v>54</v>
      </c>
      <c r="AP121" s="1">
        <v>8.6400000000000001E-3</v>
      </c>
      <c r="AQ121" s="1">
        <v>2.5919999999999999E-2</v>
      </c>
      <c r="AR121" s="1">
        <v>8.6400000000000005E-2</v>
      </c>
      <c r="AS121" s="1">
        <v>0.25919999999999999</v>
      </c>
      <c r="AT121" s="1">
        <v>0.86399999999999999</v>
      </c>
      <c r="AU121" s="1">
        <v>2.5920000000000001</v>
      </c>
      <c r="AV121" s="1">
        <v>8.64</v>
      </c>
      <c r="AW121" s="1">
        <v>25.92</v>
      </c>
      <c r="AX121" s="1">
        <v>86.4</v>
      </c>
      <c r="AZ121" s="8" t="s">
        <v>42</v>
      </c>
      <c r="BA121" s="1">
        <v>8.6400000000000001E-3</v>
      </c>
      <c r="BB121" s="1">
        <v>2.5919999999999999E-2</v>
      </c>
      <c r="BC121" s="1">
        <v>8.6400000000000005E-2</v>
      </c>
      <c r="BD121" s="1">
        <v>0.25919999999999999</v>
      </c>
      <c r="BE121" s="1">
        <v>0.86399999999999999</v>
      </c>
      <c r="BF121" s="1">
        <v>2.5920000000000001</v>
      </c>
      <c r="BG121" s="1">
        <v>8.64</v>
      </c>
      <c r="BH121" s="1">
        <v>25.92</v>
      </c>
      <c r="BI121" s="1">
        <v>86.4</v>
      </c>
    </row>
    <row r="122" spans="1:61" x14ac:dyDescent="0.45">
      <c r="A122" t="s">
        <v>696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4"/>
        <v>8.2045218583240759E-6</v>
      </c>
      <c r="Y122" s="1">
        <f t="shared" si="15"/>
        <v>8.2045218583240757E-4</v>
      </c>
      <c r="Z122" s="1">
        <f t="shared" si="16"/>
        <v>8.2045218583240759E-6</v>
      </c>
      <c r="AA122" s="1">
        <f t="shared" si="17"/>
        <v>8.2045218583240757E-4</v>
      </c>
      <c r="AE122" s="9" t="s">
        <v>55</v>
      </c>
      <c r="AF122" s="10">
        <v>8.6399999999999999E-9</v>
      </c>
      <c r="AG122" s="10">
        <v>8.6400000000000006E-8</v>
      </c>
      <c r="AH122" s="10">
        <v>8.6400000000000001E-7</v>
      </c>
      <c r="AI122" s="10">
        <v>8.6400000000000003E-6</v>
      </c>
      <c r="AJ122" s="10">
        <v>8.6399999999999999E-5</v>
      </c>
      <c r="AK122" s="10">
        <v>8.6399999999999997E-4</v>
      </c>
      <c r="AL122" s="10">
        <v>8.6400000000000001E-3</v>
      </c>
      <c r="AM122" s="10">
        <v>8.6400000000000005E-2</v>
      </c>
      <c r="AO122" s="9" t="s">
        <v>55</v>
      </c>
      <c r="AP122" s="10">
        <v>8.6400000000000001E-7</v>
      </c>
      <c r="AQ122" s="10">
        <v>8.6400000000000001E-7</v>
      </c>
      <c r="AR122" s="10">
        <v>8.6400000000000001E-7</v>
      </c>
      <c r="AS122" s="10">
        <v>8.6400000000000001E-7</v>
      </c>
      <c r="AT122" s="10">
        <v>8.6400000000000001E-7</v>
      </c>
      <c r="AU122" s="10">
        <v>8.6400000000000001E-7</v>
      </c>
      <c r="AV122" s="10">
        <v>8.6400000000000001E-7</v>
      </c>
      <c r="AW122" s="10">
        <v>8.6400000000000001E-7</v>
      </c>
      <c r="AX122" s="10">
        <v>8.6400000000000001E-7</v>
      </c>
      <c r="AZ122" s="9" t="s">
        <v>46</v>
      </c>
      <c r="BA122" s="10">
        <v>2.5919999999999999E-6</v>
      </c>
      <c r="BB122" s="10">
        <v>2.5919999999999999E-6</v>
      </c>
      <c r="BC122" s="10">
        <v>2.5919999999999999E-6</v>
      </c>
      <c r="BD122" s="10">
        <v>2.5919999999999999E-6</v>
      </c>
      <c r="BE122" s="10">
        <v>2.5919999999999999E-6</v>
      </c>
      <c r="BF122" s="10">
        <v>2.5919999999999999E-6</v>
      </c>
      <c r="BG122" s="10">
        <v>2.5919999999999999E-6</v>
      </c>
      <c r="BH122" s="10">
        <v>2.5919999999999999E-6</v>
      </c>
      <c r="BI122" s="10">
        <v>2.5919999999999999E-6</v>
      </c>
    </row>
    <row r="123" spans="1:61" x14ac:dyDescent="0.45">
      <c r="A123" t="s">
        <v>697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4"/>
        <v>5.2081387235738937E-6</v>
      </c>
      <c r="Y123" s="1">
        <f t="shared" si="15"/>
        <v>5.2081387235738941E-4</v>
      </c>
      <c r="Z123" s="1">
        <f t="shared" si="16"/>
        <v>5.2081387235738937E-6</v>
      </c>
      <c r="AA123" s="1">
        <f t="shared" si="17"/>
        <v>5.2081387235738941E-4</v>
      </c>
      <c r="AE123" s="8" t="s">
        <v>56</v>
      </c>
      <c r="AF123" s="1">
        <v>8.6400000000000005E-2</v>
      </c>
      <c r="AG123" s="1">
        <v>8.6400000000000005E-2</v>
      </c>
      <c r="AH123" s="1">
        <v>8.6400000000000005E-2</v>
      </c>
      <c r="AI123" s="1">
        <v>8.6400000000000005E-2</v>
      </c>
      <c r="AJ123" s="1">
        <v>8.6400000000000005E-2</v>
      </c>
      <c r="AK123" s="1">
        <v>8.6400000000000005E-2</v>
      </c>
      <c r="AL123" s="1">
        <v>8.6400000000000005E-2</v>
      </c>
      <c r="AM123" s="1">
        <v>8.6400000000000005E-2</v>
      </c>
      <c r="AO123" s="8" t="s">
        <v>56</v>
      </c>
      <c r="AP123" s="1">
        <v>8.6400000000000001E-3</v>
      </c>
      <c r="AQ123" s="1">
        <v>2.5919999999999999E-2</v>
      </c>
      <c r="AR123" s="1">
        <v>8.6400000000000005E-2</v>
      </c>
      <c r="AS123" s="1">
        <v>0.25919999999999999</v>
      </c>
      <c r="AT123" s="1">
        <v>0.86399999999999999</v>
      </c>
      <c r="AU123" s="1">
        <v>2.5920000000000001</v>
      </c>
      <c r="AV123" s="1">
        <v>8.64</v>
      </c>
      <c r="AW123" s="1">
        <v>25.92</v>
      </c>
      <c r="AX123" s="1">
        <v>86.4</v>
      </c>
      <c r="AZ123" s="8" t="s">
        <v>48</v>
      </c>
      <c r="BA123" s="1">
        <v>8.6400000000000001E-3</v>
      </c>
      <c r="BB123" s="1">
        <v>2.5919999999999999E-2</v>
      </c>
      <c r="BC123" s="1">
        <v>8.6400000000000005E-2</v>
      </c>
      <c r="BD123" s="1">
        <v>0.25919999999999999</v>
      </c>
      <c r="BE123" s="1">
        <v>0.86399999999999999</v>
      </c>
      <c r="BF123" s="1">
        <v>2.5920000000000001</v>
      </c>
      <c r="BG123" s="1">
        <v>8.64</v>
      </c>
      <c r="BH123" s="1">
        <v>25.92</v>
      </c>
      <c r="BI123" s="1">
        <v>86.4</v>
      </c>
    </row>
    <row r="124" spans="1:61" x14ac:dyDescent="0.45">
      <c r="A124" t="s">
        <v>698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4"/>
        <v>5.7189465431413244E-6</v>
      </c>
      <c r="Y124" s="1">
        <f t="shared" si="15"/>
        <v>5.7189465431413248E-4</v>
      </c>
      <c r="Z124" s="1">
        <f t="shared" si="16"/>
        <v>5.7189465431413244E-6</v>
      </c>
      <c r="AA124" s="1">
        <f t="shared" si="17"/>
        <v>5.7189465431413248E-4</v>
      </c>
      <c r="AE124" s="9" t="s">
        <v>57</v>
      </c>
      <c r="AF124" s="10">
        <v>8.6399999999999999E-9</v>
      </c>
      <c r="AG124" s="10">
        <v>8.6400000000000006E-8</v>
      </c>
      <c r="AH124" s="10">
        <v>8.6400000000000001E-7</v>
      </c>
      <c r="AI124" s="10">
        <v>8.6400000000000003E-6</v>
      </c>
      <c r="AJ124" s="10">
        <v>8.6399999999999999E-5</v>
      </c>
      <c r="AK124" s="10">
        <v>8.6399999999999997E-4</v>
      </c>
      <c r="AL124" s="10">
        <v>8.6400000000000001E-3</v>
      </c>
      <c r="AM124" s="10">
        <v>8.6400000000000005E-2</v>
      </c>
      <c r="AO124" s="9" t="s">
        <v>57</v>
      </c>
      <c r="AP124" s="10">
        <v>8.6400000000000001E-7</v>
      </c>
      <c r="AQ124" s="10">
        <v>8.6400000000000001E-7</v>
      </c>
      <c r="AR124" s="10">
        <v>8.6400000000000001E-7</v>
      </c>
      <c r="AS124" s="10">
        <v>8.6400000000000001E-7</v>
      </c>
      <c r="AT124" s="10">
        <v>8.6400000000000001E-7</v>
      </c>
      <c r="AU124" s="10">
        <v>8.6400000000000001E-7</v>
      </c>
      <c r="AV124" s="10">
        <v>8.6400000000000001E-7</v>
      </c>
      <c r="AW124" s="10">
        <v>8.6400000000000001E-7</v>
      </c>
      <c r="AX124" s="10">
        <v>8.6400000000000001E-7</v>
      </c>
      <c r="AZ124" s="9" t="s">
        <v>50</v>
      </c>
      <c r="BA124" s="10">
        <v>2.5919999999999999E-6</v>
      </c>
      <c r="BB124" s="10">
        <v>2.5919999999999999E-6</v>
      </c>
      <c r="BC124" s="10">
        <v>2.5919999999999999E-6</v>
      </c>
      <c r="BD124" s="10">
        <v>2.5919999999999999E-6</v>
      </c>
      <c r="BE124" s="10">
        <v>2.5919999999999999E-6</v>
      </c>
      <c r="BF124" s="10">
        <v>2.5919999999999999E-6</v>
      </c>
      <c r="BG124" s="10">
        <v>2.5919999999999999E-6</v>
      </c>
      <c r="BH124" s="10">
        <v>2.5919999999999999E-6</v>
      </c>
      <c r="BI124" s="10">
        <v>2.5919999999999999E-6</v>
      </c>
    </row>
    <row r="125" spans="1:61" x14ac:dyDescent="0.45">
      <c r="A125" t="s">
        <v>699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4"/>
        <v>9.1233097501937278E-6</v>
      </c>
      <c r="Y125" s="1">
        <f t="shared" si="15"/>
        <v>9.1233097501937279E-4</v>
      </c>
      <c r="Z125" s="1">
        <f t="shared" si="16"/>
        <v>9.1233097501937278E-6</v>
      </c>
      <c r="AA125" s="1">
        <f t="shared" si="17"/>
        <v>9.1233097501937279E-4</v>
      </c>
      <c r="AE125" s="8" t="s">
        <v>58</v>
      </c>
      <c r="AF125" s="1">
        <v>8.6400000000000005E-2</v>
      </c>
      <c r="AG125" s="1">
        <v>8.6400000000000005E-2</v>
      </c>
      <c r="AH125" s="1">
        <v>8.6400000000000005E-2</v>
      </c>
      <c r="AI125" s="1">
        <v>8.6400000000000005E-2</v>
      </c>
      <c r="AJ125" s="1">
        <v>8.6400000000000005E-2</v>
      </c>
      <c r="AK125" s="1">
        <v>8.6400000000000005E-2</v>
      </c>
      <c r="AL125" s="1">
        <v>8.6400000000000005E-2</v>
      </c>
      <c r="AM125" s="1">
        <v>8.6400000000000005E-2</v>
      </c>
      <c r="AO125" s="8" t="s">
        <v>58</v>
      </c>
      <c r="AP125" s="1">
        <v>8.6400000000000001E-3</v>
      </c>
      <c r="AQ125" s="1">
        <v>2.5919999999999999E-2</v>
      </c>
      <c r="AR125" s="1">
        <v>8.6400000000000005E-2</v>
      </c>
      <c r="AS125" s="1">
        <v>0.25919999999999999</v>
      </c>
      <c r="AT125" s="1">
        <v>0.86399999999999999</v>
      </c>
      <c r="AU125" s="1">
        <v>2.5920000000000001</v>
      </c>
      <c r="AV125" s="1">
        <v>8.64</v>
      </c>
      <c r="AW125" s="1">
        <v>25.92</v>
      </c>
      <c r="AX125" s="1">
        <v>86.4</v>
      </c>
      <c r="AZ125" s="8" t="s">
        <v>52</v>
      </c>
      <c r="BA125" s="1">
        <v>8.6400000000000001E-3</v>
      </c>
      <c r="BB125" s="1">
        <v>2.5919999999999999E-2</v>
      </c>
      <c r="BC125" s="1">
        <v>8.6400000000000005E-2</v>
      </c>
      <c r="BD125" s="1">
        <v>0.25919999999999999</v>
      </c>
      <c r="BE125" s="1">
        <v>0.86399999999999999</v>
      </c>
      <c r="BF125" s="1">
        <v>2.5920000000000001</v>
      </c>
      <c r="BG125" s="1">
        <v>8.64</v>
      </c>
      <c r="BH125" s="1">
        <v>25.92</v>
      </c>
      <c r="BI125" s="1">
        <v>86.4</v>
      </c>
    </row>
    <row r="126" spans="1:61" x14ac:dyDescent="0.45">
      <c r="A126" t="s">
        <v>700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4"/>
        <v>5.1138621680753828E-6</v>
      </c>
      <c r="Y126" s="1">
        <f t="shared" si="15"/>
        <v>5.1138621680753824E-4</v>
      </c>
      <c r="Z126" s="1">
        <f t="shared" si="16"/>
        <v>5.1138621680753828E-6</v>
      </c>
      <c r="AA126" s="1">
        <f t="shared" si="17"/>
        <v>5.1138621680753824E-4</v>
      </c>
      <c r="AZ126" s="8" t="s">
        <v>54</v>
      </c>
      <c r="BA126" s="1">
        <v>8.6400000000000001E-3</v>
      </c>
      <c r="BB126" s="1">
        <v>2.5919999999999999E-2</v>
      </c>
      <c r="BC126" s="1">
        <v>8.6400000000000005E-2</v>
      </c>
      <c r="BD126" s="1">
        <v>0.25919999999999999</v>
      </c>
      <c r="BE126" s="1">
        <v>0.86399999999999999</v>
      </c>
      <c r="BF126" s="1">
        <v>2.5920000000000001</v>
      </c>
      <c r="BG126" s="1">
        <v>8.64</v>
      </c>
      <c r="BH126" s="1">
        <v>25.92</v>
      </c>
      <c r="BI126" s="1">
        <v>86.4</v>
      </c>
    </row>
    <row r="127" spans="1:61" x14ac:dyDescent="0.45">
      <c r="A127" t="s">
        <v>701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4"/>
        <v>5.8344014727295408E-6</v>
      </c>
      <c r="Y127" s="1">
        <f t="shared" si="15"/>
        <v>5.834401472729541E-4</v>
      </c>
      <c r="Z127" s="1">
        <f t="shared" si="16"/>
        <v>5.8344014727295408E-6</v>
      </c>
      <c r="AA127" s="1">
        <f t="shared" si="17"/>
        <v>5.834401472729541E-4</v>
      </c>
      <c r="AE127" t="s">
        <v>35</v>
      </c>
      <c r="AF127" t="s">
        <v>658</v>
      </c>
      <c r="AG127" t="s">
        <v>659</v>
      </c>
      <c r="AH127" t="s">
        <v>660</v>
      </c>
      <c r="AI127" t="s">
        <v>661</v>
      </c>
      <c r="AJ127" t="s">
        <v>662</v>
      </c>
      <c r="AK127" t="s">
        <v>663</v>
      </c>
      <c r="AL127" t="s">
        <v>664</v>
      </c>
      <c r="AM127" t="s">
        <v>665</v>
      </c>
      <c r="AO127" t="s">
        <v>35</v>
      </c>
      <c r="AP127" t="s">
        <v>658</v>
      </c>
      <c r="AQ127" t="s">
        <v>659</v>
      </c>
      <c r="AR127" t="s">
        <v>660</v>
      </c>
      <c r="AT127" t="s">
        <v>661</v>
      </c>
      <c r="AV127" t="s">
        <v>662</v>
      </c>
      <c r="AW127" t="s">
        <v>663</v>
      </c>
      <c r="AX127" t="s">
        <v>664</v>
      </c>
      <c r="AZ127" s="9" t="s">
        <v>55</v>
      </c>
      <c r="BA127" s="10">
        <v>2.5919999999999999E-6</v>
      </c>
      <c r="BB127" s="10">
        <v>2.5919999999999999E-6</v>
      </c>
      <c r="BC127" s="10">
        <v>2.5919999999999999E-6</v>
      </c>
      <c r="BD127" s="10">
        <v>2.5919999999999999E-6</v>
      </c>
      <c r="BE127" s="10">
        <v>2.5919999999999999E-6</v>
      </c>
      <c r="BF127" s="10">
        <v>2.5919999999999999E-6</v>
      </c>
      <c r="BG127" s="10">
        <v>2.5919999999999999E-6</v>
      </c>
      <c r="BH127" s="10">
        <v>2.5919999999999999E-6</v>
      </c>
      <c r="BI127" s="10">
        <v>2.5919999999999999E-6</v>
      </c>
    </row>
    <row r="128" spans="1:61" x14ac:dyDescent="0.45">
      <c r="A128" t="s">
        <v>702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4"/>
        <v>7.1160228947361762E-6</v>
      </c>
      <c r="Y128" s="1">
        <f t="shared" si="15"/>
        <v>7.1160228947361758E-4</v>
      </c>
      <c r="Z128" s="1">
        <f t="shared" si="16"/>
        <v>7.1160228947361762E-6</v>
      </c>
      <c r="AA128" s="1">
        <f t="shared" si="17"/>
        <v>7.1160228947361758E-4</v>
      </c>
      <c r="AE128" s="8" t="s">
        <v>42</v>
      </c>
      <c r="AF128" s="1">
        <v>0.86399999999999999</v>
      </c>
      <c r="AG128" s="1">
        <v>0.86399999999999999</v>
      </c>
      <c r="AH128" s="1">
        <v>0.86399999999999999</v>
      </c>
      <c r="AI128" s="1">
        <v>0.86399999999999999</v>
      </c>
      <c r="AJ128" s="1">
        <v>0.86399999999999999</v>
      </c>
      <c r="AK128" s="1">
        <v>0.86399999999999999</v>
      </c>
      <c r="AL128" s="1">
        <v>0.86399999999999999</v>
      </c>
      <c r="AM128" s="1">
        <v>0.86399999999999999</v>
      </c>
      <c r="AO128" s="8" t="s">
        <v>42</v>
      </c>
      <c r="AP128" s="1">
        <v>8.6400000000000001E-3</v>
      </c>
      <c r="AQ128" s="1">
        <v>2.5919999999999999E-2</v>
      </c>
      <c r="AR128" s="1">
        <v>8.6400000000000005E-2</v>
      </c>
      <c r="AS128" s="1">
        <v>0.25919999999999999</v>
      </c>
      <c r="AT128" s="1">
        <v>0.86399999999999999</v>
      </c>
      <c r="AU128" s="1">
        <v>2.5920000000000001</v>
      </c>
      <c r="AV128" s="1">
        <v>8.64</v>
      </c>
      <c r="AW128" s="1">
        <v>25.92</v>
      </c>
      <c r="AX128" s="1">
        <v>86.4</v>
      </c>
      <c r="AZ128" s="8" t="s">
        <v>56</v>
      </c>
      <c r="BA128" s="1">
        <v>8.6400000000000001E-3</v>
      </c>
      <c r="BB128" s="1">
        <v>2.5919999999999999E-2</v>
      </c>
      <c r="BC128" s="1">
        <v>8.6400000000000005E-2</v>
      </c>
      <c r="BD128" s="1">
        <v>0.25919999999999999</v>
      </c>
      <c r="BE128" s="1">
        <v>0.86399999999999999</v>
      </c>
      <c r="BF128" s="1">
        <v>2.5920000000000001</v>
      </c>
      <c r="BG128" s="1">
        <v>8.64</v>
      </c>
      <c r="BH128" s="1">
        <v>25.92</v>
      </c>
      <c r="BI128" s="1">
        <v>86.4</v>
      </c>
    </row>
    <row r="129" spans="1:61" x14ac:dyDescent="0.45">
      <c r="A129" t="s">
        <v>703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4"/>
        <v>6.719290417734373E-6</v>
      </c>
      <c r="Y129" s="1">
        <f t="shared" si="15"/>
        <v>6.7192904177343729E-4</v>
      </c>
      <c r="Z129" s="1">
        <f t="shared" si="16"/>
        <v>6.719290417734373E-6</v>
      </c>
      <c r="AA129" s="1">
        <f t="shared" si="17"/>
        <v>6.7192904177343729E-4</v>
      </c>
      <c r="AE129" s="9" t="s">
        <v>46</v>
      </c>
      <c r="AF129" s="10">
        <v>8.6399999999999999E-9</v>
      </c>
      <c r="AG129" s="10">
        <v>8.6400000000000006E-8</v>
      </c>
      <c r="AH129" s="10">
        <v>8.6400000000000001E-7</v>
      </c>
      <c r="AI129" s="10">
        <v>8.6400000000000003E-6</v>
      </c>
      <c r="AJ129" s="10">
        <v>8.6399999999999999E-5</v>
      </c>
      <c r="AK129" s="10">
        <v>8.6399999999999997E-4</v>
      </c>
      <c r="AL129" s="10">
        <v>8.6400000000000001E-3</v>
      </c>
      <c r="AM129" s="10">
        <v>8.6400000000000005E-2</v>
      </c>
      <c r="AO129" s="9" t="s">
        <v>46</v>
      </c>
      <c r="AP129" s="10">
        <v>8.6400000000000003E-6</v>
      </c>
      <c r="AQ129" s="10">
        <v>8.6400000000000003E-6</v>
      </c>
      <c r="AR129" s="10">
        <v>8.6400000000000003E-6</v>
      </c>
      <c r="AS129" s="10">
        <v>8.6400000000000003E-6</v>
      </c>
      <c r="AT129" s="10">
        <v>8.6400000000000003E-6</v>
      </c>
      <c r="AU129" s="10">
        <v>8.6400000000000003E-6</v>
      </c>
      <c r="AV129" s="10">
        <v>8.6400000000000003E-6</v>
      </c>
      <c r="AW129" s="10">
        <v>8.6400000000000003E-6</v>
      </c>
      <c r="AX129" s="10">
        <v>8.6400000000000003E-6</v>
      </c>
      <c r="AZ129" s="9" t="s">
        <v>57</v>
      </c>
      <c r="BA129" s="10">
        <v>2.5919999999999999E-6</v>
      </c>
      <c r="BB129" s="10">
        <v>2.5919999999999999E-6</v>
      </c>
      <c r="BC129" s="10">
        <v>2.5919999999999999E-6</v>
      </c>
      <c r="BD129" s="10">
        <v>2.5919999999999999E-6</v>
      </c>
      <c r="BE129" s="10">
        <v>2.5919999999999999E-6</v>
      </c>
      <c r="BF129" s="10">
        <v>2.5919999999999999E-6</v>
      </c>
      <c r="BG129" s="10">
        <v>2.5919999999999999E-6</v>
      </c>
      <c r="BH129" s="10">
        <v>2.5919999999999999E-6</v>
      </c>
      <c r="BI129" s="10">
        <v>2.5919999999999999E-6</v>
      </c>
    </row>
    <row r="130" spans="1:61" x14ac:dyDescent="0.45">
      <c r="A130" t="s">
        <v>704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61" si="18">+W130/100</f>
        <v>6.8402164621609862E-6</v>
      </c>
      <c r="Y130" s="1">
        <f t="shared" ref="Y130:Y154" si="19">+W130</f>
        <v>6.8402164621609858E-4</v>
      </c>
      <c r="Z130" s="1">
        <f t="shared" ref="Z130:Z161" si="20">+Y130/100</f>
        <v>6.8402164621609862E-6</v>
      </c>
      <c r="AA130" s="1">
        <f t="shared" ref="AA130:AA154" si="21">+W130</f>
        <v>6.8402164621609858E-4</v>
      </c>
      <c r="AE130" s="8" t="s">
        <v>48</v>
      </c>
      <c r="AF130" s="1">
        <v>0.86399999999999999</v>
      </c>
      <c r="AG130" s="1">
        <v>0.86399999999999999</v>
      </c>
      <c r="AH130" s="1">
        <v>0.86399999999999999</v>
      </c>
      <c r="AI130" s="1">
        <v>0.86399999999999999</v>
      </c>
      <c r="AJ130" s="1">
        <v>0.86399999999999999</v>
      </c>
      <c r="AK130" s="1">
        <v>0.86399999999999999</v>
      </c>
      <c r="AL130" s="1">
        <v>0.86399999999999999</v>
      </c>
      <c r="AM130" s="1">
        <v>0.86399999999999999</v>
      </c>
      <c r="AO130" s="8" t="s">
        <v>48</v>
      </c>
      <c r="AP130" s="1">
        <v>8.6400000000000001E-3</v>
      </c>
      <c r="AQ130" s="1">
        <v>2.5919999999999999E-2</v>
      </c>
      <c r="AR130" s="1">
        <v>8.6400000000000005E-2</v>
      </c>
      <c r="AS130" s="1">
        <v>0.25919999999999999</v>
      </c>
      <c r="AT130" s="1">
        <v>0.86399999999999999</v>
      </c>
      <c r="AU130" s="1">
        <v>2.5920000000000001</v>
      </c>
      <c r="AV130" s="1">
        <v>8.64</v>
      </c>
      <c r="AW130" s="1">
        <v>25.92</v>
      </c>
      <c r="AX130" s="1">
        <v>86.4</v>
      </c>
      <c r="AZ130" s="8" t="s">
        <v>58</v>
      </c>
      <c r="BA130" s="1">
        <v>8.6400000000000001E-3</v>
      </c>
      <c r="BB130" s="1">
        <v>2.5919999999999999E-2</v>
      </c>
      <c r="BC130" s="1">
        <v>8.6400000000000005E-2</v>
      </c>
      <c r="BD130" s="1">
        <v>0.25919999999999999</v>
      </c>
      <c r="BE130" s="1">
        <v>0.86399999999999999</v>
      </c>
      <c r="BF130" s="1">
        <v>2.5920000000000001</v>
      </c>
      <c r="BG130" s="1">
        <v>8.64</v>
      </c>
      <c r="BH130" s="1">
        <v>25.92</v>
      </c>
      <c r="BI130" s="1">
        <v>86.4</v>
      </c>
    </row>
    <row r="131" spans="1:61" x14ac:dyDescent="0.45">
      <c r="A131" t="s">
        <v>705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8"/>
        <v>7.3510433221211552E-6</v>
      </c>
      <c r="Y131" s="1">
        <f t="shared" si="19"/>
        <v>7.3510433221211555E-4</v>
      </c>
      <c r="Z131" s="1">
        <f t="shared" si="20"/>
        <v>7.3510433221211552E-6</v>
      </c>
      <c r="AA131" s="1">
        <f t="shared" si="21"/>
        <v>7.3510433221211555E-4</v>
      </c>
      <c r="AE131" s="9" t="s">
        <v>50</v>
      </c>
      <c r="AF131" s="10">
        <v>8.6399999999999999E-9</v>
      </c>
      <c r="AG131" s="10">
        <v>8.6400000000000006E-8</v>
      </c>
      <c r="AH131" s="10">
        <v>8.6400000000000001E-7</v>
      </c>
      <c r="AI131" s="10">
        <v>8.6400000000000003E-6</v>
      </c>
      <c r="AJ131" s="10">
        <v>8.6399999999999999E-5</v>
      </c>
      <c r="AK131" s="10">
        <v>8.6399999999999997E-4</v>
      </c>
      <c r="AL131" s="10">
        <v>8.6400000000000001E-3</v>
      </c>
      <c r="AM131" s="10">
        <v>8.6400000000000005E-2</v>
      </c>
      <c r="AO131" s="9" t="s">
        <v>50</v>
      </c>
      <c r="AP131" s="10">
        <v>8.6400000000000003E-6</v>
      </c>
      <c r="AQ131" s="10">
        <v>8.6400000000000003E-6</v>
      </c>
      <c r="AR131" s="10">
        <v>8.6400000000000003E-6</v>
      </c>
      <c r="AS131" s="10">
        <v>8.6400000000000003E-6</v>
      </c>
      <c r="AT131" s="10">
        <v>8.6400000000000003E-6</v>
      </c>
      <c r="AU131" s="10">
        <v>8.6400000000000003E-6</v>
      </c>
      <c r="AV131" s="10">
        <v>8.6400000000000003E-6</v>
      </c>
      <c r="AW131" s="10">
        <v>8.6400000000000003E-6</v>
      </c>
      <c r="AX131" s="10">
        <v>8.6400000000000003E-6</v>
      </c>
    </row>
    <row r="132" spans="1:61" x14ac:dyDescent="0.45">
      <c r="A132" t="s">
        <v>706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8"/>
        <v>6.8958168854050447E-6</v>
      </c>
      <c r="Y132" s="1">
        <f t="shared" si="19"/>
        <v>6.8958168854050443E-4</v>
      </c>
      <c r="Z132" s="1">
        <f t="shared" si="20"/>
        <v>6.8958168854050447E-6</v>
      </c>
      <c r="AA132" s="1">
        <f t="shared" si="21"/>
        <v>6.8958168854050443E-4</v>
      </c>
      <c r="AE132" s="8" t="s">
        <v>52</v>
      </c>
      <c r="AF132" s="1">
        <v>0.86399999999999999</v>
      </c>
      <c r="AG132" s="1">
        <v>0.86399999999999999</v>
      </c>
      <c r="AH132" s="1">
        <v>0.86399999999999999</v>
      </c>
      <c r="AI132" s="1">
        <v>0.86399999999999999</v>
      </c>
      <c r="AJ132" s="1">
        <v>0.86399999999999999</v>
      </c>
      <c r="AK132" s="1">
        <v>0.86399999999999999</v>
      </c>
      <c r="AL132" s="1">
        <v>0.86399999999999999</v>
      </c>
      <c r="AM132" s="1">
        <v>0.86399999999999999</v>
      </c>
      <c r="AO132" s="8" t="s">
        <v>52</v>
      </c>
      <c r="AP132" s="1">
        <v>8.6400000000000001E-3</v>
      </c>
      <c r="AQ132" s="1">
        <v>2.5919999999999999E-2</v>
      </c>
      <c r="AR132" s="1">
        <v>8.6400000000000005E-2</v>
      </c>
      <c r="AS132" s="1">
        <v>0.25919999999999999</v>
      </c>
      <c r="AT132" s="1">
        <v>0.86399999999999999</v>
      </c>
      <c r="AU132" s="1">
        <v>2.5920000000000001</v>
      </c>
      <c r="AV132" s="1">
        <v>8.64</v>
      </c>
      <c r="AW132" s="1">
        <v>25.92</v>
      </c>
      <c r="AX132" s="1">
        <v>86.4</v>
      </c>
    </row>
    <row r="133" spans="1:61" x14ac:dyDescent="0.45">
      <c r="A133" t="s">
        <v>707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8"/>
        <v>7.0175093423377209E-6</v>
      </c>
      <c r="Y133" s="1">
        <f t="shared" si="19"/>
        <v>7.0175093423377206E-4</v>
      </c>
      <c r="Z133" s="1">
        <f t="shared" si="20"/>
        <v>7.0175093423377209E-6</v>
      </c>
      <c r="AA133" s="1">
        <f t="shared" si="21"/>
        <v>7.0175093423377206E-4</v>
      </c>
      <c r="AE133" s="8" t="s">
        <v>54</v>
      </c>
      <c r="AF133" s="1">
        <v>0.86399999999999999</v>
      </c>
      <c r="AG133" s="1">
        <v>0.86399999999999999</v>
      </c>
      <c r="AH133" s="1">
        <v>0.86399999999999999</v>
      </c>
      <c r="AI133" s="1">
        <v>0.86399999999999999</v>
      </c>
      <c r="AJ133" s="1">
        <v>0.86399999999999999</v>
      </c>
      <c r="AK133" s="1">
        <v>0.86399999999999999</v>
      </c>
      <c r="AL133" s="1">
        <v>0.86399999999999999</v>
      </c>
      <c r="AM133" s="1">
        <v>0.86399999999999999</v>
      </c>
      <c r="AO133" s="8" t="s">
        <v>54</v>
      </c>
      <c r="AP133" s="1">
        <v>8.6400000000000001E-3</v>
      </c>
      <c r="AQ133" s="1">
        <v>2.5919999999999999E-2</v>
      </c>
      <c r="AR133" s="1">
        <v>8.6400000000000005E-2</v>
      </c>
      <c r="AS133" s="1">
        <v>0.25919999999999999</v>
      </c>
      <c r="AT133" s="1">
        <v>0.86399999999999999</v>
      </c>
      <c r="AU133" s="1">
        <v>2.5920000000000001</v>
      </c>
      <c r="AV133" s="1">
        <v>8.64</v>
      </c>
      <c r="AW133" s="1">
        <v>25.92</v>
      </c>
      <c r="AX133" s="1">
        <v>86.4</v>
      </c>
      <c r="AZ133" t="s">
        <v>35</v>
      </c>
      <c r="BA133" t="s">
        <v>658</v>
      </c>
      <c r="BB133" t="s">
        <v>659</v>
      </c>
      <c r="BC133" t="s">
        <v>660</v>
      </c>
      <c r="BE133" t="s">
        <v>661</v>
      </c>
      <c r="BG133" t="s">
        <v>662</v>
      </c>
      <c r="BH133" t="s">
        <v>663</v>
      </c>
      <c r="BI133" t="s">
        <v>664</v>
      </c>
    </row>
    <row r="134" spans="1:61" x14ac:dyDescent="0.45">
      <c r="A134" t="s">
        <v>708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8"/>
        <v>9.2439252971339094E-6</v>
      </c>
      <c r="Y134" s="1">
        <f t="shared" si="19"/>
        <v>9.24392529713391E-4</v>
      </c>
      <c r="Z134" s="1">
        <f t="shared" si="20"/>
        <v>9.2439252971339094E-6</v>
      </c>
      <c r="AA134" s="1">
        <f t="shared" si="21"/>
        <v>9.24392529713391E-4</v>
      </c>
      <c r="AE134" s="9" t="s">
        <v>55</v>
      </c>
      <c r="AF134" s="10">
        <v>8.6399999999999999E-9</v>
      </c>
      <c r="AG134" s="10">
        <v>8.6400000000000006E-8</v>
      </c>
      <c r="AH134" s="10">
        <v>8.6400000000000001E-7</v>
      </c>
      <c r="AI134" s="10">
        <v>8.6400000000000003E-6</v>
      </c>
      <c r="AJ134" s="10">
        <v>8.6399999999999999E-5</v>
      </c>
      <c r="AK134" s="10">
        <v>8.6399999999999997E-4</v>
      </c>
      <c r="AL134" s="10">
        <v>8.6400000000000001E-3</v>
      </c>
      <c r="AM134" s="10">
        <v>8.6400000000000005E-2</v>
      </c>
      <c r="AO134" s="9" t="s">
        <v>55</v>
      </c>
      <c r="AP134" s="10">
        <v>8.6400000000000003E-6</v>
      </c>
      <c r="AQ134" s="10">
        <v>8.6400000000000003E-6</v>
      </c>
      <c r="AR134" s="10">
        <v>8.6400000000000003E-6</v>
      </c>
      <c r="AS134" s="10">
        <v>8.6400000000000003E-6</v>
      </c>
      <c r="AT134" s="10">
        <v>8.6400000000000003E-6</v>
      </c>
      <c r="AU134" s="10">
        <v>8.6400000000000003E-6</v>
      </c>
      <c r="AV134" s="10">
        <v>8.6400000000000003E-6</v>
      </c>
      <c r="AW134" s="10">
        <v>8.6400000000000003E-6</v>
      </c>
      <c r="AX134" s="10">
        <v>8.6400000000000003E-6</v>
      </c>
      <c r="AZ134" s="8" t="s">
        <v>42</v>
      </c>
      <c r="BA134" s="1">
        <v>8.6400000000000001E-3</v>
      </c>
      <c r="BB134" s="1">
        <v>2.5919999999999999E-2</v>
      </c>
      <c r="BC134" s="1">
        <v>8.6400000000000005E-2</v>
      </c>
      <c r="BD134" s="1">
        <v>0.25919999999999999</v>
      </c>
      <c r="BE134" s="1">
        <v>0.86399999999999999</v>
      </c>
      <c r="BF134" s="1">
        <v>2.5920000000000001</v>
      </c>
      <c r="BG134" s="1">
        <v>8.64</v>
      </c>
      <c r="BH134" s="1">
        <v>25.92</v>
      </c>
      <c r="BI134" s="1">
        <v>86.4</v>
      </c>
    </row>
    <row r="135" spans="1:61" x14ac:dyDescent="0.45">
      <c r="A135" t="s">
        <v>709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8"/>
        <v>4.2679489394130971E-6</v>
      </c>
      <c r="Y135" s="1">
        <f t="shared" si="19"/>
        <v>4.2679489394130968E-4</v>
      </c>
      <c r="Z135" s="1">
        <f t="shared" si="20"/>
        <v>4.2679489394130971E-6</v>
      </c>
      <c r="AA135" s="1">
        <f t="shared" si="21"/>
        <v>4.2679489394130968E-4</v>
      </c>
      <c r="AE135" s="8" t="s">
        <v>56</v>
      </c>
      <c r="AF135" s="1">
        <v>0.86399999999999999</v>
      </c>
      <c r="AG135" s="1">
        <v>0.86399999999999999</v>
      </c>
      <c r="AH135" s="1">
        <v>0.86399999999999999</v>
      </c>
      <c r="AI135" s="1">
        <v>0.86399999999999999</v>
      </c>
      <c r="AJ135" s="1">
        <v>0.86399999999999999</v>
      </c>
      <c r="AK135" s="1">
        <v>0.86399999999999999</v>
      </c>
      <c r="AL135" s="1">
        <v>0.86399999999999999</v>
      </c>
      <c r="AM135" s="1">
        <v>0.86399999999999999</v>
      </c>
      <c r="AO135" s="8" t="s">
        <v>56</v>
      </c>
      <c r="AP135" s="1">
        <v>8.6400000000000001E-3</v>
      </c>
      <c r="AQ135" s="1">
        <v>2.5919999999999999E-2</v>
      </c>
      <c r="AR135" s="1">
        <v>8.6400000000000005E-2</v>
      </c>
      <c r="AS135" s="1">
        <v>0.25919999999999999</v>
      </c>
      <c r="AT135" s="1">
        <v>0.86399999999999999</v>
      </c>
      <c r="AU135" s="1">
        <v>2.5920000000000001</v>
      </c>
      <c r="AV135" s="1">
        <v>8.64</v>
      </c>
      <c r="AW135" s="1">
        <v>25.92</v>
      </c>
      <c r="AX135" s="1">
        <v>86.4</v>
      </c>
      <c r="AZ135" s="9" t="s">
        <v>46</v>
      </c>
      <c r="BA135" s="10">
        <v>2.5919999999999999E-5</v>
      </c>
      <c r="BB135" s="10">
        <v>2.5919999999999999E-5</v>
      </c>
      <c r="BC135" s="10">
        <v>2.5919999999999999E-5</v>
      </c>
      <c r="BD135" s="10">
        <v>2.5919999999999999E-5</v>
      </c>
      <c r="BE135" s="10">
        <v>2.5919999999999999E-5</v>
      </c>
      <c r="BF135" s="10">
        <v>2.5919999999999999E-5</v>
      </c>
      <c r="BG135" s="10">
        <v>2.5919999999999999E-5</v>
      </c>
      <c r="BH135" s="10">
        <v>2.5919999999999999E-5</v>
      </c>
      <c r="BI135" s="10">
        <v>2.5919999999999999E-5</v>
      </c>
    </row>
    <row r="136" spans="1:61" x14ac:dyDescent="0.45">
      <c r="A136" t="s">
        <v>710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8"/>
        <v>7.0492044974188458E-6</v>
      </c>
      <c r="Y136" s="1">
        <f t="shared" si="19"/>
        <v>7.0492044974188462E-4</v>
      </c>
      <c r="Z136" s="1">
        <f t="shared" si="20"/>
        <v>7.0492044974188458E-6</v>
      </c>
      <c r="AA136" s="1">
        <f t="shared" si="21"/>
        <v>7.0492044974188462E-4</v>
      </c>
      <c r="AE136" s="9" t="s">
        <v>57</v>
      </c>
      <c r="AF136" s="10">
        <v>8.6399999999999999E-9</v>
      </c>
      <c r="AG136" s="10">
        <v>8.6400000000000006E-8</v>
      </c>
      <c r="AH136" s="10">
        <v>8.6400000000000001E-7</v>
      </c>
      <c r="AI136" s="10">
        <v>8.6400000000000003E-6</v>
      </c>
      <c r="AJ136" s="10">
        <v>8.6399999999999999E-5</v>
      </c>
      <c r="AK136" s="10">
        <v>8.6399999999999997E-4</v>
      </c>
      <c r="AL136" s="10">
        <v>8.6400000000000001E-3</v>
      </c>
      <c r="AM136" s="10">
        <v>8.6400000000000005E-2</v>
      </c>
      <c r="AO136" s="9" t="s">
        <v>57</v>
      </c>
      <c r="AP136" s="10">
        <v>8.6400000000000003E-6</v>
      </c>
      <c r="AQ136" s="10">
        <v>8.6400000000000003E-6</v>
      </c>
      <c r="AR136" s="10">
        <v>8.6400000000000003E-6</v>
      </c>
      <c r="AS136" s="10">
        <v>8.6400000000000003E-6</v>
      </c>
      <c r="AT136" s="10">
        <v>8.6400000000000003E-6</v>
      </c>
      <c r="AU136" s="10">
        <v>8.6400000000000003E-6</v>
      </c>
      <c r="AV136" s="10">
        <v>8.6400000000000003E-6</v>
      </c>
      <c r="AW136" s="10">
        <v>8.6400000000000003E-6</v>
      </c>
      <c r="AX136" s="10">
        <v>8.6400000000000003E-6</v>
      </c>
      <c r="AZ136" s="8" t="s">
        <v>48</v>
      </c>
      <c r="BA136" s="1">
        <v>8.6400000000000001E-3</v>
      </c>
      <c r="BB136" s="1">
        <v>2.5919999999999999E-2</v>
      </c>
      <c r="BC136" s="1">
        <v>8.6400000000000005E-2</v>
      </c>
      <c r="BD136" s="1">
        <v>0.25919999999999999</v>
      </c>
      <c r="BE136" s="1">
        <v>0.86399999999999999</v>
      </c>
      <c r="BF136" s="1">
        <v>2.5920000000000001</v>
      </c>
      <c r="BG136" s="1">
        <v>8.64</v>
      </c>
      <c r="BH136" s="1">
        <v>25.92</v>
      </c>
      <c r="BI136" s="1">
        <v>86.4</v>
      </c>
    </row>
    <row r="137" spans="1:61" x14ac:dyDescent="0.45">
      <c r="A137" t="s">
        <v>711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8"/>
        <v>6.031783166380758E-6</v>
      </c>
      <c r="Y137" s="1">
        <f t="shared" si="19"/>
        <v>6.0317831663807579E-4</v>
      </c>
      <c r="Z137" s="1">
        <f t="shared" si="20"/>
        <v>6.031783166380758E-6</v>
      </c>
      <c r="AA137" s="1">
        <f t="shared" si="21"/>
        <v>6.0317831663807579E-4</v>
      </c>
      <c r="AE137" s="8" t="s">
        <v>58</v>
      </c>
      <c r="AF137" s="1">
        <v>0.86399999999999999</v>
      </c>
      <c r="AG137" s="1">
        <v>0.86399999999999999</v>
      </c>
      <c r="AH137" s="1">
        <v>0.86399999999999999</v>
      </c>
      <c r="AI137" s="1">
        <v>0.86399999999999999</v>
      </c>
      <c r="AJ137" s="1">
        <v>0.86399999999999999</v>
      </c>
      <c r="AK137" s="1">
        <v>0.86399999999999999</v>
      </c>
      <c r="AL137" s="1">
        <v>0.86399999999999999</v>
      </c>
      <c r="AM137" s="1">
        <v>0.86399999999999999</v>
      </c>
      <c r="AO137" s="8" t="s">
        <v>58</v>
      </c>
      <c r="AP137" s="1">
        <v>8.6400000000000001E-3</v>
      </c>
      <c r="AQ137" s="1">
        <v>2.5919999999999999E-2</v>
      </c>
      <c r="AR137" s="1">
        <v>8.6400000000000005E-2</v>
      </c>
      <c r="AS137" s="1">
        <v>0.25919999999999999</v>
      </c>
      <c r="AT137" s="1">
        <v>0.86399999999999999</v>
      </c>
      <c r="AU137" s="1">
        <v>2.5920000000000001</v>
      </c>
      <c r="AV137" s="1">
        <v>8.64</v>
      </c>
      <c r="AW137" s="1">
        <v>25.92</v>
      </c>
      <c r="AX137" s="1">
        <v>86.4</v>
      </c>
      <c r="AZ137" s="9" t="s">
        <v>50</v>
      </c>
      <c r="BA137" s="10">
        <v>2.5919999999999999E-5</v>
      </c>
      <c r="BB137" s="10">
        <v>2.5919999999999999E-5</v>
      </c>
      <c r="BC137" s="10">
        <v>2.5919999999999999E-5</v>
      </c>
      <c r="BD137" s="10">
        <v>2.5919999999999999E-5</v>
      </c>
      <c r="BE137" s="10">
        <v>2.5919999999999999E-5</v>
      </c>
      <c r="BF137" s="10">
        <v>2.5919999999999999E-5</v>
      </c>
      <c r="BG137" s="10">
        <v>2.5919999999999999E-5</v>
      </c>
      <c r="BH137" s="10">
        <v>2.5919999999999999E-5</v>
      </c>
      <c r="BI137" s="10">
        <v>2.5919999999999999E-5</v>
      </c>
    </row>
    <row r="138" spans="1:61" x14ac:dyDescent="0.45">
      <c r="A138" t="s">
        <v>712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8"/>
        <v>5.3431529879549362E-6</v>
      </c>
      <c r="Y138" s="1">
        <f t="shared" si="19"/>
        <v>5.3431529879549361E-4</v>
      </c>
      <c r="Z138" s="1">
        <f t="shared" si="20"/>
        <v>5.3431529879549362E-6</v>
      </c>
      <c r="AA138" s="1">
        <f t="shared" si="21"/>
        <v>5.3431529879549361E-4</v>
      </c>
      <c r="AZ138" s="8" t="s">
        <v>52</v>
      </c>
      <c r="BA138" s="1">
        <v>8.6400000000000001E-3</v>
      </c>
      <c r="BB138" s="1">
        <v>2.5919999999999999E-2</v>
      </c>
      <c r="BC138" s="1">
        <v>8.6400000000000005E-2</v>
      </c>
      <c r="BD138" s="1">
        <v>0.25919999999999999</v>
      </c>
      <c r="BE138" s="1">
        <v>0.86399999999999999</v>
      </c>
      <c r="BF138" s="1">
        <v>2.5920000000000001</v>
      </c>
      <c r="BG138" s="1">
        <v>8.64</v>
      </c>
      <c r="BH138" s="1">
        <v>25.92</v>
      </c>
      <c r="BI138" s="1">
        <v>86.4</v>
      </c>
    </row>
    <row r="139" spans="1:61" x14ac:dyDescent="0.45">
      <c r="A139" t="s">
        <v>713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8"/>
        <v>9.2650687165257136E-6</v>
      </c>
      <c r="Y139" s="1">
        <f t="shared" si="19"/>
        <v>9.2650687165257131E-4</v>
      </c>
      <c r="Z139" s="1">
        <f t="shared" si="20"/>
        <v>9.2650687165257136E-6</v>
      </c>
      <c r="AA139" s="1">
        <f t="shared" si="21"/>
        <v>9.2650687165257131E-4</v>
      </c>
      <c r="AE139" t="s">
        <v>35</v>
      </c>
      <c r="AF139" t="s">
        <v>658</v>
      </c>
      <c r="AG139" t="s">
        <v>659</v>
      </c>
      <c r="AH139" t="s">
        <v>660</v>
      </c>
      <c r="AI139" t="s">
        <v>661</v>
      </c>
      <c r="AJ139" t="s">
        <v>662</v>
      </c>
      <c r="AK139" t="s">
        <v>663</v>
      </c>
      <c r="AL139" t="s">
        <v>664</v>
      </c>
      <c r="AM139" t="s">
        <v>665</v>
      </c>
      <c r="AO139" t="s">
        <v>35</v>
      </c>
      <c r="AP139" t="s">
        <v>658</v>
      </c>
      <c r="AQ139" t="s">
        <v>659</v>
      </c>
      <c r="AR139" t="s">
        <v>660</v>
      </c>
      <c r="AT139" t="s">
        <v>661</v>
      </c>
      <c r="AV139" t="s">
        <v>662</v>
      </c>
      <c r="AW139" t="s">
        <v>663</v>
      </c>
      <c r="AX139" t="s">
        <v>664</v>
      </c>
      <c r="AZ139" s="8" t="s">
        <v>54</v>
      </c>
      <c r="BA139" s="1">
        <v>8.6400000000000001E-3</v>
      </c>
      <c r="BB139" s="1">
        <v>2.5919999999999999E-2</v>
      </c>
      <c r="BC139" s="1">
        <v>8.6400000000000005E-2</v>
      </c>
      <c r="BD139" s="1">
        <v>0.25919999999999999</v>
      </c>
      <c r="BE139" s="1">
        <v>0.86399999999999999</v>
      </c>
      <c r="BF139" s="1">
        <v>2.5920000000000001</v>
      </c>
      <c r="BG139" s="1">
        <v>8.64</v>
      </c>
      <c r="BH139" s="1">
        <v>25.92</v>
      </c>
      <c r="BI139" s="1">
        <v>86.4</v>
      </c>
    </row>
    <row r="140" spans="1:61" x14ac:dyDescent="0.45">
      <c r="A140" t="s">
        <v>714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8"/>
        <v>4.9093461376614071E-6</v>
      </c>
      <c r="Y140" s="1">
        <f t="shared" si="19"/>
        <v>4.9093461376614072E-4</v>
      </c>
      <c r="Z140" s="1">
        <f t="shared" si="20"/>
        <v>4.9093461376614071E-6</v>
      </c>
      <c r="AA140" s="1">
        <f t="shared" si="21"/>
        <v>4.9093461376614072E-4</v>
      </c>
      <c r="AE140" s="8" t="s">
        <v>42</v>
      </c>
      <c r="AF140" s="1">
        <v>8.64</v>
      </c>
      <c r="AG140" s="1">
        <v>8.64</v>
      </c>
      <c r="AH140" s="1">
        <v>8.64</v>
      </c>
      <c r="AI140" s="1">
        <v>8.64</v>
      </c>
      <c r="AJ140" s="1">
        <v>8.64</v>
      </c>
      <c r="AK140" s="1">
        <v>8.64</v>
      </c>
      <c r="AL140" s="1">
        <v>8.64</v>
      </c>
      <c r="AM140" s="1">
        <v>8.64</v>
      </c>
      <c r="AO140" s="8" t="s">
        <v>42</v>
      </c>
      <c r="AP140" s="1">
        <v>8.6400000000000001E-3</v>
      </c>
      <c r="AQ140" s="1">
        <v>2.5919999999999999E-2</v>
      </c>
      <c r="AR140" s="1">
        <v>8.6400000000000005E-2</v>
      </c>
      <c r="AS140" s="1">
        <v>0.25919999999999999</v>
      </c>
      <c r="AT140" s="1">
        <v>0.86399999999999999</v>
      </c>
      <c r="AU140" s="1">
        <v>2.5920000000000001</v>
      </c>
      <c r="AV140" s="1">
        <v>8.64</v>
      </c>
      <c r="AW140" s="1">
        <v>25.92</v>
      </c>
      <c r="AX140" s="1">
        <v>86.4</v>
      </c>
      <c r="AZ140" s="9" t="s">
        <v>55</v>
      </c>
      <c r="BA140" s="10">
        <v>2.5919999999999999E-5</v>
      </c>
      <c r="BB140" s="10">
        <v>2.5919999999999999E-5</v>
      </c>
      <c r="BC140" s="10">
        <v>2.5919999999999999E-5</v>
      </c>
      <c r="BD140" s="10">
        <v>2.5919999999999999E-5</v>
      </c>
      <c r="BE140" s="10">
        <v>2.5919999999999999E-5</v>
      </c>
      <c r="BF140" s="10">
        <v>2.5919999999999999E-5</v>
      </c>
      <c r="BG140" s="10">
        <v>2.5919999999999999E-5</v>
      </c>
      <c r="BH140" s="10">
        <v>2.5919999999999999E-5</v>
      </c>
      <c r="BI140" s="10">
        <v>2.5919999999999999E-5</v>
      </c>
    </row>
    <row r="141" spans="1:61" x14ac:dyDescent="0.45">
      <c r="A141" t="s">
        <v>715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8"/>
        <v>4.6471042769603649E-6</v>
      </c>
      <c r="Y141" s="1">
        <f t="shared" si="19"/>
        <v>4.6471042769603648E-4</v>
      </c>
      <c r="Z141" s="1">
        <f t="shared" si="20"/>
        <v>4.6471042769603649E-6</v>
      </c>
      <c r="AA141" s="1">
        <f t="shared" si="21"/>
        <v>4.6471042769603648E-4</v>
      </c>
      <c r="AE141" s="9" t="s">
        <v>46</v>
      </c>
      <c r="AF141" s="10">
        <v>8.6399999999999999E-9</v>
      </c>
      <c r="AG141" s="10">
        <v>8.6400000000000006E-8</v>
      </c>
      <c r="AH141" s="10">
        <v>8.6400000000000001E-7</v>
      </c>
      <c r="AI141" s="10">
        <v>8.6400000000000003E-6</v>
      </c>
      <c r="AJ141" s="10">
        <v>8.6399999999999999E-5</v>
      </c>
      <c r="AK141" s="10">
        <v>8.6399999999999997E-4</v>
      </c>
      <c r="AL141" s="10">
        <v>8.6400000000000001E-3</v>
      </c>
      <c r="AM141" s="10">
        <v>8.6400000000000005E-2</v>
      </c>
      <c r="AO141" s="9" t="s">
        <v>46</v>
      </c>
      <c r="AP141" s="10">
        <v>8.6399999999999999E-5</v>
      </c>
      <c r="AQ141" s="10">
        <v>8.6399999999999999E-5</v>
      </c>
      <c r="AR141" s="10">
        <v>8.6399999999999999E-5</v>
      </c>
      <c r="AS141" s="10">
        <v>8.6399999999999999E-5</v>
      </c>
      <c r="AT141" s="10">
        <v>8.6399999999999999E-5</v>
      </c>
      <c r="AU141" s="10">
        <v>8.6399999999999999E-5</v>
      </c>
      <c r="AV141" s="10">
        <v>8.6399999999999999E-5</v>
      </c>
      <c r="AW141" s="10">
        <v>8.6399999999999999E-5</v>
      </c>
      <c r="AX141" s="10">
        <v>8.6399999999999999E-5</v>
      </c>
      <c r="AZ141" s="8" t="s">
        <v>56</v>
      </c>
      <c r="BA141" s="1">
        <v>8.6400000000000001E-3</v>
      </c>
      <c r="BB141" s="1">
        <v>2.5919999999999999E-2</v>
      </c>
      <c r="BC141" s="1">
        <v>8.6400000000000005E-2</v>
      </c>
      <c r="BD141" s="1">
        <v>0.25919999999999999</v>
      </c>
      <c r="BE141" s="1">
        <v>0.86399999999999999</v>
      </c>
      <c r="BF141" s="1">
        <v>2.5920000000000001</v>
      </c>
      <c r="BG141" s="1">
        <v>8.64</v>
      </c>
      <c r="BH141" s="1">
        <v>25.92</v>
      </c>
      <c r="BI141" s="1">
        <v>86.4</v>
      </c>
    </row>
    <row r="142" spans="1:61" x14ac:dyDescent="0.45">
      <c r="A142" t="s">
        <v>716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8"/>
        <v>3.911617043332873E-6</v>
      </c>
      <c r="Y142" s="1">
        <f t="shared" si="19"/>
        <v>3.9116170433328728E-4</v>
      </c>
      <c r="Z142" s="1">
        <f t="shared" si="20"/>
        <v>3.911617043332873E-6</v>
      </c>
      <c r="AA142" s="1">
        <f t="shared" si="21"/>
        <v>3.9116170433328728E-4</v>
      </c>
      <c r="AE142" s="8" t="s">
        <v>48</v>
      </c>
      <c r="AF142" s="1">
        <v>8.64</v>
      </c>
      <c r="AG142" s="1">
        <v>8.64</v>
      </c>
      <c r="AH142" s="1">
        <v>8.64</v>
      </c>
      <c r="AI142" s="1">
        <v>8.64</v>
      </c>
      <c r="AJ142" s="1">
        <v>8.64</v>
      </c>
      <c r="AK142" s="1">
        <v>8.64</v>
      </c>
      <c r="AL142" s="1">
        <v>8.64</v>
      </c>
      <c r="AM142" s="1">
        <v>8.64</v>
      </c>
      <c r="AO142" s="8" t="s">
        <v>48</v>
      </c>
      <c r="AP142" s="1">
        <v>8.6400000000000001E-3</v>
      </c>
      <c r="AQ142" s="1">
        <v>2.5919999999999999E-2</v>
      </c>
      <c r="AR142" s="1">
        <v>8.6400000000000005E-2</v>
      </c>
      <c r="AS142" s="1">
        <v>0.25919999999999999</v>
      </c>
      <c r="AT142" s="1">
        <v>0.86399999999999999</v>
      </c>
      <c r="AU142" s="1">
        <v>2.5920000000000001</v>
      </c>
      <c r="AV142" s="1">
        <v>8.64</v>
      </c>
      <c r="AW142" s="1">
        <v>25.92</v>
      </c>
      <c r="AX142" s="1">
        <v>86.4</v>
      </c>
      <c r="AZ142" s="9" t="s">
        <v>57</v>
      </c>
      <c r="BA142" s="10">
        <v>2.5919999999999999E-5</v>
      </c>
      <c r="BB142" s="10">
        <v>2.5919999999999999E-5</v>
      </c>
      <c r="BC142" s="10">
        <v>2.5919999999999999E-5</v>
      </c>
      <c r="BD142" s="10">
        <v>2.5919999999999999E-5</v>
      </c>
      <c r="BE142" s="10">
        <v>2.5919999999999999E-5</v>
      </c>
      <c r="BF142" s="10">
        <v>2.5919999999999999E-5</v>
      </c>
      <c r="BG142" s="10">
        <v>2.5919999999999999E-5</v>
      </c>
      <c r="BH142" s="10">
        <v>2.5919999999999999E-5</v>
      </c>
      <c r="BI142" s="10">
        <v>2.5919999999999999E-5</v>
      </c>
    </row>
    <row r="143" spans="1:61" x14ac:dyDescent="0.45">
      <c r="A143" t="s">
        <v>717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8"/>
        <v>4.043103828900796E-6</v>
      </c>
      <c r="Y143" s="1">
        <f t="shared" si="19"/>
        <v>4.0431038289007962E-4</v>
      </c>
      <c r="Z143" s="1">
        <f t="shared" si="20"/>
        <v>4.043103828900796E-6</v>
      </c>
      <c r="AA143" s="1">
        <f t="shared" si="21"/>
        <v>4.0431038289007962E-4</v>
      </c>
      <c r="AE143" s="9" t="s">
        <v>50</v>
      </c>
      <c r="AF143" s="10">
        <v>8.6399999999999999E-9</v>
      </c>
      <c r="AG143" s="10">
        <v>8.6400000000000006E-8</v>
      </c>
      <c r="AH143" s="10">
        <v>8.6400000000000001E-7</v>
      </c>
      <c r="AI143" s="10">
        <v>8.6400000000000003E-6</v>
      </c>
      <c r="AJ143" s="10">
        <v>8.6399999999999999E-5</v>
      </c>
      <c r="AK143" s="10">
        <v>8.6399999999999997E-4</v>
      </c>
      <c r="AL143" s="10">
        <v>8.6400000000000001E-3</v>
      </c>
      <c r="AM143" s="10">
        <v>8.6400000000000005E-2</v>
      </c>
      <c r="AO143" s="9" t="s">
        <v>50</v>
      </c>
      <c r="AP143" s="10">
        <v>8.6399999999999999E-5</v>
      </c>
      <c r="AQ143" s="10">
        <v>8.6399999999999999E-5</v>
      </c>
      <c r="AR143" s="10">
        <v>8.6399999999999999E-5</v>
      </c>
      <c r="AS143" s="10">
        <v>8.6399999999999999E-5</v>
      </c>
      <c r="AT143" s="10">
        <v>8.6399999999999999E-5</v>
      </c>
      <c r="AU143" s="10">
        <v>8.6399999999999999E-5</v>
      </c>
      <c r="AV143" s="10">
        <v>8.6399999999999999E-5</v>
      </c>
      <c r="AW143" s="10">
        <v>8.6399999999999999E-5</v>
      </c>
      <c r="AX143" s="10">
        <v>8.6399999999999999E-5</v>
      </c>
      <c r="AZ143" s="8" t="s">
        <v>58</v>
      </c>
      <c r="BA143" s="1">
        <v>8.6400000000000001E-3</v>
      </c>
      <c r="BB143" s="1">
        <v>2.5919999999999999E-2</v>
      </c>
      <c r="BC143" s="1">
        <v>8.6400000000000005E-2</v>
      </c>
      <c r="BD143" s="1">
        <v>0.25919999999999999</v>
      </c>
      <c r="BE143" s="1">
        <v>0.86399999999999999</v>
      </c>
      <c r="BF143" s="1">
        <v>2.5920000000000001</v>
      </c>
      <c r="BG143" s="1">
        <v>8.64</v>
      </c>
      <c r="BH143" s="1">
        <v>25.92</v>
      </c>
      <c r="BI143" s="1">
        <v>86.4</v>
      </c>
    </row>
    <row r="144" spans="1:61" x14ac:dyDescent="0.45">
      <c r="A144" t="s">
        <v>718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8"/>
        <v>6.7854112437909794E-6</v>
      </c>
      <c r="Y144" s="1">
        <f t="shared" si="19"/>
        <v>6.785411243790979E-4</v>
      </c>
      <c r="Z144" s="1">
        <f t="shared" si="20"/>
        <v>6.7854112437909794E-6</v>
      </c>
      <c r="AA144" s="1">
        <f t="shared" si="21"/>
        <v>6.785411243790979E-4</v>
      </c>
      <c r="AE144" s="8" t="s">
        <v>52</v>
      </c>
      <c r="AF144" s="1">
        <v>8.64</v>
      </c>
      <c r="AG144" s="1">
        <v>8.64</v>
      </c>
      <c r="AH144" s="1">
        <v>8.64</v>
      </c>
      <c r="AI144" s="1">
        <v>8.64</v>
      </c>
      <c r="AJ144" s="1">
        <v>8.64</v>
      </c>
      <c r="AK144" s="1">
        <v>8.64</v>
      </c>
      <c r="AL144" s="1">
        <v>8.64</v>
      </c>
      <c r="AM144" s="1">
        <v>8.64</v>
      </c>
      <c r="AO144" s="8" t="s">
        <v>52</v>
      </c>
      <c r="AP144" s="1">
        <v>8.6400000000000001E-3</v>
      </c>
      <c r="AQ144" s="1">
        <v>2.5919999999999999E-2</v>
      </c>
      <c r="AR144" s="1">
        <v>8.6400000000000005E-2</v>
      </c>
      <c r="AS144" s="1">
        <v>0.25919999999999999</v>
      </c>
      <c r="AT144" s="1">
        <v>0.86399999999999999</v>
      </c>
      <c r="AU144" s="1">
        <v>2.5920000000000001</v>
      </c>
      <c r="AV144" s="1">
        <v>8.64</v>
      </c>
      <c r="AW144" s="1">
        <v>25.92</v>
      </c>
      <c r="AX144" s="1">
        <v>86.4</v>
      </c>
    </row>
    <row r="145" spans="1:61" x14ac:dyDescent="0.45">
      <c r="A145" t="s">
        <v>719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8"/>
        <v>7.2348983877483707E-6</v>
      </c>
      <c r="Y145" s="1">
        <f t="shared" si="19"/>
        <v>7.2348983877483703E-4</v>
      </c>
      <c r="Z145" s="1">
        <f t="shared" si="20"/>
        <v>7.2348983877483707E-6</v>
      </c>
      <c r="AA145" s="1">
        <f t="shared" si="21"/>
        <v>7.2348983877483703E-4</v>
      </c>
      <c r="AE145" s="8" t="s">
        <v>54</v>
      </c>
      <c r="AF145" s="1">
        <v>8.64</v>
      </c>
      <c r="AG145" s="1">
        <v>8.64</v>
      </c>
      <c r="AH145" s="1">
        <v>8.64</v>
      </c>
      <c r="AI145" s="1">
        <v>8.64</v>
      </c>
      <c r="AJ145" s="1">
        <v>8.64</v>
      </c>
      <c r="AK145" s="1">
        <v>8.64</v>
      </c>
      <c r="AL145" s="1">
        <v>8.64</v>
      </c>
      <c r="AM145" s="1">
        <v>8.64</v>
      </c>
      <c r="AO145" s="8" t="s">
        <v>54</v>
      </c>
      <c r="AP145" s="1">
        <v>8.6400000000000001E-3</v>
      </c>
      <c r="AQ145" s="1">
        <v>2.5919999999999999E-2</v>
      </c>
      <c r="AR145" s="1">
        <v>8.6400000000000005E-2</v>
      </c>
      <c r="AS145" s="1">
        <v>0.25919999999999999</v>
      </c>
      <c r="AT145" s="1">
        <v>0.86399999999999999</v>
      </c>
      <c r="AU145" s="1">
        <v>2.5920000000000001</v>
      </c>
      <c r="AV145" s="1">
        <v>8.64</v>
      </c>
      <c r="AW145" s="1">
        <v>25.92</v>
      </c>
      <c r="AX145" s="1">
        <v>86.4</v>
      </c>
    </row>
    <row r="146" spans="1:61" x14ac:dyDescent="0.45">
      <c r="A146" t="s">
        <v>720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8"/>
        <v>6.5532909863160895E-6</v>
      </c>
      <c r="Y146" s="1">
        <f t="shared" si="19"/>
        <v>6.5532909863160892E-4</v>
      </c>
      <c r="Z146" s="1">
        <f t="shared" si="20"/>
        <v>6.5532909863160895E-6</v>
      </c>
      <c r="AA146" s="1">
        <f t="shared" si="21"/>
        <v>6.5532909863160892E-4</v>
      </c>
      <c r="AE146" s="9" t="s">
        <v>55</v>
      </c>
      <c r="AF146" s="10">
        <v>8.6399999999999999E-9</v>
      </c>
      <c r="AG146" s="10">
        <v>8.6400000000000006E-8</v>
      </c>
      <c r="AH146" s="10">
        <v>8.6400000000000001E-7</v>
      </c>
      <c r="AI146" s="10">
        <v>8.6400000000000003E-6</v>
      </c>
      <c r="AJ146" s="10">
        <v>8.6399999999999999E-5</v>
      </c>
      <c r="AK146" s="10">
        <v>8.6399999999999997E-4</v>
      </c>
      <c r="AL146" s="10">
        <v>8.6400000000000001E-3</v>
      </c>
      <c r="AM146" s="10">
        <v>8.6400000000000005E-2</v>
      </c>
      <c r="AO146" s="9" t="s">
        <v>55</v>
      </c>
      <c r="AP146" s="10">
        <v>8.6399999999999999E-5</v>
      </c>
      <c r="AQ146" s="10">
        <v>8.6399999999999999E-5</v>
      </c>
      <c r="AR146" s="10">
        <v>8.6399999999999999E-5</v>
      </c>
      <c r="AS146" s="10">
        <v>8.6399999999999999E-5</v>
      </c>
      <c r="AT146" s="10">
        <v>8.6399999999999999E-5</v>
      </c>
      <c r="AU146" s="10">
        <v>8.6399999999999999E-5</v>
      </c>
      <c r="AV146" s="10">
        <v>8.6399999999999999E-5</v>
      </c>
      <c r="AW146" s="10">
        <v>8.6399999999999999E-5</v>
      </c>
      <c r="AX146" s="10">
        <v>8.6399999999999999E-5</v>
      </c>
      <c r="AZ146" t="s">
        <v>35</v>
      </c>
      <c r="BA146" t="s">
        <v>658</v>
      </c>
      <c r="BB146" t="s">
        <v>659</v>
      </c>
      <c r="BC146" t="s">
        <v>660</v>
      </c>
      <c r="BE146" t="s">
        <v>661</v>
      </c>
      <c r="BG146" t="s">
        <v>662</v>
      </c>
      <c r="BH146" t="s">
        <v>663</v>
      </c>
      <c r="BI146" t="s">
        <v>664</v>
      </c>
    </row>
    <row r="147" spans="1:61" x14ac:dyDescent="0.45">
      <c r="A147" t="s">
        <v>721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8"/>
        <v>7.5474341979737569E-6</v>
      </c>
      <c r="Y147" s="1">
        <f t="shared" si="19"/>
        <v>7.5474341979737567E-4</v>
      </c>
      <c r="Z147" s="1">
        <f t="shared" si="20"/>
        <v>7.5474341979737569E-6</v>
      </c>
      <c r="AA147" s="1">
        <f t="shared" si="21"/>
        <v>7.5474341979737567E-4</v>
      </c>
      <c r="AE147" s="8" t="s">
        <v>56</v>
      </c>
      <c r="AF147" s="1">
        <v>8.64</v>
      </c>
      <c r="AG147" s="1">
        <v>8.64</v>
      </c>
      <c r="AH147" s="1">
        <v>8.64</v>
      </c>
      <c r="AI147" s="1">
        <v>8.64</v>
      </c>
      <c r="AJ147" s="1">
        <v>8.64</v>
      </c>
      <c r="AK147" s="1">
        <v>8.64</v>
      </c>
      <c r="AL147" s="1">
        <v>8.64</v>
      </c>
      <c r="AM147" s="1">
        <v>8.64</v>
      </c>
      <c r="AO147" s="8" t="s">
        <v>56</v>
      </c>
      <c r="AP147" s="1">
        <v>8.6400000000000001E-3</v>
      </c>
      <c r="AQ147" s="1">
        <v>2.5919999999999999E-2</v>
      </c>
      <c r="AR147" s="1">
        <v>8.6400000000000005E-2</v>
      </c>
      <c r="AS147" s="1">
        <v>0.25919999999999999</v>
      </c>
      <c r="AT147" s="1">
        <v>0.86399999999999999</v>
      </c>
      <c r="AU147" s="1">
        <v>2.5920000000000001</v>
      </c>
      <c r="AV147" s="1">
        <v>8.64</v>
      </c>
      <c r="AW147" s="1">
        <v>25.92</v>
      </c>
      <c r="AX147" s="1">
        <v>86.4</v>
      </c>
      <c r="AZ147" s="8" t="s">
        <v>42</v>
      </c>
      <c r="BA147" s="1">
        <v>8.6400000000000001E-3</v>
      </c>
      <c r="BB147" s="1">
        <v>2.5919999999999999E-2</v>
      </c>
      <c r="BC147" s="1">
        <v>8.6400000000000005E-2</v>
      </c>
      <c r="BD147" s="1">
        <v>0.25919999999999999</v>
      </c>
      <c r="BE147" s="1">
        <v>0.86399999999999999</v>
      </c>
      <c r="BF147" s="1">
        <v>2.5920000000000001</v>
      </c>
      <c r="BG147" s="1">
        <v>8.64</v>
      </c>
      <c r="BH147" s="1">
        <v>25.92</v>
      </c>
      <c r="BI147" s="1">
        <v>86.4</v>
      </c>
    </row>
    <row r="148" spans="1:61" x14ac:dyDescent="0.45">
      <c r="A148" t="s">
        <v>722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8"/>
        <v>5.7669688744116542E-6</v>
      </c>
      <c r="Y148" s="1">
        <f t="shared" si="19"/>
        <v>5.7669688744116539E-4</v>
      </c>
      <c r="Z148" s="1">
        <f t="shared" si="20"/>
        <v>5.7669688744116542E-6</v>
      </c>
      <c r="AA148" s="1">
        <f t="shared" si="21"/>
        <v>5.7669688744116539E-4</v>
      </c>
      <c r="AE148" s="9" t="s">
        <v>57</v>
      </c>
      <c r="AF148" s="10">
        <v>8.6399999999999999E-9</v>
      </c>
      <c r="AG148" s="10">
        <v>8.6400000000000006E-8</v>
      </c>
      <c r="AH148" s="10">
        <v>8.6400000000000001E-7</v>
      </c>
      <c r="AI148" s="10">
        <v>8.6400000000000003E-6</v>
      </c>
      <c r="AJ148" s="10">
        <v>8.6399999999999999E-5</v>
      </c>
      <c r="AK148" s="10">
        <v>8.6399999999999997E-4</v>
      </c>
      <c r="AL148" s="10">
        <v>8.6400000000000001E-3</v>
      </c>
      <c r="AM148" s="10">
        <v>8.6400000000000005E-2</v>
      </c>
      <c r="AO148" s="9" t="s">
        <v>57</v>
      </c>
      <c r="AP148" s="10">
        <v>8.6399999999999999E-5</v>
      </c>
      <c r="AQ148" s="10">
        <v>8.6399999999999999E-5</v>
      </c>
      <c r="AR148" s="10">
        <v>8.6399999999999999E-5</v>
      </c>
      <c r="AS148" s="10">
        <v>8.6399999999999999E-5</v>
      </c>
      <c r="AT148" s="10">
        <v>8.6399999999999999E-5</v>
      </c>
      <c r="AU148" s="10">
        <v>8.6399999999999999E-5</v>
      </c>
      <c r="AV148" s="10">
        <v>8.6399999999999999E-5</v>
      </c>
      <c r="AW148" s="10">
        <v>8.6399999999999999E-5</v>
      </c>
      <c r="AX148" s="10">
        <v>8.6399999999999999E-5</v>
      </c>
      <c r="AZ148" s="9" t="s">
        <v>46</v>
      </c>
      <c r="BA148" s="10">
        <v>2.5920000000000001E-4</v>
      </c>
      <c r="BB148" s="10">
        <v>2.5920000000000001E-4</v>
      </c>
      <c r="BC148" s="10">
        <v>2.5920000000000001E-4</v>
      </c>
      <c r="BD148" s="10">
        <v>2.5920000000000001E-4</v>
      </c>
      <c r="BE148" s="10">
        <v>2.5920000000000001E-4</v>
      </c>
      <c r="BF148" s="10">
        <v>2.5920000000000001E-4</v>
      </c>
      <c r="BG148" s="10">
        <v>2.5920000000000001E-4</v>
      </c>
      <c r="BH148" s="10">
        <v>2.5920000000000001E-4</v>
      </c>
      <c r="BI148" s="10">
        <v>2.5920000000000001E-4</v>
      </c>
    </row>
    <row r="149" spans="1:61" x14ac:dyDescent="0.45">
      <c r="A149" t="s">
        <v>723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8"/>
        <v>8.0697176066542615E-6</v>
      </c>
      <c r="Y149" s="1">
        <f t="shared" si="19"/>
        <v>8.0697176066542612E-4</v>
      </c>
      <c r="Z149" s="1">
        <f t="shared" si="20"/>
        <v>8.0697176066542615E-6</v>
      </c>
      <c r="AA149" s="1">
        <f t="shared" si="21"/>
        <v>8.0697176066542612E-4</v>
      </c>
      <c r="AE149" s="8" t="s">
        <v>58</v>
      </c>
      <c r="AF149" s="1">
        <v>8.64</v>
      </c>
      <c r="AG149" s="1">
        <v>8.64</v>
      </c>
      <c r="AH149" s="1">
        <v>8.64</v>
      </c>
      <c r="AI149" s="1">
        <v>8.64</v>
      </c>
      <c r="AJ149" s="1">
        <v>8.64</v>
      </c>
      <c r="AK149" s="1">
        <v>8.64</v>
      </c>
      <c r="AL149" s="1">
        <v>8.64</v>
      </c>
      <c r="AM149" s="1">
        <v>8.64</v>
      </c>
      <c r="AO149" s="8" t="s">
        <v>58</v>
      </c>
      <c r="AP149" s="1">
        <v>8.6400000000000001E-3</v>
      </c>
      <c r="AQ149" s="1">
        <v>2.5919999999999999E-2</v>
      </c>
      <c r="AR149" s="1">
        <v>8.6400000000000005E-2</v>
      </c>
      <c r="AS149" s="1">
        <v>0.25919999999999999</v>
      </c>
      <c r="AT149" s="1">
        <v>0.86399999999999999</v>
      </c>
      <c r="AU149" s="1">
        <v>2.5920000000000001</v>
      </c>
      <c r="AV149" s="1">
        <v>8.64</v>
      </c>
      <c r="AW149" s="1">
        <v>25.92</v>
      </c>
      <c r="AX149" s="1">
        <v>86.4</v>
      </c>
      <c r="AZ149" s="8" t="s">
        <v>48</v>
      </c>
      <c r="BA149" s="1">
        <v>8.6400000000000001E-3</v>
      </c>
      <c r="BB149" s="1">
        <v>2.5919999999999999E-2</v>
      </c>
      <c r="BC149" s="1">
        <v>8.6400000000000005E-2</v>
      </c>
      <c r="BD149" s="1">
        <v>0.25919999999999999</v>
      </c>
      <c r="BE149" s="1">
        <v>0.86399999999999999</v>
      </c>
      <c r="BF149" s="1">
        <v>2.5920000000000001</v>
      </c>
      <c r="BG149" s="1">
        <v>8.64</v>
      </c>
      <c r="BH149" s="1">
        <v>25.92</v>
      </c>
      <c r="BI149" s="1">
        <v>86.4</v>
      </c>
    </row>
    <row r="150" spans="1:61" x14ac:dyDescent="0.45">
      <c r="A150" t="s">
        <v>724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8"/>
        <v>6.0999509381094923E-6</v>
      </c>
      <c r="Y150" s="1">
        <f t="shared" si="19"/>
        <v>6.0999509381094925E-4</v>
      </c>
      <c r="Z150" s="1">
        <f t="shared" si="20"/>
        <v>6.0999509381094923E-6</v>
      </c>
      <c r="AA150" s="1">
        <f t="shared" si="21"/>
        <v>6.0999509381094925E-4</v>
      </c>
      <c r="AZ150" s="9" t="s">
        <v>50</v>
      </c>
      <c r="BA150" s="10">
        <v>2.5920000000000001E-4</v>
      </c>
      <c r="BB150" s="10">
        <v>2.5920000000000001E-4</v>
      </c>
      <c r="BC150" s="10">
        <v>2.5920000000000001E-4</v>
      </c>
      <c r="BD150" s="10">
        <v>2.5920000000000001E-4</v>
      </c>
      <c r="BE150" s="10">
        <v>2.5920000000000001E-4</v>
      </c>
      <c r="BF150" s="10">
        <v>2.5920000000000001E-4</v>
      </c>
      <c r="BG150" s="10">
        <v>2.5920000000000001E-4</v>
      </c>
      <c r="BH150" s="10">
        <v>2.5920000000000001E-4</v>
      </c>
      <c r="BI150" s="10">
        <v>2.5920000000000001E-4</v>
      </c>
    </row>
    <row r="151" spans="1:61" x14ac:dyDescent="0.45">
      <c r="A151" t="s">
        <v>725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8"/>
        <v>5.3117803129513445E-6</v>
      </c>
      <c r="Y151" s="1">
        <f t="shared" si="19"/>
        <v>5.3117803129513444E-4</v>
      </c>
      <c r="Z151" s="1">
        <f t="shared" si="20"/>
        <v>5.3117803129513445E-6</v>
      </c>
      <c r="AA151" s="1">
        <f t="shared" si="21"/>
        <v>5.3117803129513444E-4</v>
      </c>
      <c r="AE151" t="s">
        <v>35</v>
      </c>
      <c r="AF151" t="s">
        <v>658</v>
      </c>
      <c r="AG151" t="s">
        <v>659</v>
      </c>
      <c r="AH151" t="s">
        <v>660</v>
      </c>
      <c r="AI151" t="s">
        <v>661</v>
      </c>
      <c r="AJ151" t="s">
        <v>662</v>
      </c>
      <c r="AK151" t="s">
        <v>663</v>
      </c>
      <c r="AL151" t="s">
        <v>664</v>
      </c>
      <c r="AM151" t="s">
        <v>665</v>
      </c>
      <c r="AO151" t="s">
        <v>35</v>
      </c>
      <c r="AP151" t="s">
        <v>658</v>
      </c>
      <c r="AQ151" t="s">
        <v>659</v>
      </c>
      <c r="AR151" t="s">
        <v>660</v>
      </c>
      <c r="AT151" t="s">
        <v>661</v>
      </c>
      <c r="AV151" t="s">
        <v>662</v>
      </c>
      <c r="AW151" t="s">
        <v>663</v>
      </c>
      <c r="AX151" t="s">
        <v>664</v>
      </c>
      <c r="AZ151" s="8" t="s">
        <v>52</v>
      </c>
      <c r="BA151" s="1">
        <v>8.6400000000000001E-3</v>
      </c>
      <c r="BB151" s="1">
        <v>2.5919999999999999E-2</v>
      </c>
      <c r="BC151" s="1">
        <v>8.6400000000000005E-2</v>
      </c>
      <c r="BD151" s="1">
        <v>0.25919999999999999</v>
      </c>
      <c r="BE151" s="1">
        <v>0.86399999999999999</v>
      </c>
      <c r="BF151" s="1">
        <v>2.5920000000000001</v>
      </c>
      <c r="BG151" s="1">
        <v>8.64</v>
      </c>
      <c r="BH151" s="1">
        <v>25.92</v>
      </c>
      <c r="BI151" s="1">
        <v>86.4</v>
      </c>
    </row>
    <row r="152" spans="1:61" x14ac:dyDescent="0.45">
      <c r="A152" t="s">
        <v>726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8"/>
        <v>6.8402085428227409E-6</v>
      </c>
      <c r="Y152" s="1">
        <f t="shared" si="19"/>
        <v>6.8402085428227407E-4</v>
      </c>
      <c r="Z152" s="1">
        <f t="shared" si="20"/>
        <v>6.8402085428227409E-6</v>
      </c>
      <c r="AA152" s="1">
        <f t="shared" si="21"/>
        <v>6.8402085428227407E-4</v>
      </c>
      <c r="AE152" s="8" t="s">
        <v>42</v>
      </c>
      <c r="AF152" s="1">
        <v>43.2</v>
      </c>
      <c r="AG152" s="1">
        <v>43.2</v>
      </c>
      <c r="AH152" s="1">
        <v>43.2</v>
      </c>
      <c r="AI152" s="1">
        <v>43.2</v>
      </c>
      <c r="AJ152" s="1">
        <v>43.2</v>
      </c>
      <c r="AK152" s="1">
        <v>43.2</v>
      </c>
      <c r="AL152" s="1">
        <v>43.2</v>
      </c>
      <c r="AM152" s="1">
        <v>43.2</v>
      </c>
      <c r="AO152" s="8" t="s">
        <v>42</v>
      </c>
      <c r="AP152" s="1">
        <v>8.6400000000000001E-3</v>
      </c>
      <c r="AQ152" s="1">
        <v>2.5919999999999999E-2</v>
      </c>
      <c r="AR152" s="1">
        <v>8.6400000000000005E-2</v>
      </c>
      <c r="AS152" s="1">
        <v>0.25919999999999999</v>
      </c>
      <c r="AT152" s="1">
        <v>0.86399999999999999</v>
      </c>
      <c r="AU152" s="1">
        <v>2.5920000000000001</v>
      </c>
      <c r="AV152" s="1">
        <v>8.64</v>
      </c>
      <c r="AW152" s="1">
        <v>25.92</v>
      </c>
      <c r="AX152" s="1">
        <v>86.4</v>
      </c>
      <c r="AZ152" s="8" t="s">
        <v>54</v>
      </c>
      <c r="BA152" s="1">
        <v>8.6400000000000001E-3</v>
      </c>
      <c r="BB152" s="1">
        <v>2.5919999999999999E-2</v>
      </c>
      <c r="BC152" s="1">
        <v>8.6400000000000005E-2</v>
      </c>
      <c r="BD152" s="1">
        <v>0.25919999999999999</v>
      </c>
      <c r="BE152" s="1">
        <v>0.86399999999999999</v>
      </c>
      <c r="BF152" s="1">
        <v>2.5920000000000001</v>
      </c>
      <c r="BG152" s="1">
        <v>8.64</v>
      </c>
      <c r="BH152" s="1">
        <v>25.92</v>
      </c>
      <c r="BI152" s="1">
        <v>86.4</v>
      </c>
    </row>
    <row r="153" spans="1:61" x14ac:dyDescent="0.45">
      <c r="A153" t="s">
        <v>727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8"/>
        <v>5.6115552392589597E-6</v>
      </c>
      <c r="Y153" s="1">
        <f t="shared" si="19"/>
        <v>5.6115552392589597E-4</v>
      </c>
      <c r="Z153" s="1">
        <f t="shared" si="20"/>
        <v>5.6115552392589597E-6</v>
      </c>
      <c r="AA153" s="1">
        <f t="shared" si="21"/>
        <v>5.6115552392589597E-4</v>
      </c>
      <c r="AE153" s="9" t="s">
        <v>46</v>
      </c>
      <c r="AF153" s="10">
        <v>8.6399999999999999E-9</v>
      </c>
      <c r="AG153" s="10">
        <v>8.6400000000000006E-8</v>
      </c>
      <c r="AH153" s="10">
        <v>8.6400000000000001E-7</v>
      </c>
      <c r="AI153" s="10">
        <v>8.6400000000000003E-6</v>
      </c>
      <c r="AJ153" s="10">
        <v>8.6399999999999999E-5</v>
      </c>
      <c r="AK153" s="10">
        <v>8.6399999999999997E-4</v>
      </c>
      <c r="AL153" s="10">
        <v>8.6400000000000001E-3</v>
      </c>
      <c r="AM153" s="10">
        <v>8.6400000000000005E-2</v>
      </c>
      <c r="AO153" s="9" t="s">
        <v>46</v>
      </c>
      <c r="AP153" s="10">
        <v>8.6399999999999997E-4</v>
      </c>
      <c r="AQ153" s="10">
        <v>8.6399999999999997E-4</v>
      </c>
      <c r="AR153" s="10">
        <v>8.6399999999999997E-4</v>
      </c>
      <c r="AS153" s="10">
        <v>8.6399999999999997E-4</v>
      </c>
      <c r="AT153" s="10">
        <v>8.6399999999999997E-4</v>
      </c>
      <c r="AU153" s="10">
        <v>8.6399999999999997E-4</v>
      </c>
      <c r="AV153" s="10">
        <v>8.6399999999999997E-4</v>
      </c>
      <c r="AW153" s="10">
        <v>8.6399999999999997E-4</v>
      </c>
      <c r="AX153" s="10">
        <v>8.6399999999999997E-4</v>
      </c>
      <c r="AZ153" s="9" t="s">
        <v>55</v>
      </c>
      <c r="BA153" s="10">
        <v>2.5920000000000001E-4</v>
      </c>
      <c r="BB153" s="10">
        <v>2.5920000000000001E-4</v>
      </c>
      <c r="BC153" s="10">
        <v>2.5920000000000001E-4</v>
      </c>
      <c r="BD153" s="10">
        <v>2.5920000000000001E-4</v>
      </c>
      <c r="BE153" s="10">
        <v>2.5920000000000001E-4</v>
      </c>
      <c r="BF153" s="10">
        <v>2.5920000000000001E-4</v>
      </c>
      <c r="BG153" s="10">
        <v>2.5920000000000001E-4</v>
      </c>
      <c r="BH153" s="10">
        <v>2.5920000000000001E-4</v>
      </c>
      <c r="BI153" s="10">
        <v>2.5920000000000001E-4</v>
      </c>
    </row>
    <row r="154" spans="1:61" x14ac:dyDescent="0.45">
      <c r="A154" t="s">
        <v>728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8"/>
        <v>5.6175108458420442E-6</v>
      </c>
      <c r="Y154" s="1">
        <f t="shared" si="19"/>
        <v>5.6175108458420442E-4</v>
      </c>
      <c r="Z154" s="1">
        <f t="shared" si="20"/>
        <v>5.6175108458420442E-6</v>
      </c>
      <c r="AA154" s="1">
        <f t="shared" si="21"/>
        <v>5.6175108458420442E-4</v>
      </c>
      <c r="AE154" s="8" t="s">
        <v>48</v>
      </c>
      <c r="AF154" s="1">
        <v>43.2</v>
      </c>
      <c r="AG154" s="1">
        <v>43.2</v>
      </c>
      <c r="AH154" s="1">
        <v>43.2</v>
      </c>
      <c r="AI154" s="1">
        <v>43.2</v>
      </c>
      <c r="AJ154" s="1">
        <v>43.2</v>
      </c>
      <c r="AK154" s="1">
        <v>43.2</v>
      </c>
      <c r="AL154" s="1">
        <v>43.2</v>
      </c>
      <c r="AM154" s="1">
        <v>43.2</v>
      </c>
      <c r="AO154" s="8" t="s">
        <v>48</v>
      </c>
      <c r="AP154" s="1">
        <v>8.6400000000000001E-3</v>
      </c>
      <c r="AQ154" s="1">
        <v>2.5919999999999999E-2</v>
      </c>
      <c r="AR154" s="1">
        <v>8.6400000000000005E-2</v>
      </c>
      <c r="AS154" s="1">
        <v>0.25919999999999999</v>
      </c>
      <c r="AT154" s="1">
        <v>0.86399999999999999</v>
      </c>
      <c r="AU154" s="1">
        <v>2.5920000000000001</v>
      </c>
      <c r="AV154" s="1">
        <v>8.64</v>
      </c>
      <c r="AW154" s="1">
        <v>25.92</v>
      </c>
      <c r="AX154" s="1">
        <v>86.4</v>
      </c>
      <c r="AZ154" s="8" t="s">
        <v>56</v>
      </c>
      <c r="BA154" s="1">
        <v>8.6400000000000001E-3</v>
      </c>
      <c r="BB154" s="1">
        <v>2.5919999999999999E-2</v>
      </c>
      <c r="BC154" s="1">
        <v>8.6400000000000005E-2</v>
      </c>
      <c r="BD154" s="1">
        <v>0.25919999999999999</v>
      </c>
      <c r="BE154" s="1">
        <v>0.86399999999999999</v>
      </c>
      <c r="BF154" s="1">
        <v>2.5920000000000001</v>
      </c>
      <c r="BG154" s="1">
        <v>8.64</v>
      </c>
      <c r="BH154" s="1">
        <v>25.92</v>
      </c>
      <c r="BI154" s="1">
        <v>86.4</v>
      </c>
    </row>
    <row r="155" spans="1:61" x14ac:dyDescent="0.45">
      <c r="A155" t="s">
        <v>729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  <c r="AE155" s="9" t="s">
        <v>50</v>
      </c>
      <c r="AF155" s="10">
        <v>8.6399999999999999E-9</v>
      </c>
      <c r="AG155" s="10">
        <v>8.6400000000000006E-8</v>
      </c>
      <c r="AH155" s="10">
        <v>8.6400000000000001E-7</v>
      </c>
      <c r="AI155" s="10">
        <v>8.6400000000000003E-6</v>
      </c>
      <c r="AJ155" s="10">
        <v>8.6399999999999999E-5</v>
      </c>
      <c r="AK155" s="10">
        <v>8.6399999999999997E-4</v>
      </c>
      <c r="AL155" s="10">
        <v>8.6400000000000001E-3</v>
      </c>
      <c r="AM155" s="10">
        <v>8.6400000000000005E-2</v>
      </c>
      <c r="AO155" s="9" t="s">
        <v>50</v>
      </c>
      <c r="AP155" s="10">
        <v>8.6399999999999997E-4</v>
      </c>
      <c r="AQ155" s="10">
        <v>8.6399999999999997E-4</v>
      </c>
      <c r="AR155" s="10">
        <v>8.6399999999999997E-4</v>
      </c>
      <c r="AS155" s="10">
        <v>8.6399999999999997E-4</v>
      </c>
      <c r="AT155" s="10">
        <v>8.6399999999999997E-4</v>
      </c>
      <c r="AU155" s="10">
        <v>8.6399999999999997E-4</v>
      </c>
      <c r="AV155" s="10">
        <v>8.6399999999999997E-4</v>
      </c>
      <c r="AW155" s="10">
        <v>8.6399999999999997E-4</v>
      </c>
      <c r="AX155" s="10">
        <v>8.6399999999999997E-4</v>
      </c>
      <c r="AZ155" s="9" t="s">
        <v>57</v>
      </c>
      <c r="BA155" s="10">
        <v>2.5920000000000001E-4</v>
      </c>
      <c r="BB155" s="10">
        <v>2.5920000000000001E-4</v>
      </c>
      <c r="BC155" s="10">
        <v>2.5920000000000001E-4</v>
      </c>
      <c r="BD155" s="10">
        <v>2.5920000000000001E-4</v>
      </c>
      <c r="BE155" s="10">
        <v>2.5920000000000001E-4</v>
      </c>
      <c r="BF155" s="10">
        <v>2.5920000000000001E-4</v>
      </c>
      <c r="BG155" s="10">
        <v>2.5920000000000001E-4</v>
      </c>
      <c r="BH155" s="10">
        <v>2.5920000000000001E-4</v>
      </c>
      <c r="BI155" s="10">
        <v>2.5920000000000001E-4</v>
      </c>
    </row>
    <row r="156" spans="1:61" x14ac:dyDescent="0.45">
      <c r="A156" t="s">
        <v>730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  <c r="AE156" s="8" t="s">
        <v>52</v>
      </c>
      <c r="AF156" s="1">
        <v>43.2</v>
      </c>
      <c r="AG156" s="1">
        <v>43.2</v>
      </c>
      <c r="AH156" s="1">
        <v>43.2</v>
      </c>
      <c r="AI156" s="1">
        <v>43.2</v>
      </c>
      <c r="AJ156" s="1">
        <v>43.2</v>
      </c>
      <c r="AK156" s="1">
        <v>43.2</v>
      </c>
      <c r="AL156" s="1">
        <v>43.2</v>
      </c>
      <c r="AM156" s="1">
        <v>43.2</v>
      </c>
      <c r="AO156" s="8" t="s">
        <v>52</v>
      </c>
      <c r="AP156" s="1">
        <v>8.6400000000000001E-3</v>
      </c>
      <c r="AQ156" s="1">
        <v>2.5919999999999999E-2</v>
      </c>
      <c r="AR156" s="1">
        <v>8.6400000000000005E-2</v>
      </c>
      <c r="AS156" s="1">
        <v>0.25919999999999999</v>
      </c>
      <c r="AT156" s="1">
        <v>0.86399999999999999</v>
      </c>
      <c r="AU156" s="1">
        <v>2.5920000000000001</v>
      </c>
      <c r="AV156" s="1">
        <v>8.64</v>
      </c>
      <c r="AW156" s="1">
        <v>25.92</v>
      </c>
      <c r="AX156" s="1">
        <v>86.4</v>
      </c>
      <c r="AZ156" s="8" t="s">
        <v>58</v>
      </c>
      <c r="BA156" s="1">
        <v>8.6400000000000001E-3</v>
      </c>
      <c r="BB156" s="1">
        <v>2.5919999999999999E-2</v>
      </c>
      <c r="BC156" s="1">
        <v>8.6400000000000005E-2</v>
      </c>
      <c r="BD156" s="1">
        <v>0.25919999999999999</v>
      </c>
      <c r="BE156" s="1">
        <v>0.86399999999999999</v>
      </c>
      <c r="BF156" s="1">
        <v>2.5920000000000001</v>
      </c>
      <c r="BG156" s="1">
        <v>8.64</v>
      </c>
      <c r="BH156" s="1">
        <v>25.92</v>
      </c>
      <c r="BI156" s="1">
        <v>86.4</v>
      </c>
    </row>
    <row r="157" spans="1:61" x14ac:dyDescent="0.45">
      <c r="A157" t="s">
        <v>731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  <c r="AE157" s="8" t="s">
        <v>54</v>
      </c>
      <c r="AF157" s="1">
        <v>43.2</v>
      </c>
      <c r="AG157" s="1">
        <v>43.2</v>
      </c>
      <c r="AH157" s="1">
        <v>43.2</v>
      </c>
      <c r="AI157" s="1">
        <v>43.2</v>
      </c>
      <c r="AJ157" s="1">
        <v>43.2</v>
      </c>
      <c r="AK157" s="1">
        <v>43.2</v>
      </c>
      <c r="AL157" s="1">
        <v>43.2</v>
      </c>
      <c r="AM157" s="1">
        <v>43.2</v>
      </c>
      <c r="AO157" s="8" t="s">
        <v>54</v>
      </c>
      <c r="AP157" s="1">
        <v>8.6400000000000001E-3</v>
      </c>
      <c r="AQ157" s="1">
        <v>2.5919999999999999E-2</v>
      </c>
      <c r="AR157" s="1">
        <v>8.6400000000000005E-2</v>
      </c>
      <c r="AS157" s="1">
        <v>0.25919999999999999</v>
      </c>
      <c r="AT157" s="1">
        <v>0.86399999999999999</v>
      </c>
      <c r="AU157" s="1">
        <v>2.5920000000000001</v>
      </c>
      <c r="AV157" s="1">
        <v>8.64</v>
      </c>
      <c r="AW157" s="1">
        <v>25.92</v>
      </c>
      <c r="AX157" s="1">
        <v>86.4</v>
      </c>
      <c r="BF157" s="1"/>
    </row>
    <row r="158" spans="1:61" x14ac:dyDescent="0.45">
      <c r="A158" t="s">
        <v>732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  <c r="AE158" s="9" t="s">
        <v>55</v>
      </c>
      <c r="AF158" s="10">
        <v>8.6399999999999999E-9</v>
      </c>
      <c r="AG158" s="10">
        <v>8.6400000000000006E-8</v>
      </c>
      <c r="AH158" s="10">
        <v>8.6400000000000001E-7</v>
      </c>
      <c r="AI158" s="10">
        <v>8.6400000000000003E-6</v>
      </c>
      <c r="AJ158" s="10">
        <v>8.6399999999999999E-5</v>
      </c>
      <c r="AK158" s="10">
        <v>8.6399999999999997E-4</v>
      </c>
      <c r="AL158" s="10">
        <v>8.6400000000000001E-3</v>
      </c>
      <c r="AM158" s="10">
        <v>8.6400000000000005E-2</v>
      </c>
      <c r="AO158" s="9" t="s">
        <v>55</v>
      </c>
      <c r="AP158" s="10">
        <v>8.6399999999999997E-4</v>
      </c>
      <c r="AQ158" s="10">
        <v>8.6399999999999997E-4</v>
      </c>
      <c r="AR158" s="10">
        <v>8.6399999999999997E-4</v>
      </c>
      <c r="AS158" s="10">
        <v>8.6399999999999997E-4</v>
      </c>
      <c r="AT158" s="10">
        <v>8.6399999999999997E-4</v>
      </c>
      <c r="AU158" s="10">
        <v>8.6399999999999997E-4</v>
      </c>
      <c r="AV158" s="10">
        <v>8.6399999999999997E-4</v>
      </c>
      <c r="AW158" s="10">
        <v>8.6399999999999997E-4</v>
      </c>
      <c r="AX158" s="10">
        <v>8.6399999999999997E-4</v>
      </c>
    </row>
    <row r="159" spans="1:61" x14ac:dyDescent="0.45">
      <c r="A159" t="s">
        <v>733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  <c r="AE159" s="8" t="s">
        <v>56</v>
      </c>
      <c r="AF159" s="1">
        <v>43.2</v>
      </c>
      <c r="AG159" s="1">
        <v>43.2</v>
      </c>
      <c r="AH159" s="1">
        <v>43.2</v>
      </c>
      <c r="AI159" s="1">
        <v>43.2</v>
      </c>
      <c r="AJ159" s="1">
        <v>43.2</v>
      </c>
      <c r="AK159" s="1">
        <v>43.2</v>
      </c>
      <c r="AL159" s="1">
        <v>43.2</v>
      </c>
      <c r="AM159" s="1">
        <v>43.2</v>
      </c>
      <c r="AO159" s="8" t="s">
        <v>56</v>
      </c>
      <c r="AP159" s="1">
        <v>8.6400000000000001E-3</v>
      </c>
      <c r="AQ159" s="1">
        <v>2.5919999999999999E-2</v>
      </c>
      <c r="AR159" s="1">
        <v>8.6400000000000005E-2</v>
      </c>
      <c r="AS159" s="1">
        <v>0.25919999999999999</v>
      </c>
      <c r="AT159" s="1">
        <v>0.86399999999999999</v>
      </c>
      <c r="AU159" s="1">
        <v>2.5920000000000001</v>
      </c>
      <c r="AV159" s="1">
        <v>8.64</v>
      </c>
      <c r="AW159" s="1">
        <v>25.92</v>
      </c>
      <c r="AX159" s="1">
        <v>86.4</v>
      </c>
      <c r="AZ159" t="s">
        <v>35</v>
      </c>
      <c r="BA159" t="s">
        <v>658</v>
      </c>
      <c r="BB159" t="s">
        <v>659</v>
      </c>
      <c r="BC159" t="s">
        <v>660</v>
      </c>
      <c r="BE159" t="s">
        <v>661</v>
      </c>
      <c r="BG159" t="s">
        <v>662</v>
      </c>
      <c r="BH159" t="s">
        <v>663</v>
      </c>
      <c r="BI159" t="s">
        <v>664</v>
      </c>
    </row>
    <row r="160" spans="1:61" x14ac:dyDescent="0.45">
      <c r="A160" t="s">
        <v>734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  <c r="AE160" s="9" t="s">
        <v>57</v>
      </c>
      <c r="AF160" s="10">
        <v>8.6399999999999999E-9</v>
      </c>
      <c r="AG160" s="10">
        <v>8.6400000000000006E-8</v>
      </c>
      <c r="AH160" s="10">
        <v>8.6400000000000001E-7</v>
      </c>
      <c r="AI160" s="10">
        <v>8.6400000000000003E-6</v>
      </c>
      <c r="AJ160" s="10">
        <v>8.6399999999999999E-5</v>
      </c>
      <c r="AK160" s="10">
        <v>8.6399999999999997E-4</v>
      </c>
      <c r="AL160" s="10">
        <v>8.6400000000000001E-3</v>
      </c>
      <c r="AM160" s="10">
        <v>8.6400000000000005E-2</v>
      </c>
      <c r="AO160" s="9" t="s">
        <v>57</v>
      </c>
      <c r="AP160" s="10">
        <v>8.6399999999999997E-4</v>
      </c>
      <c r="AQ160" s="10">
        <v>8.6399999999999997E-4</v>
      </c>
      <c r="AR160" s="10">
        <v>8.6399999999999997E-4</v>
      </c>
      <c r="AS160" s="10">
        <v>8.6399999999999997E-4</v>
      </c>
      <c r="AT160" s="10">
        <v>8.6399999999999997E-4</v>
      </c>
      <c r="AU160" s="10">
        <v>8.6399999999999997E-4</v>
      </c>
      <c r="AV160" s="10">
        <v>8.6399999999999997E-4</v>
      </c>
      <c r="AW160" s="10">
        <v>8.6399999999999997E-4</v>
      </c>
      <c r="AX160" s="10">
        <v>8.6399999999999997E-4</v>
      </c>
      <c r="AZ160" s="8" t="s">
        <v>42</v>
      </c>
      <c r="BA160" s="1">
        <v>8.6400000000000001E-3</v>
      </c>
      <c r="BB160" s="1">
        <v>2.5919999999999999E-2</v>
      </c>
      <c r="BC160" s="1">
        <v>8.6400000000000005E-2</v>
      </c>
      <c r="BD160" s="1">
        <v>0.25919999999999999</v>
      </c>
      <c r="BE160" s="1">
        <v>0.86399999999999999</v>
      </c>
      <c r="BF160" s="1">
        <v>2.5920000000000001</v>
      </c>
      <c r="BG160" s="1">
        <v>8.64</v>
      </c>
      <c r="BH160" s="1">
        <v>25.92</v>
      </c>
      <c r="BI160" s="1">
        <v>86.4</v>
      </c>
    </row>
    <row r="161" spans="1:61" x14ac:dyDescent="0.45">
      <c r="A161" t="s">
        <v>735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  <c r="AE161" s="8" t="s">
        <v>58</v>
      </c>
      <c r="AF161" s="1">
        <v>43.2</v>
      </c>
      <c r="AG161" s="1">
        <v>43.2</v>
      </c>
      <c r="AH161" s="1">
        <v>43.2</v>
      </c>
      <c r="AI161" s="1">
        <v>43.2</v>
      </c>
      <c r="AJ161" s="1">
        <v>43.2</v>
      </c>
      <c r="AK161" s="1">
        <v>43.2</v>
      </c>
      <c r="AL161" s="1">
        <v>43.2</v>
      </c>
      <c r="AM161" s="1">
        <v>43.2</v>
      </c>
      <c r="AO161" s="8" t="s">
        <v>58</v>
      </c>
      <c r="AP161" s="1">
        <v>8.6400000000000001E-3</v>
      </c>
      <c r="AQ161" s="1">
        <v>2.5919999999999999E-2</v>
      </c>
      <c r="AR161" s="1">
        <v>8.6400000000000005E-2</v>
      </c>
      <c r="AS161" s="1">
        <v>0.25919999999999999</v>
      </c>
      <c r="AT161" s="1">
        <v>0.86399999999999999</v>
      </c>
      <c r="AU161" s="1">
        <v>2.5920000000000001</v>
      </c>
      <c r="AV161" s="1">
        <v>8.64</v>
      </c>
      <c r="AW161" s="1">
        <v>25.92</v>
      </c>
      <c r="AX161" s="1">
        <v>86.4</v>
      </c>
      <c r="AZ161" s="9" t="s">
        <v>46</v>
      </c>
      <c r="BA161" s="10">
        <v>2.5920000000000001E-3</v>
      </c>
      <c r="BB161" s="10">
        <v>2.5920000000000001E-3</v>
      </c>
      <c r="BC161" s="10">
        <v>2.5920000000000001E-3</v>
      </c>
      <c r="BD161" s="10">
        <v>2.5920000000000001E-3</v>
      </c>
      <c r="BE161" s="10">
        <v>2.5920000000000001E-3</v>
      </c>
      <c r="BF161" s="10">
        <v>2.5920000000000001E-3</v>
      </c>
      <c r="BG161" s="10">
        <v>2.5920000000000001E-3</v>
      </c>
      <c r="BH161" s="10">
        <v>2.5920000000000001E-3</v>
      </c>
      <c r="BI161" s="10">
        <v>2.5920000000000001E-3</v>
      </c>
    </row>
    <row r="162" spans="1:61" x14ac:dyDescent="0.45">
      <c r="A162" t="s">
        <v>736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  <c r="AZ162" s="8" t="s">
        <v>48</v>
      </c>
      <c r="BA162" s="1">
        <v>8.6400000000000001E-3</v>
      </c>
      <c r="BB162" s="1">
        <v>2.5919999999999999E-2</v>
      </c>
      <c r="BC162" s="1">
        <v>8.6400000000000005E-2</v>
      </c>
      <c r="BD162" s="1">
        <v>0.25919999999999999</v>
      </c>
      <c r="BE162" s="1">
        <v>0.86399999999999999</v>
      </c>
      <c r="BF162" s="1">
        <v>2.5920000000000001</v>
      </c>
      <c r="BG162" s="1">
        <v>8.64</v>
      </c>
      <c r="BH162" s="1">
        <v>25.92</v>
      </c>
      <c r="BI162" s="1">
        <v>86.4</v>
      </c>
    </row>
    <row r="163" spans="1:61" x14ac:dyDescent="0.45">
      <c r="A163" t="s">
        <v>737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  <c r="AE163" t="s">
        <v>35</v>
      </c>
      <c r="AF163" t="s">
        <v>658</v>
      </c>
      <c r="AG163" t="s">
        <v>659</v>
      </c>
      <c r="AH163" t="s">
        <v>660</v>
      </c>
      <c r="AI163" t="s">
        <v>661</v>
      </c>
      <c r="AJ163" t="s">
        <v>662</v>
      </c>
      <c r="AK163" t="s">
        <v>663</v>
      </c>
      <c r="AL163" t="s">
        <v>664</v>
      </c>
      <c r="AM163" t="s">
        <v>665</v>
      </c>
      <c r="AO163" t="s">
        <v>35</v>
      </c>
      <c r="AP163" t="s">
        <v>658</v>
      </c>
      <c r="AQ163" t="s">
        <v>659</v>
      </c>
      <c r="AR163" t="s">
        <v>660</v>
      </c>
      <c r="AT163" t="s">
        <v>661</v>
      </c>
      <c r="AV163" t="s">
        <v>662</v>
      </c>
      <c r="AW163" t="s">
        <v>663</v>
      </c>
      <c r="AX163" t="s">
        <v>664</v>
      </c>
      <c r="AZ163" s="9" t="s">
        <v>50</v>
      </c>
      <c r="BA163" s="10">
        <v>2.5920000000000001E-3</v>
      </c>
      <c r="BB163" s="10">
        <v>2.5920000000000001E-3</v>
      </c>
      <c r="BC163" s="10">
        <v>2.5920000000000001E-3</v>
      </c>
      <c r="BD163" s="10">
        <v>2.5920000000000001E-3</v>
      </c>
      <c r="BE163" s="10">
        <v>2.5920000000000001E-3</v>
      </c>
      <c r="BF163" s="10">
        <v>2.5920000000000001E-3</v>
      </c>
      <c r="BG163" s="10">
        <v>2.5920000000000001E-3</v>
      </c>
      <c r="BH163" s="10">
        <v>2.5920000000000001E-3</v>
      </c>
      <c r="BI163" s="10">
        <v>2.5920000000000001E-3</v>
      </c>
    </row>
    <row r="164" spans="1:61" x14ac:dyDescent="0.45">
      <c r="A164" t="s">
        <v>738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  <c r="AE164" s="8" t="s">
        <v>42</v>
      </c>
      <c r="AF164" s="1">
        <v>86.4</v>
      </c>
      <c r="AG164" s="1">
        <v>86.4</v>
      </c>
      <c r="AH164" s="1">
        <v>86.4</v>
      </c>
      <c r="AI164" s="1">
        <v>86.4</v>
      </c>
      <c r="AJ164" s="1">
        <v>86.4</v>
      </c>
      <c r="AK164" s="1">
        <v>86.4</v>
      </c>
      <c r="AL164" s="1">
        <v>86.4</v>
      </c>
      <c r="AM164" s="1">
        <v>86.4</v>
      </c>
      <c r="AO164" s="8" t="s">
        <v>42</v>
      </c>
      <c r="AP164" s="1">
        <v>8.6400000000000001E-3</v>
      </c>
      <c r="AQ164" s="1">
        <v>2.5919999999999999E-2</v>
      </c>
      <c r="AR164" s="1">
        <v>8.6400000000000005E-2</v>
      </c>
      <c r="AS164" s="1">
        <v>0.25919999999999999</v>
      </c>
      <c r="AT164" s="1">
        <v>0.86399999999999999</v>
      </c>
      <c r="AU164" s="1">
        <v>2.5920000000000001</v>
      </c>
      <c r="AV164" s="1">
        <v>8.64</v>
      </c>
      <c r="AW164" s="1">
        <v>25.92</v>
      </c>
      <c r="AX164" s="1">
        <v>86.4</v>
      </c>
      <c r="AZ164" s="8" t="s">
        <v>52</v>
      </c>
      <c r="BA164" s="1">
        <v>8.6400000000000001E-3</v>
      </c>
      <c r="BB164" s="1">
        <v>2.5919999999999999E-2</v>
      </c>
      <c r="BC164" s="1">
        <v>8.6400000000000005E-2</v>
      </c>
      <c r="BD164" s="1">
        <v>0.25919999999999999</v>
      </c>
      <c r="BE164" s="1">
        <v>0.86399999999999999</v>
      </c>
      <c r="BF164" s="1">
        <v>2.5920000000000001</v>
      </c>
      <c r="BG164" s="1">
        <v>8.64</v>
      </c>
      <c r="BH164" s="1">
        <v>25.92</v>
      </c>
      <c r="BI164" s="1">
        <v>86.4</v>
      </c>
    </row>
    <row r="165" spans="1:61" x14ac:dyDescent="0.45">
      <c r="A165" t="s">
        <v>739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  <c r="AE165" s="9" t="s">
        <v>46</v>
      </c>
      <c r="AF165" s="10">
        <v>8.6399999999999999E-9</v>
      </c>
      <c r="AG165" s="10">
        <v>8.6400000000000006E-8</v>
      </c>
      <c r="AH165" s="10">
        <v>8.6400000000000001E-7</v>
      </c>
      <c r="AI165" s="10">
        <v>8.6400000000000003E-6</v>
      </c>
      <c r="AJ165" s="10">
        <v>8.6399999999999999E-5</v>
      </c>
      <c r="AK165" s="10">
        <v>8.6399999999999997E-4</v>
      </c>
      <c r="AL165" s="10">
        <v>8.6400000000000001E-3</v>
      </c>
      <c r="AM165" s="10">
        <v>8.6400000000000005E-2</v>
      </c>
      <c r="AO165" s="9" t="s">
        <v>46</v>
      </c>
      <c r="AP165" s="10">
        <v>8.6400000000000001E-3</v>
      </c>
      <c r="AQ165" s="10">
        <v>8.6400000000000001E-3</v>
      </c>
      <c r="AR165" s="10">
        <v>8.6400000000000001E-3</v>
      </c>
      <c r="AS165" s="10">
        <v>8.6400000000000001E-3</v>
      </c>
      <c r="AT165" s="10">
        <v>8.6400000000000001E-3</v>
      </c>
      <c r="AU165" s="10">
        <v>8.6400000000000001E-3</v>
      </c>
      <c r="AV165" s="10">
        <v>8.6400000000000001E-3</v>
      </c>
      <c r="AW165" s="10">
        <v>8.6400000000000001E-3</v>
      </c>
      <c r="AX165" s="10">
        <v>8.6400000000000001E-3</v>
      </c>
      <c r="AZ165" s="8" t="s">
        <v>54</v>
      </c>
      <c r="BA165" s="1">
        <v>8.6400000000000001E-3</v>
      </c>
      <c r="BB165" s="1">
        <v>2.5919999999999999E-2</v>
      </c>
      <c r="BC165" s="1">
        <v>8.6400000000000005E-2</v>
      </c>
      <c r="BD165" s="1">
        <v>0.25919999999999999</v>
      </c>
      <c r="BE165" s="1">
        <v>0.86399999999999999</v>
      </c>
      <c r="BF165" s="1">
        <v>2.5920000000000001</v>
      </c>
      <c r="BG165" s="1">
        <v>8.64</v>
      </c>
      <c r="BH165" s="1">
        <v>25.92</v>
      </c>
      <c r="BI165" s="1">
        <v>86.4</v>
      </c>
    </row>
    <row r="166" spans="1:61" x14ac:dyDescent="0.45">
      <c r="A166" t="s">
        <v>740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  <c r="AE166" s="8" t="s">
        <v>48</v>
      </c>
      <c r="AF166" s="1">
        <v>86.4</v>
      </c>
      <c r="AG166" s="1">
        <v>86.4</v>
      </c>
      <c r="AH166" s="1">
        <v>86.4</v>
      </c>
      <c r="AI166" s="1">
        <v>86.4</v>
      </c>
      <c r="AJ166" s="1">
        <v>86.4</v>
      </c>
      <c r="AK166" s="1">
        <v>86.4</v>
      </c>
      <c r="AL166" s="1">
        <v>86.4</v>
      </c>
      <c r="AM166" s="1">
        <v>86.4</v>
      </c>
      <c r="AO166" s="8" t="s">
        <v>48</v>
      </c>
      <c r="AP166" s="1">
        <v>8.6400000000000001E-3</v>
      </c>
      <c r="AQ166" s="1">
        <v>2.5919999999999999E-2</v>
      </c>
      <c r="AR166" s="1">
        <v>8.6400000000000005E-2</v>
      </c>
      <c r="AS166" s="1">
        <v>0.25919999999999999</v>
      </c>
      <c r="AT166" s="1">
        <v>0.86399999999999999</v>
      </c>
      <c r="AU166" s="1">
        <v>2.5920000000000001</v>
      </c>
      <c r="AV166" s="1">
        <v>8.64</v>
      </c>
      <c r="AW166" s="1">
        <v>25.92</v>
      </c>
      <c r="AX166" s="1">
        <v>86.4</v>
      </c>
      <c r="AZ166" s="9" t="s">
        <v>55</v>
      </c>
      <c r="BA166" s="10">
        <v>2.5920000000000001E-3</v>
      </c>
      <c r="BB166" s="10">
        <v>2.5920000000000001E-3</v>
      </c>
      <c r="BC166" s="10">
        <v>2.5920000000000001E-3</v>
      </c>
      <c r="BD166" s="10">
        <v>2.5920000000000001E-3</v>
      </c>
      <c r="BE166" s="10">
        <v>2.5920000000000001E-3</v>
      </c>
      <c r="BF166" s="10">
        <v>2.5920000000000001E-3</v>
      </c>
      <c r="BG166" s="10">
        <v>2.5920000000000001E-3</v>
      </c>
      <c r="BH166" s="10">
        <v>2.5920000000000001E-3</v>
      </c>
      <c r="BI166" s="10">
        <v>2.5920000000000001E-3</v>
      </c>
    </row>
    <row r="167" spans="1:61" x14ac:dyDescent="0.45">
      <c r="A167" t="s">
        <v>741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  <c r="AE167" s="9" t="s">
        <v>50</v>
      </c>
      <c r="AF167" s="10">
        <v>8.6399999999999999E-9</v>
      </c>
      <c r="AG167" s="10">
        <v>8.6400000000000006E-8</v>
      </c>
      <c r="AH167" s="10">
        <v>8.6400000000000001E-7</v>
      </c>
      <c r="AI167" s="10">
        <v>8.6400000000000003E-6</v>
      </c>
      <c r="AJ167" s="10">
        <v>8.6399999999999999E-5</v>
      </c>
      <c r="AK167" s="10">
        <v>8.6399999999999997E-4</v>
      </c>
      <c r="AL167" s="10">
        <v>8.6400000000000001E-3</v>
      </c>
      <c r="AM167" s="10">
        <v>8.6400000000000005E-2</v>
      </c>
      <c r="AO167" s="9" t="s">
        <v>50</v>
      </c>
      <c r="AP167" s="10">
        <v>8.6400000000000001E-3</v>
      </c>
      <c r="AQ167" s="10">
        <v>8.6400000000000001E-3</v>
      </c>
      <c r="AR167" s="10">
        <v>8.6400000000000001E-3</v>
      </c>
      <c r="AS167" s="10">
        <v>8.6400000000000001E-3</v>
      </c>
      <c r="AT167" s="10">
        <v>8.6400000000000001E-3</v>
      </c>
      <c r="AU167" s="10">
        <v>8.6400000000000001E-3</v>
      </c>
      <c r="AV167" s="10">
        <v>8.6400000000000001E-3</v>
      </c>
      <c r="AW167" s="10">
        <v>8.6400000000000001E-3</v>
      </c>
      <c r="AX167" s="10">
        <v>8.6400000000000001E-3</v>
      </c>
      <c r="AZ167" s="8" t="s">
        <v>56</v>
      </c>
      <c r="BA167" s="1">
        <v>8.6400000000000001E-3</v>
      </c>
      <c r="BB167" s="1">
        <v>2.5919999999999999E-2</v>
      </c>
      <c r="BC167" s="1">
        <v>8.6400000000000005E-2</v>
      </c>
      <c r="BD167" s="1">
        <v>0.25919999999999999</v>
      </c>
      <c r="BE167" s="1">
        <v>0.86399999999999999</v>
      </c>
      <c r="BF167" s="1">
        <v>2.5920000000000001</v>
      </c>
      <c r="BG167" s="1">
        <v>8.64</v>
      </c>
      <c r="BH167" s="1">
        <v>25.92</v>
      </c>
      <c r="BI167" s="1">
        <v>86.4</v>
      </c>
    </row>
    <row r="168" spans="1:61" x14ac:dyDescent="0.45">
      <c r="A168" t="s">
        <v>742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  <c r="AE168" s="8" t="s">
        <v>52</v>
      </c>
      <c r="AF168" s="1">
        <v>86.4</v>
      </c>
      <c r="AG168" s="1">
        <v>86.4</v>
      </c>
      <c r="AH168" s="1">
        <v>86.4</v>
      </c>
      <c r="AI168" s="1">
        <v>86.4</v>
      </c>
      <c r="AJ168" s="1">
        <v>86.4</v>
      </c>
      <c r="AK168" s="1">
        <v>86.4</v>
      </c>
      <c r="AL168" s="1">
        <v>86.4</v>
      </c>
      <c r="AM168" s="1">
        <v>86.4</v>
      </c>
      <c r="AO168" s="8" t="s">
        <v>52</v>
      </c>
      <c r="AP168" s="1">
        <v>8.6400000000000001E-3</v>
      </c>
      <c r="AQ168" s="1">
        <v>2.5919999999999999E-2</v>
      </c>
      <c r="AR168" s="1">
        <v>8.6400000000000005E-2</v>
      </c>
      <c r="AS168" s="1">
        <v>0.25919999999999999</v>
      </c>
      <c r="AT168" s="1">
        <v>0.86399999999999999</v>
      </c>
      <c r="AU168" s="1">
        <v>2.5920000000000001</v>
      </c>
      <c r="AV168" s="1">
        <v>8.64</v>
      </c>
      <c r="AW168" s="1">
        <v>25.92</v>
      </c>
      <c r="AX168" s="1">
        <v>86.4</v>
      </c>
      <c r="AZ168" s="9" t="s">
        <v>57</v>
      </c>
      <c r="BA168" s="10">
        <v>2.5920000000000001E-3</v>
      </c>
      <c r="BB168" s="10">
        <v>2.5920000000000001E-3</v>
      </c>
      <c r="BC168" s="10">
        <v>2.5920000000000001E-3</v>
      </c>
      <c r="BD168" s="10">
        <v>2.5920000000000001E-3</v>
      </c>
      <c r="BE168" s="10">
        <v>2.5920000000000001E-3</v>
      </c>
      <c r="BF168" s="10">
        <v>2.5920000000000001E-3</v>
      </c>
      <c r="BG168" s="10">
        <v>2.5920000000000001E-3</v>
      </c>
      <c r="BH168" s="10">
        <v>2.5920000000000001E-3</v>
      </c>
      <c r="BI168" s="10">
        <v>2.5920000000000001E-3</v>
      </c>
    </row>
    <row r="169" spans="1:61" x14ac:dyDescent="0.45">
      <c r="A169" t="s">
        <v>743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  <c r="AE169" s="8" t="s">
        <v>54</v>
      </c>
      <c r="AF169" s="1">
        <v>86.4</v>
      </c>
      <c r="AG169" s="1">
        <v>86.4</v>
      </c>
      <c r="AH169" s="1">
        <v>86.4</v>
      </c>
      <c r="AI169" s="1">
        <v>86.4</v>
      </c>
      <c r="AJ169" s="1">
        <v>86.4</v>
      </c>
      <c r="AK169" s="1">
        <v>86.4</v>
      </c>
      <c r="AL169" s="1">
        <v>86.4</v>
      </c>
      <c r="AM169" s="1">
        <v>86.4</v>
      </c>
      <c r="AO169" s="8" t="s">
        <v>54</v>
      </c>
      <c r="AP169" s="1">
        <v>8.6400000000000001E-3</v>
      </c>
      <c r="AQ169" s="1">
        <v>2.5919999999999999E-2</v>
      </c>
      <c r="AR169" s="1">
        <v>8.6400000000000005E-2</v>
      </c>
      <c r="AS169" s="1">
        <v>0.25919999999999999</v>
      </c>
      <c r="AT169" s="1">
        <v>0.86399999999999999</v>
      </c>
      <c r="AU169" s="1">
        <v>2.5920000000000001</v>
      </c>
      <c r="AV169" s="1">
        <v>8.64</v>
      </c>
      <c r="AW169" s="1">
        <v>25.92</v>
      </c>
      <c r="AX169" s="1">
        <v>86.4</v>
      </c>
      <c r="AZ169" s="8" t="s">
        <v>58</v>
      </c>
      <c r="BA169" s="1">
        <v>8.6400000000000001E-3</v>
      </c>
      <c r="BB169" s="1">
        <v>2.5919999999999999E-2</v>
      </c>
      <c r="BC169" s="1">
        <v>8.6400000000000005E-2</v>
      </c>
      <c r="BD169" s="1">
        <v>0.25919999999999999</v>
      </c>
      <c r="BE169" s="1">
        <v>0.86399999999999999</v>
      </c>
      <c r="BF169" s="1">
        <v>2.5920000000000001</v>
      </c>
      <c r="BG169" s="1">
        <v>8.64</v>
      </c>
      <c r="BH169" s="1">
        <v>25.92</v>
      </c>
      <c r="BI169" s="1">
        <v>86.4</v>
      </c>
    </row>
    <row r="170" spans="1:61" x14ac:dyDescent="0.45">
      <c r="A170" t="s">
        <v>744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  <c r="AE170" s="9" t="s">
        <v>55</v>
      </c>
      <c r="AF170" s="10">
        <v>8.6399999999999999E-9</v>
      </c>
      <c r="AG170" s="10">
        <v>8.6400000000000006E-8</v>
      </c>
      <c r="AH170" s="10">
        <v>8.6400000000000001E-7</v>
      </c>
      <c r="AI170" s="10">
        <v>8.6400000000000003E-6</v>
      </c>
      <c r="AJ170" s="10">
        <v>8.6399999999999999E-5</v>
      </c>
      <c r="AK170" s="10">
        <v>8.6399999999999997E-4</v>
      </c>
      <c r="AL170" s="10">
        <v>8.6400000000000001E-3</v>
      </c>
      <c r="AM170" s="10">
        <v>8.6400000000000005E-2</v>
      </c>
      <c r="AO170" s="9" t="s">
        <v>55</v>
      </c>
      <c r="AP170" s="10">
        <v>8.6400000000000001E-3</v>
      </c>
      <c r="AQ170" s="10">
        <v>8.6400000000000001E-3</v>
      </c>
      <c r="AR170" s="10">
        <v>8.6400000000000001E-3</v>
      </c>
      <c r="AS170" s="10">
        <v>8.6400000000000001E-3</v>
      </c>
      <c r="AT170" s="10">
        <v>8.6400000000000001E-3</v>
      </c>
      <c r="AU170" s="10">
        <v>8.6400000000000001E-3</v>
      </c>
      <c r="AV170" s="10">
        <v>8.6400000000000001E-3</v>
      </c>
      <c r="AW170" s="10">
        <v>8.6400000000000001E-3</v>
      </c>
      <c r="AX170" s="10">
        <v>8.6400000000000001E-3</v>
      </c>
    </row>
    <row r="171" spans="1:61" x14ac:dyDescent="0.45">
      <c r="A171" t="s">
        <v>745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  <c r="AE171" s="8" t="s">
        <v>56</v>
      </c>
      <c r="AF171" s="1">
        <v>86.4</v>
      </c>
      <c r="AG171" s="1">
        <v>86.4</v>
      </c>
      <c r="AH171" s="1">
        <v>86.4</v>
      </c>
      <c r="AI171" s="1">
        <v>86.4</v>
      </c>
      <c r="AJ171" s="1">
        <v>86.4</v>
      </c>
      <c r="AK171" s="1">
        <v>86.4</v>
      </c>
      <c r="AL171" s="1">
        <v>86.4</v>
      </c>
      <c r="AM171" s="1">
        <v>86.4</v>
      </c>
      <c r="AO171" s="8" t="s">
        <v>56</v>
      </c>
      <c r="AP171" s="1">
        <v>8.6400000000000001E-3</v>
      </c>
      <c r="AQ171" s="1">
        <v>2.5919999999999999E-2</v>
      </c>
      <c r="AR171" s="1">
        <v>8.6400000000000005E-2</v>
      </c>
      <c r="AS171" s="1">
        <v>0.25919999999999999</v>
      </c>
      <c r="AT171" s="1">
        <v>0.86399999999999999</v>
      </c>
      <c r="AU171" s="1">
        <v>2.5920000000000001</v>
      </c>
      <c r="AV171" s="1">
        <v>8.64</v>
      </c>
      <c r="AW171" s="1">
        <v>25.92</v>
      </c>
      <c r="AX171" s="1">
        <v>86.4</v>
      </c>
    </row>
    <row r="172" spans="1:61" x14ac:dyDescent="0.45">
      <c r="A172" t="s">
        <v>746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  <c r="AE172" s="9" t="s">
        <v>57</v>
      </c>
      <c r="AF172" s="10">
        <v>8.6399999999999999E-9</v>
      </c>
      <c r="AG172" s="10">
        <v>8.6400000000000006E-8</v>
      </c>
      <c r="AH172" s="10">
        <v>8.6400000000000001E-7</v>
      </c>
      <c r="AI172" s="10">
        <v>8.6400000000000003E-6</v>
      </c>
      <c r="AJ172" s="10">
        <v>8.6399999999999999E-5</v>
      </c>
      <c r="AK172" s="10">
        <v>8.6399999999999997E-4</v>
      </c>
      <c r="AL172" s="10">
        <v>8.6400000000000001E-3</v>
      </c>
      <c r="AM172" s="10">
        <v>8.6400000000000005E-2</v>
      </c>
      <c r="AO172" s="9" t="s">
        <v>57</v>
      </c>
      <c r="AP172" s="10">
        <v>8.6400000000000001E-3</v>
      </c>
      <c r="AQ172" s="10">
        <v>8.6400000000000001E-3</v>
      </c>
      <c r="AR172" s="10">
        <v>8.6400000000000001E-3</v>
      </c>
      <c r="AS172" s="10">
        <v>8.6400000000000001E-3</v>
      </c>
      <c r="AT172" s="10">
        <v>8.6400000000000001E-3</v>
      </c>
      <c r="AU172" s="10">
        <v>8.6400000000000001E-3</v>
      </c>
      <c r="AV172" s="10">
        <v>8.6400000000000001E-3</v>
      </c>
      <c r="AW172" s="10">
        <v>8.6400000000000001E-3</v>
      </c>
      <c r="AX172" s="10">
        <v>8.6400000000000001E-3</v>
      </c>
      <c r="AZ172" t="s">
        <v>35</v>
      </c>
      <c r="BA172" t="s">
        <v>658</v>
      </c>
      <c r="BB172" t="s">
        <v>659</v>
      </c>
      <c r="BC172" t="s">
        <v>660</v>
      </c>
      <c r="BE172" t="s">
        <v>661</v>
      </c>
      <c r="BG172" t="s">
        <v>662</v>
      </c>
      <c r="BH172" t="s">
        <v>663</v>
      </c>
      <c r="BI172" t="s">
        <v>664</v>
      </c>
    </row>
    <row r="173" spans="1:61" x14ac:dyDescent="0.45">
      <c r="A173" t="s">
        <v>747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  <c r="AE173" s="8" t="s">
        <v>58</v>
      </c>
      <c r="AF173" s="1">
        <v>86.4</v>
      </c>
      <c r="AG173" s="1">
        <v>86.4</v>
      </c>
      <c r="AH173" s="1">
        <v>86.4</v>
      </c>
      <c r="AI173" s="1">
        <v>86.4</v>
      </c>
      <c r="AJ173" s="1">
        <v>86.4</v>
      </c>
      <c r="AK173" s="1">
        <v>86.4</v>
      </c>
      <c r="AL173" s="1">
        <v>86.4</v>
      </c>
      <c r="AM173" s="1">
        <v>86.4</v>
      </c>
      <c r="AO173" s="8" t="s">
        <v>58</v>
      </c>
      <c r="AP173" s="1">
        <v>8.6400000000000001E-3</v>
      </c>
      <c r="AQ173" s="1">
        <v>2.5919999999999999E-2</v>
      </c>
      <c r="AR173" s="1">
        <v>8.6400000000000005E-2</v>
      </c>
      <c r="AS173" s="1">
        <v>0.25919999999999999</v>
      </c>
      <c r="AT173" s="1">
        <v>0.86399999999999999</v>
      </c>
      <c r="AU173" s="1">
        <v>2.5920000000000001</v>
      </c>
      <c r="AV173" s="1">
        <v>8.64</v>
      </c>
      <c r="AW173" s="1">
        <v>25.92</v>
      </c>
      <c r="AX173" s="1">
        <v>86.4</v>
      </c>
      <c r="AZ173" s="8" t="s">
        <v>42</v>
      </c>
      <c r="BA173" s="1">
        <v>8.6400000000000001E-3</v>
      </c>
      <c r="BB173" s="1">
        <v>2.5919999999999999E-2</v>
      </c>
      <c r="BC173" s="1">
        <v>8.6400000000000005E-2</v>
      </c>
      <c r="BD173" s="1">
        <v>0.25919999999999999</v>
      </c>
      <c r="BE173" s="1">
        <v>0.86399999999999999</v>
      </c>
      <c r="BF173" s="1">
        <v>2.5920000000000001</v>
      </c>
      <c r="BG173" s="1">
        <v>8.64</v>
      </c>
      <c r="BH173" s="1">
        <v>25.92</v>
      </c>
      <c r="BI173" s="1">
        <v>86.4</v>
      </c>
    </row>
    <row r="174" spans="1:61" x14ac:dyDescent="0.45">
      <c r="A174" t="s">
        <v>748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  <c r="AZ174" s="9" t="s">
        <v>46</v>
      </c>
      <c r="BA174" s="10">
        <v>2.5919999999999999E-2</v>
      </c>
      <c r="BB174" s="10">
        <v>2.5919999999999999E-2</v>
      </c>
      <c r="BC174" s="10">
        <v>2.5919999999999999E-2</v>
      </c>
      <c r="BD174" s="10">
        <v>2.5919999999999999E-2</v>
      </c>
      <c r="BE174" s="10">
        <v>2.5919999999999999E-2</v>
      </c>
      <c r="BF174" s="10">
        <v>2.5919999999999999E-2</v>
      </c>
      <c r="BG174" s="10">
        <v>2.5919999999999999E-2</v>
      </c>
      <c r="BH174" s="10">
        <v>2.5919999999999999E-2</v>
      </c>
      <c r="BI174" s="10">
        <v>2.5919999999999999E-2</v>
      </c>
    </row>
    <row r="175" spans="1:61" x14ac:dyDescent="0.45">
      <c r="A175" t="s">
        <v>749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  <c r="AO175" t="s">
        <v>35</v>
      </c>
      <c r="AP175" t="s">
        <v>658</v>
      </c>
      <c r="AQ175" t="s">
        <v>659</v>
      </c>
      <c r="AR175" t="s">
        <v>660</v>
      </c>
      <c r="AT175" t="s">
        <v>661</v>
      </c>
      <c r="AV175" t="s">
        <v>662</v>
      </c>
      <c r="AW175" t="s">
        <v>663</v>
      </c>
      <c r="AX175" t="s">
        <v>664</v>
      </c>
      <c r="AZ175" s="8" t="s">
        <v>48</v>
      </c>
      <c r="BA175" s="1">
        <v>8.6400000000000001E-3</v>
      </c>
      <c r="BB175" s="1">
        <v>2.5919999999999999E-2</v>
      </c>
      <c r="BC175" s="1">
        <v>8.6400000000000005E-2</v>
      </c>
      <c r="BD175" s="1">
        <v>0.25919999999999999</v>
      </c>
      <c r="BE175" s="1">
        <v>0.86399999999999999</v>
      </c>
      <c r="BF175" s="1">
        <v>2.5920000000000001</v>
      </c>
      <c r="BG175" s="1">
        <v>8.64</v>
      </c>
      <c r="BH175" s="1">
        <v>25.92</v>
      </c>
      <c r="BI175" s="1">
        <v>86.4</v>
      </c>
    </row>
    <row r="176" spans="1:61" x14ac:dyDescent="0.45">
      <c r="A176" t="s">
        <v>750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  <c r="AO176" s="8" t="s">
        <v>42</v>
      </c>
      <c r="AP176" s="1">
        <v>8.6400000000000001E-3</v>
      </c>
      <c r="AQ176" s="1">
        <v>2.5919999999999999E-2</v>
      </c>
      <c r="AR176" s="1">
        <v>8.6400000000000005E-2</v>
      </c>
      <c r="AS176" s="1">
        <v>0.25919999999999999</v>
      </c>
      <c r="AT176" s="1">
        <v>0.86399999999999999</v>
      </c>
      <c r="AU176" s="1">
        <v>2.5920000000000001</v>
      </c>
      <c r="AV176" s="1">
        <v>8.64</v>
      </c>
      <c r="AW176" s="1">
        <v>25.92</v>
      </c>
      <c r="AX176" s="1">
        <v>86.4</v>
      </c>
      <c r="AZ176" s="9" t="s">
        <v>50</v>
      </c>
      <c r="BA176" s="10">
        <v>2.5919999999999999E-2</v>
      </c>
      <c r="BB176" s="10">
        <v>2.5919999999999999E-2</v>
      </c>
      <c r="BC176" s="10">
        <v>2.5919999999999999E-2</v>
      </c>
      <c r="BD176" s="10">
        <v>2.5919999999999999E-2</v>
      </c>
      <c r="BE176" s="10">
        <v>2.5919999999999999E-2</v>
      </c>
      <c r="BF176" s="10">
        <v>2.5919999999999999E-2</v>
      </c>
      <c r="BG176" s="10">
        <v>2.5919999999999999E-2</v>
      </c>
      <c r="BH176" s="10">
        <v>2.5919999999999999E-2</v>
      </c>
      <c r="BI176" s="10">
        <v>2.5919999999999999E-2</v>
      </c>
    </row>
    <row r="177" spans="1:61" x14ac:dyDescent="0.45">
      <c r="A177" t="s">
        <v>751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  <c r="AO177" s="9" t="s">
        <v>46</v>
      </c>
      <c r="AP177" s="10">
        <v>8.6400000000000005E-2</v>
      </c>
      <c r="AQ177" s="10">
        <v>8.6400000000000005E-2</v>
      </c>
      <c r="AR177" s="10">
        <v>8.6400000000000005E-2</v>
      </c>
      <c r="AS177" s="10">
        <v>8.6400000000000005E-2</v>
      </c>
      <c r="AT177" s="10">
        <v>8.6400000000000005E-2</v>
      </c>
      <c r="AU177" s="10">
        <v>8.6400000000000005E-2</v>
      </c>
      <c r="AV177" s="10">
        <v>8.6400000000000005E-2</v>
      </c>
      <c r="AW177" s="10">
        <v>8.6400000000000005E-2</v>
      </c>
      <c r="AX177" s="10">
        <v>8.6400000000000005E-2</v>
      </c>
      <c r="AZ177" s="8" t="s">
        <v>52</v>
      </c>
      <c r="BA177" s="1">
        <v>8.6400000000000001E-3</v>
      </c>
      <c r="BB177" s="1">
        <v>2.5919999999999999E-2</v>
      </c>
      <c r="BC177" s="1">
        <v>8.6400000000000005E-2</v>
      </c>
      <c r="BD177" s="1">
        <v>0.25919999999999999</v>
      </c>
      <c r="BE177" s="1">
        <v>0.86399999999999999</v>
      </c>
      <c r="BF177" s="1">
        <v>2.5920000000000001</v>
      </c>
      <c r="BG177" s="1">
        <v>8.64</v>
      </c>
      <c r="BH177" s="1">
        <v>25.92</v>
      </c>
      <c r="BI177" s="1">
        <v>86.4</v>
      </c>
    </row>
    <row r="178" spans="1:61" x14ac:dyDescent="0.45">
      <c r="A178" t="s">
        <v>752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  <c r="AO178" s="8" t="s">
        <v>48</v>
      </c>
      <c r="AP178" s="1">
        <v>8.6400000000000001E-3</v>
      </c>
      <c r="AQ178" s="1">
        <v>2.5919999999999999E-2</v>
      </c>
      <c r="AR178" s="1">
        <v>8.6400000000000005E-2</v>
      </c>
      <c r="AS178" s="1">
        <v>0.25919999999999999</v>
      </c>
      <c r="AT178" s="1">
        <v>0.86399999999999999</v>
      </c>
      <c r="AU178" s="1">
        <v>2.5920000000000001</v>
      </c>
      <c r="AV178" s="1">
        <v>8.64</v>
      </c>
      <c r="AW178" s="1">
        <v>25.92</v>
      </c>
      <c r="AX178" s="1">
        <v>86.4</v>
      </c>
      <c r="AZ178" s="8" t="s">
        <v>54</v>
      </c>
      <c r="BA178" s="1">
        <v>8.6400000000000001E-3</v>
      </c>
      <c r="BB178" s="1">
        <v>2.5919999999999999E-2</v>
      </c>
      <c r="BC178" s="1">
        <v>8.6400000000000005E-2</v>
      </c>
      <c r="BD178" s="1">
        <v>0.25919999999999999</v>
      </c>
      <c r="BE178" s="1">
        <v>0.86399999999999999</v>
      </c>
      <c r="BF178" s="1">
        <v>2.5920000000000001</v>
      </c>
      <c r="BG178" s="1">
        <v>8.64</v>
      </c>
      <c r="BH178" s="1">
        <v>25.92</v>
      </c>
      <c r="BI178" s="1">
        <v>86.4</v>
      </c>
    </row>
    <row r="179" spans="1:61" x14ac:dyDescent="0.45">
      <c r="A179" t="s">
        <v>753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  <c r="AO179" s="9" t="s">
        <v>50</v>
      </c>
      <c r="AP179" s="10">
        <v>8.6400000000000005E-2</v>
      </c>
      <c r="AQ179" s="10">
        <v>8.6400000000000005E-2</v>
      </c>
      <c r="AR179" s="10">
        <v>8.6400000000000005E-2</v>
      </c>
      <c r="AS179" s="10">
        <v>8.6400000000000005E-2</v>
      </c>
      <c r="AT179" s="10">
        <v>8.6400000000000005E-2</v>
      </c>
      <c r="AU179" s="10">
        <v>8.6400000000000005E-2</v>
      </c>
      <c r="AV179" s="10">
        <v>8.6400000000000005E-2</v>
      </c>
      <c r="AW179" s="10">
        <v>8.6400000000000005E-2</v>
      </c>
      <c r="AX179" s="10">
        <v>8.6400000000000005E-2</v>
      </c>
      <c r="AZ179" s="9" t="s">
        <v>55</v>
      </c>
      <c r="BA179" s="10">
        <v>2.5919999999999999E-2</v>
      </c>
      <c r="BB179" s="10">
        <v>2.5919999999999999E-2</v>
      </c>
      <c r="BC179" s="10">
        <v>2.5919999999999999E-2</v>
      </c>
      <c r="BD179" s="10">
        <v>2.5919999999999999E-2</v>
      </c>
      <c r="BE179" s="10">
        <v>2.5919999999999999E-2</v>
      </c>
      <c r="BF179" s="10">
        <v>2.5919999999999999E-2</v>
      </c>
      <c r="BG179" s="10">
        <v>2.5919999999999999E-2</v>
      </c>
      <c r="BH179" s="10">
        <v>2.5919999999999999E-2</v>
      </c>
      <c r="BI179" s="10">
        <v>2.5919999999999999E-2</v>
      </c>
    </row>
    <row r="180" spans="1:61" x14ac:dyDescent="0.45">
      <c r="A180" t="s">
        <v>754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  <c r="AO180" s="8" t="s">
        <v>52</v>
      </c>
      <c r="AP180" s="1">
        <v>8.6400000000000001E-3</v>
      </c>
      <c r="AQ180" s="1">
        <v>2.5919999999999999E-2</v>
      </c>
      <c r="AR180" s="1">
        <v>8.6400000000000005E-2</v>
      </c>
      <c r="AS180" s="1">
        <v>0.25919999999999999</v>
      </c>
      <c r="AT180" s="1">
        <v>0.86399999999999999</v>
      </c>
      <c r="AU180" s="1">
        <v>2.5920000000000001</v>
      </c>
      <c r="AV180" s="1">
        <v>8.64</v>
      </c>
      <c r="AW180" s="1">
        <v>25.92</v>
      </c>
      <c r="AX180" s="1">
        <v>86.4</v>
      </c>
      <c r="AZ180" s="8" t="s">
        <v>56</v>
      </c>
      <c r="BA180" s="1">
        <v>8.6400000000000001E-3</v>
      </c>
      <c r="BB180" s="1">
        <v>2.5919999999999999E-2</v>
      </c>
      <c r="BC180" s="1">
        <v>8.6400000000000005E-2</v>
      </c>
      <c r="BD180" s="1">
        <v>0.25919999999999999</v>
      </c>
      <c r="BE180" s="1">
        <v>0.86399999999999999</v>
      </c>
      <c r="BF180" s="1">
        <v>2.5920000000000001</v>
      </c>
      <c r="BG180" s="1">
        <v>8.64</v>
      </c>
      <c r="BH180" s="1">
        <v>25.92</v>
      </c>
      <c r="BI180" s="1">
        <v>86.4</v>
      </c>
    </row>
    <row r="181" spans="1:61" x14ac:dyDescent="0.45">
      <c r="A181" t="s">
        <v>755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  <c r="AO181" s="8" t="s">
        <v>54</v>
      </c>
      <c r="AP181" s="1">
        <v>8.6400000000000001E-3</v>
      </c>
      <c r="AQ181" s="1">
        <v>2.5919999999999999E-2</v>
      </c>
      <c r="AR181" s="1">
        <v>8.6400000000000005E-2</v>
      </c>
      <c r="AS181" s="1">
        <v>0.25919999999999999</v>
      </c>
      <c r="AT181" s="1">
        <v>0.86399999999999999</v>
      </c>
      <c r="AU181" s="1">
        <v>2.5920000000000001</v>
      </c>
      <c r="AV181" s="1">
        <v>8.64</v>
      </c>
      <c r="AW181" s="1">
        <v>25.92</v>
      </c>
      <c r="AX181" s="1">
        <v>86.4</v>
      </c>
      <c r="AZ181" s="9" t="s">
        <v>57</v>
      </c>
      <c r="BA181" s="10">
        <v>2.5919999999999999E-2</v>
      </c>
      <c r="BB181" s="10">
        <v>2.5919999999999999E-2</v>
      </c>
      <c r="BC181" s="10">
        <v>2.5919999999999999E-2</v>
      </c>
      <c r="BD181" s="10">
        <v>2.5919999999999999E-2</v>
      </c>
      <c r="BE181" s="10">
        <v>2.5919999999999999E-2</v>
      </c>
      <c r="BF181" s="10">
        <v>2.5919999999999999E-2</v>
      </c>
      <c r="BG181" s="10">
        <v>2.5919999999999999E-2</v>
      </c>
      <c r="BH181" s="10">
        <v>2.5919999999999999E-2</v>
      </c>
      <c r="BI181" s="10">
        <v>2.5919999999999999E-2</v>
      </c>
    </row>
    <row r="182" spans="1:61" x14ac:dyDescent="0.45">
      <c r="A182" t="s">
        <v>756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  <c r="AO182" s="9" t="s">
        <v>55</v>
      </c>
      <c r="AP182" s="10">
        <v>8.6400000000000005E-2</v>
      </c>
      <c r="AQ182" s="10">
        <v>8.6400000000000005E-2</v>
      </c>
      <c r="AR182" s="10">
        <v>8.6400000000000005E-2</v>
      </c>
      <c r="AS182" s="10">
        <v>8.6400000000000005E-2</v>
      </c>
      <c r="AT182" s="10">
        <v>8.6400000000000005E-2</v>
      </c>
      <c r="AU182" s="10">
        <v>8.6400000000000005E-2</v>
      </c>
      <c r="AV182" s="10">
        <v>8.6400000000000005E-2</v>
      </c>
      <c r="AW182" s="10">
        <v>8.6400000000000005E-2</v>
      </c>
      <c r="AX182" s="10">
        <v>8.6400000000000005E-2</v>
      </c>
      <c r="AZ182" s="8" t="s">
        <v>58</v>
      </c>
      <c r="BA182" s="1">
        <v>8.6400000000000001E-3</v>
      </c>
      <c r="BB182" s="1">
        <v>2.5919999999999999E-2</v>
      </c>
      <c r="BC182" s="1">
        <v>8.6400000000000005E-2</v>
      </c>
      <c r="BD182" s="1">
        <v>0.25919999999999999</v>
      </c>
      <c r="BE182" s="1">
        <v>0.86399999999999999</v>
      </c>
      <c r="BF182" s="1">
        <v>2.5920000000000001</v>
      </c>
      <c r="BG182" s="1">
        <v>8.64</v>
      </c>
      <c r="BH182" s="1">
        <v>25.92</v>
      </c>
      <c r="BI182" s="1">
        <v>86.4</v>
      </c>
    </row>
    <row r="183" spans="1:61" x14ac:dyDescent="0.45">
      <c r="A183" t="s">
        <v>757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  <c r="AO183" s="8" t="s">
        <v>56</v>
      </c>
      <c r="AP183" s="1">
        <v>8.6400000000000001E-3</v>
      </c>
      <c r="AQ183" s="1">
        <v>2.5919999999999999E-2</v>
      </c>
      <c r="AR183" s="1">
        <v>8.6400000000000005E-2</v>
      </c>
      <c r="AS183" s="1">
        <v>0.25919999999999999</v>
      </c>
      <c r="AT183" s="1">
        <v>0.86399999999999999</v>
      </c>
      <c r="AU183" s="1">
        <v>2.5920000000000001</v>
      </c>
      <c r="AV183" s="1">
        <v>8.64</v>
      </c>
      <c r="AW183" s="1">
        <v>25.92</v>
      </c>
      <c r="AX183" s="1">
        <v>86.4</v>
      </c>
    </row>
    <row r="184" spans="1:61" x14ac:dyDescent="0.45">
      <c r="A184" t="s">
        <v>758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  <c r="AO184" s="9" t="s">
        <v>57</v>
      </c>
      <c r="AP184" s="10">
        <v>8.6400000000000005E-2</v>
      </c>
      <c r="AQ184" s="10">
        <v>8.6400000000000005E-2</v>
      </c>
      <c r="AR184" s="10">
        <v>8.6400000000000005E-2</v>
      </c>
      <c r="AS184" s="10">
        <v>8.6400000000000005E-2</v>
      </c>
      <c r="AT184" s="10">
        <v>8.6400000000000005E-2</v>
      </c>
      <c r="AU184" s="10">
        <v>8.6400000000000005E-2</v>
      </c>
      <c r="AV184" s="10">
        <v>8.6400000000000005E-2</v>
      </c>
      <c r="AW184" s="10">
        <v>8.6400000000000005E-2</v>
      </c>
      <c r="AX184" s="10">
        <v>8.6400000000000005E-2</v>
      </c>
    </row>
    <row r="185" spans="1:61" x14ac:dyDescent="0.45">
      <c r="A185" t="s">
        <v>759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  <c r="AO185" s="8" t="s">
        <v>58</v>
      </c>
      <c r="AP185" s="1">
        <v>8.6400000000000001E-3</v>
      </c>
      <c r="AQ185" s="1">
        <v>2.5919999999999999E-2</v>
      </c>
      <c r="AR185" s="1">
        <v>8.6400000000000005E-2</v>
      </c>
      <c r="AS185" s="1">
        <v>0.25919999999999999</v>
      </c>
      <c r="AT185" s="1">
        <v>0.86399999999999999</v>
      </c>
      <c r="AU185" s="1">
        <v>2.5920000000000001</v>
      </c>
      <c r="AV185" s="1">
        <v>8.64</v>
      </c>
      <c r="AW185" s="1">
        <v>25.92</v>
      </c>
      <c r="AX185" s="1">
        <v>86.4</v>
      </c>
    </row>
    <row r="186" spans="1:61" x14ac:dyDescent="0.45">
      <c r="A186" t="s">
        <v>760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61" x14ac:dyDescent="0.45">
      <c r="A187" t="s">
        <v>761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61" x14ac:dyDescent="0.45">
      <c r="A188" t="s">
        <v>762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61" x14ac:dyDescent="0.45">
      <c r="A189" t="s">
        <v>763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61" x14ac:dyDescent="0.45">
      <c r="A190" t="s">
        <v>764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61" x14ac:dyDescent="0.45">
      <c r="A191" t="s">
        <v>765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61" x14ac:dyDescent="0.45">
      <c r="A192" t="s">
        <v>766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767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768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769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770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771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772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773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774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775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776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777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778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779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780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781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782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783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784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785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786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2026-08-26T16:59:58Z</dcterms:modified>
</cp:coreProperties>
</file>