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04E3596E-7387-4EE6-A4BD-99918CD983FF}" xr6:coauthVersionLast="47" xr6:coauthVersionMax="47" xr10:uidLastSave="{00000000-0000-0000-0000-000000000000}"/>
  <bookViews>
    <workbookView xWindow="-98" yWindow="-98" windowWidth="28996" windowHeight="15796" activeTab="4" xr2:uid="{00000000-000D-0000-FFFF-FFFF00000000}"/>
  </bookViews>
  <sheets>
    <sheet name="grid" sheetId="1" r:id="rId1"/>
    <sheet name="geometry" sheetId="2" r:id="rId2"/>
    <sheet name="tdis" sheetId="3" r:id="rId3"/>
    <sheet name="transient_recharge" sheetId="4" r:id="rId4"/>
    <sheet name="parameters" sheetId="5" r:id="rId5"/>
    <sheet name="observations" sheetId="6" r:id="rId6"/>
    <sheet name="wells" sheetId="7" r:id="rId7"/>
    <sheet name="q_values_st" sheetId="8" r:id="rId8"/>
    <sheet name="q_values_tr" sheetId="9" r:id="rId9"/>
    <sheet name="parameter_analysis" sheetId="10" r:id="rId10"/>
    <sheet name="workplac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154" i="11" l="1"/>
  <c r="Y154" i="11"/>
  <c r="Z154" i="11" s="1"/>
  <c r="X154" i="11"/>
  <c r="AA153" i="11"/>
  <c r="Z153" i="11"/>
  <c r="Y153" i="11"/>
  <c r="X153" i="11"/>
  <c r="AA152" i="11"/>
  <c r="Y152" i="11"/>
  <c r="Z152" i="11" s="1"/>
  <c r="X152" i="11"/>
  <c r="AA151" i="11"/>
  <c r="Y151" i="11"/>
  <c r="Z151" i="11" s="1"/>
  <c r="X151" i="11"/>
  <c r="AA150" i="11"/>
  <c r="Z150" i="11"/>
  <c r="Y150" i="11"/>
  <c r="X150" i="11"/>
  <c r="AA149" i="11"/>
  <c r="Z149" i="11"/>
  <c r="Y149" i="11"/>
  <c r="X149" i="11"/>
  <c r="AA148" i="11"/>
  <c r="Y148" i="11"/>
  <c r="Z148" i="11" s="1"/>
  <c r="X148" i="11"/>
  <c r="AA147" i="11"/>
  <c r="Y147" i="11"/>
  <c r="Z147" i="11" s="1"/>
  <c r="X147" i="11"/>
  <c r="AA146" i="11"/>
  <c r="Z146" i="11"/>
  <c r="Y146" i="11"/>
  <c r="X146" i="11"/>
  <c r="AA145" i="11"/>
  <c r="Y145" i="11"/>
  <c r="Z145" i="11" s="1"/>
  <c r="X145" i="11"/>
  <c r="AA144" i="11"/>
  <c r="Y144" i="11"/>
  <c r="Z144" i="11" s="1"/>
  <c r="X144" i="11"/>
  <c r="AA143" i="11"/>
  <c r="Y143" i="11"/>
  <c r="Z143" i="11" s="1"/>
  <c r="X143" i="11"/>
  <c r="AA142" i="11"/>
  <c r="Z142" i="11"/>
  <c r="Y142" i="11"/>
  <c r="X142" i="11"/>
  <c r="AA141" i="11"/>
  <c r="Y141" i="11"/>
  <c r="Z141" i="11" s="1"/>
  <c r="X141" i="11"/>
  <c r="AA140" i="11"/>
  <c r="Y140" i="11"/>
  <c r="Z140" i="11" s="1"/>
  <c r="X140" i="11"/>
  <c r="AA139" i="11"/>
  <c r="Y139" i="11"/>
  <c r="Z139" i="11" s="1"/>
  <c r="X139" i="11"/>
  <c r="AA138" i="11"/>
  <c r="Z138" i="11"/>
  <c r="Y138" i="11"/>
  <c r="X138" i="11"/>
  <c r="AA137" i="11"/>
  <c r="Y137" i="11"/>
  <c r="Z137" i="11" s="1"/>
  <c r="X137" i="11"/>
  <c r="AA136" i="11"/>
  <c r="Y136" i="11"/>
  <c r="Z136" i="11" s="1"/>
  <c r="X136" i="11"/>
  <c r="AA135" i="11"/>
  <c r="Z135" i="11"/>
  <c r="Y135" i="11"/>
  <c r="X135" i="11"/>
  <c r="AA134" i="11"/>
  <c r="Y134" i="11"/>
  <c r="Z134" i="11" s="1"/>
  <c r="X134" i="11"/>
  <c r="AA133" i="11"/>
  <c r="Y133" i="11"/>
  <c r="Z133" i="11" s="1"/>
  <c r="X133" i="11"/>
  <c r="AA132" i="11"/>
  <c r="Y132" i="11"/>
  <c r="Z132" i="11" s="1"/>
  <c r="X132" i="11"/>
  <c r="AA131" i="11"/>
  <c r="Z131" i="11"/>
  <c r="Y131" i="11"/>
  <c r="X131" i="11"/>
  <c r="AA130" i="11"/>
  <c r="Y130" i="11"/>
  <c r="Z130" i="11" s="1"/>
  <c r="X130" i="11"/>
  <c r="AA129" i="11"/>
  <c r="Y129" i="11"/>
  <c r="Z129" i="11" s="1"/>
  <c r="X129" i="11"/>
  <c r="AA128" i="11"/>
  <c r="Y128" i="11"/>
  <c r="Z128" i="11" s="1"/>
  <c r="X128" i="11"/>
  <c r="AA127" i="11"/>
  <c r="Z127" i="11"/>
  <c r="Y127" i="11"/>
  <c r="X127" i="11"/>
  <c r="AA126" i="11"/>
  <c r="Y126" i="11"/>
  <c r="Z126" i="11" s="1"/>
  <c r="X126" i="11"/>
  <c r="AA125" i="11"/>
  <c r="Y125" i="11"/>
  <c r="Z125" i="11" s="1"/>
  <c r="X125" i="11"/>
  <c r="AA124" i="11"/>
  <c r="Z124" i="11"/>
  <c r="Y124" i="11"/>
  <c r="X124" i="11"/>
  <c r="AA123" i="11"/>
  <c r="Y123" i="11"/>
  <c r="Z123" i="11" s="1"/>
  <c r="X123" i="11"/>
  <c r="AA122" i="11"/>
  <c r="Y122" i="11"/>
  <c r="Z122" i="11" s="1"/>
  <c r="X122" i="11"/>
  <c r="AA121" i="11"/>
  <c r="Y121" i="11"/>
  <c r="Z121" i="11" s="1"/>
  <c r="X121" i="11"/>
  <c r="AA120" i="11"/>
  <c r="Z120" i="11"/>
  <c r="Y120" i="11"/>
  <c r="X120" i="11"/>
  <c r="AA119" i="11"/>
  <c r="Y119" i="11"/>
  <c r="Z119" i="11" s="1"/>
  <c r="X119" i="11"/>
  <c r="AA118" i="11"/>
  <c r="Y118" i="11"/>
  <c r="Z118" i="11" s="1"/>
  <c r="X118" i="11"/>
  <c r="AA117" i="11"/>
  <c r="Y117" i="11"/>
  <c r="Z117" i="11" s="1"/>
  <c r="X117" i="11"/>
  <c r="AA116" i="11"/>
  <c r="Z116" i="11"/>
  <c r="Y116" i="11"/>
  <c r="X116" i="11"/>
  <c r="AA115" i="11"/>
  <c r="Y115" i="11"/>
  <c r="Z115" i="11" s="1"/>
  <c r="X115" i="11"/>
  <c r="AA114" i="11"/>
  <c r="Y114" i="11"/>
  <c r="Z114" i="11" s="1"/>
  <c r="X114" i="11"/>
  <c r="AA113" i="11"/>
  <c r="Z113" i="11"/>
  <c r="Y113" i="11"/>
  <c r="X113" i="11"/>
  <c r="AA112" i="11"/>
  <c r="Y112" i="11"/>
  <c r="Z112" i="11" s="1"/>
  <c r="X112" i="11"/>
  <c r="AA111" i="11"/>
  <c r="Y111" i="11"/>
  <c r="Z111" i="11" s="1"/>
  <c r="X111" i="11"/>
  <c r="AA110" i="11"/>
  <c r="Y110" i="11"/>
  <c r="Z110" i="11" s="1"/>
  <c r="X110" i="11"/>
  <c r="AA109" i="11"/>
  <c r="Z109" i="11"/>
  <c r="Y109" i="11"/>
  <c r="X109" i="11"/>
  <c r="AA108" i="11"/>
  <c r="Y108" i="11"/>
  <c r="Z108" i="11" s="1"/>
  <c r="X108" i="11"/>
  <c r="AA107" i="11"/>
  <c r="Y107" i="11"/>
  <c r="Z107" i="11" s="1"/>
  <c r="X107" i="11"/>
  <c r="AA106" i="11"/>
  <c r="Y106" i="11"/>
  <c r="Z106" i="11" s="1"/>
  <c r="X106" i="11"/>
  <c r="AA105" i="11"/>
  <c r="Z105" i="11"/>
  <c r="Y105" i="11"/>
  <c r="X105" i="11"/>
  <c r="AA104" i="11"/>
  <c r="Y104" i="11"/>
  <c r="Z104" i="11" s="1"/>
  <c r="X104" i="11"/>
  <c r="AA103" i="11"/>
  <c r="Y103" i="11"/>
  <c r="Z103" i="11" s="1"/>
  <c r="X103" i="11"/>
  <c r="AA102" i="11"/>
  <c r="Z102" i="11"/>
  <c r="Y102" i="11"/>
  <c r="X102" i="11"/>
  <c r="AA101" i="11"/>
  <c r="Y101" i="11"/>
  <c r="Z101" i="11" s="1"/>
  <c r="X101" i="11"/>
  <c r="AA100" i="11"/>
  <c r="Y100" i="11"/>
  <c r="Z100" i="11" s="1"/>
  <c r="X100" i="11"/>
  <c r="AA99" i="11"/>
  <c r="Y99" i="11"/>
  <c r="Z99" i="11" s="1"/>
  <c r="X99" i="11"/>
  <c r="AA98" i="11"/>
  <c r="Z98" i="11"/>
  <c r="Y98" i="11"/>
  <c r="X98" i="11"/>
  <c r="AA97" i="11"/>
  <c r="Y97" i="11"/>
  <c r="Z97" i="11" s="1"/>
  <c r="X97" i="11"/>
  <c r="AA96" i="11"/>
  <c r="Y96" i="11"/>
  <c r="Z96" i="11" s="1"/>
  <c r="X96" i="11"/>
  <c r="AA95" i="11"/>
  <c r="Y95" i="11"/>
  <c r="Z95" i="11" s="1"/>
  <c r="X95" i="11"/>
  <c r="AA94" i="11"/>
  <c r="Z94" i="11"/>
  <c r="Y94" i="11"/>
  <c r="X94" i="11"/>
  <c r="AA93" i="11"/>
  <c r="Y93" i="11"/>
  <c r="Z93" i="11" s="1"/>
  <c r="X93" i="11"/>
  <c r="AA92" i="11"/>
  <c r="Y92" i="11"/>
  <c r="Z92" i="11" s="1"/>
  <c r="X92" i="11"/>
  <c r="AA91" i="11"/>
  <c r="Z91" i="11"/>
  <c r="Y91" i="11"/>
  <c r="X91" i="11"/>
  <c r="AA90" i="11"/>
  <c r="Y90" i="11"/>
  <c r="Z90" i="11" s="1"/>
  <c r="X90" i="11"/>
  <c r="AA89" i="11"/>
  <c r="Y89" i="11"/>
  <c r="Z89" i="11" s="1"/>
  <c r="X89" i="11"/>
  <c r="AA88" i="11"/>
  <c r="Y88" i="11"/>
  <c r="Z88" i="11" s="1"/>
  <c r="X88" i="11"/>
  <c r="AA87" i="11"/>
  <c r="Z87" i="11"/>
  <c r="Y87" i="11"/>
  <c r="X87" i="11"/>
  <c r="AA86" i="11"/>
  <c r="Y86" i="11"/>
  <c r="Z86" i="11" s="1"/>
  <c r="X86" i="11"/>
  <c r="AA85" i="11"/>
  <c r="Y85" i="11"/>
  <c r="Z85" i="11" s="1"/>
  <c r="X85" i="11"/>
  <c r="AA84" i="11"/>
  <c r="Y84" i="11"/>
  <c r="Z84" i="11" s="1"/>
  <c r="X84" i="11"/>
  <c r="AA83" i="11"/>
  <c r="Z83" i="11"/>
  <c r="Y83" i="11"/>
  <c r="X83" i="11"/>
  <c r="AA82" i="11"/>
  <c r="Y82" i="11"/>
  <c r="Z82" i="11" s="1"/>
  <c r="X82" i="11"/>
  <c r="AA81" i="11"/>
  <c r="Y81" i="11"/>
  <c r="Z81" i="11" s="1"/>
  <c r="X81" i="11"/>
  <c r="AA80" i="11"/>
  <c r="Z80" i="11"/>
  <c r="Y80" i="11"/>
  <c r="X80" i="11"/>
  <c r="AA79" i="11"/>
  <c r="Y79" i="11"/>
  <c r="Z79" i="11" s="1"/>
  <c r="X79" i="11"/>
  <c r="AA78" i="11"/>
  <c r="Y78" i="11"/>
  <c r="Z78" i="11" s="1"/>
  <c r="X78" i="11"/>
  <c r="AA77" i="11"/>
  <c r="Y77" i="11"/>
  <c r="Z77" i="11" s="1"/>
  <c r="X77" i="11"/>
  <c r="AA76" i="11"/>
  <c r="Z76" i="11"/>
  <c r="Y76" i="11"/>
  <c r="X76" i="11"/>
  <c r="AA75" i="11"/>
  <c r="Y75" i="11"/>
  <c r="Z75" i="11" s="1"/>
  <c r="X75" i="11"/>
  <c r="AA74" i="11"/>
  <c r="Y74" i="11"/>
  <c r="Z74" i="11" s="1"/>
  <c r="X74" i="11"/>
  <c r="AA73" i="11"/>
  <c r="Y73" i="11"/>
  <c r="Z73" i="11" s="1"/>
  <c r="X73" i="11"/>
  <c r="AA72" i="11"/>
  <c r="Z72" i="11"/>
  <c r="Y72" i="11"/>
  <c r="X72" i="11"/>
  <c r="AA71" i="11"/>
  <c r="Y71" i="11"/>
  <c r="Z71" i="11" s="1"/>
  <c r="X71" i="11"/>
  <c r="AA70" i="11"/>
  <c r="Y70" i="11"/>
  <c r="Z70" i="11" s="1"/>
  <c r="X70" i="11"/>
  <c r="AA69" i="11"/>
  <c r="Z69" i="11"/>
  <c r="Y69" i="11"/>
  <c r="X69" i="11"/>
  <c r="AA68" i="11"/>
  <c r="Y68" i="11"/>
  <c r="Z68" i="11" s="1"/>
  <c r="X68" i="11"/>
  <c r="AA67" i="11"/>
  <c r="Y67" i="11"/>
  <c r="Z67" i="11" s="1"/>
  <c r="X67" i="11"/>
  <c r="AA66" i="11"/>
  <c r="Y66" i="11"/>
  <c r="Z66" i="11" s="1"/>
  <c r="X66" i="11"/>
  <c r="AA65" i="11"/>
  <c r="Z65" i="11"/>
  <c r="Y65" i="11"/>
  <c r="X65" i="11"/>
  <c r="AA64" i="11"/>
  <c r="Y64" i="11"/>
  <c r="Z64" i="11" s="1"/>
  <c r="X64" i="11"/>
  <c r="AA63" i="11"/>
  <c r="Y63" i="11"/>
  <c r="Z63" i="11" s="1"/>
  <c r="X63" i="11"/>
  <c r="AA62" i="11"/>
  <c r="Y62" i="11"/>
  <c r="Z62" i="11" s="1"/>
  <c r="X62" i="11"/>
  <c r="AA61" i="11"/>
  <c r="Z61" i="11"/>
  <c r="Y61" i="11"/>
  <c r="X61" i="11"/>
  <c r="AA60" i="11"/>
  <c r="Y60" i="11"/>
  <c r="Z60" i="11" s="1"/>
  <c r="X60" i="11"/>
  <c r="AA59" i="11"/>
  <c r="Y59" i="11"/>
  <c r="Z59" i="11" s="1"/>
  <c r="X59" i="11"/>
  <c r="AA58" i="11"/>
  <c r="Z58" i="11"/>
  <c r="Y58" i="11"/>
  <c r="X58" i="11"/>
  <c r="AA57" i="11"/>
  <c r="Y57" i="11"/>
  <c r="Z57" i="11" s="1"/>
  <c r="X57" i="11"/>
  <c r="AA56" i="11"/>
  <c r="Y56" i="11"/>
  <c r="Z56" i="11" s="1"/>
  <c r="X56" i="11"/>
  <c r="AA55" i="11"/>
  <c r="Y55" i="11"/>
  <c r="Z55" i="11" s="1"/>
  <c r="X55" i="11"/>
  <c r="AA54" i="11"/>
  <c r="Z54" i="11"/>
  <c r="Y54" i="11"/>
  <c r="X54" i="11"/>
  <c r="AA53" i="11"/>
  <c r="Y53" i="11"/>
  <c r="Z53" i="11" s="1"/>
  <c r="X53" i="11"/>
  <c r="AA52" i="11"/>
  <c r="Y52" i="11"/>
  <c r="Z52" i="11" s="1"/>
  <c r="X52" i="11"/>
  <c r="AA51" i="11"/>
  <c r="Y51" i="11"/>
  <c r="Z51" i="11" s="1"/>
  <c r="X51" i="11"/>
  <c r="AA50" i="11"/>
  <c r="Z50" i="11"/>
  <c r="Y50" i="11"/>
  <c r="X50" i="11"/>
  <c r="AA49" i="11"/>
  <c r="Y49" i="11"/>
  <c r="Z49" i="11" s="1"/>
  <c r="X49" i="11"/>
  <c r="AA48" i="11"/>
  <c r="Y48" i="11"/>
  <c r="Z48" i="11" s="1"/>
  <c r="X48" i="11"/>
  <c r="AA47" i="11"/>
  <c r="Z47" i="11"/>
  <c r="Y47" i="11"/>
  <c r="X47" i="11"/>
  <c r="AA46" i="11"/>
  <c r="Y46" i="11"/>
  <c r="Z46" i="11" s="1"/>
  <c r="X46" i="11"/>
  <c r="AA45" i="11"/>
  <c r="Y45" i="11"/>
  <c r="Z45" i="11" s="1"/>
  <c r="X45" i="11"/>
  <c r="AA44" i="11"/>
  <c r="Y44" i="11"/>
  <c r="Z44" i="11" s="1"/>
  <c r="X44" i="11"/>
  <c r="AA43" i="11"/>
  <c r="Z43" i="11"/>
  <c r="Y43" i="11"/>
  <c r="X43" i="11"/>
  <c r="AA42" i="11"/>
  <c r="Y42" i="11"/>
  <c r="Z42" i="11" s="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Y38" i="11"/>
  <c r="Z38" i="11" s="1"/>
  <c r="X38" i="11"/>
  <c r="AA37" i="11"/>
  <c r="Y37" i="11"/>
  <c r="Z37" i="11" s="1"/>
  <c r="X37" i="11"/>
  <c r="AA36" i="11"/>
  <c r="Z36" i="11"/>
  <c r="Y36" i="11"/>
  <c r="X36" i="11"/>
  <c r="AA35" i="11"/>
  <c r="Y35" i="11"/>
  <c r="Z35" i="11" s="1"/>
  <c r="X35" i="11"/>
  <c r="AA34" i="11"/>
  <c r="Y34" i="11"/>
  <c r="Z34" i="11" s="1"/>
  <c r="X34" i="11"/>
  <c r="AA33" i="11"/>
  <c r="Y33" i="11"/>
  <c r="Z33" i="11" s="1"/>
  <c r="X33" i="11"/>
  <c r="AA32" i="11"/>
  <c r="Z32" i="11"/>
  <c r="Y32" i="11"/>
  <c r="X32" i="11"/>
  <c r="AA31" i="11"/>
  <c r="Y31" i="11"/>
  <c r="Z31" i="11" s="1"/>
  <c r="X31" i="11"/>
  <c r="AA30" i="11"/>
  <c r="Y30" i="11"/>
  <c r="Z30" i="11" s="1"/>
  <c r="X30" i="11"/>
  <c r="AA29" i="11"/>
  <c r="Y29" i="11"/>
  <c r="Z29" i="11" s="1"/>
  <c r="X29" i="11"/>
  <c r="AA28" i="11"/>
  <c r="Z28" i="11"/>
  <c r="Y28" i="11"/>
  <c r="X28" i="11"/>
  <c r="AA27" i="11"/>
  <c r="Y27" i="11"/>
  <c r="Z27" i="11" s="1"/>
  <c r="X27" i="11"/>
  <c r="AA26" i="11"/>
  <c r="Y26" i="11"/>
  <c r="Z26" i="11" s="1"/>
  <c r="X26" i="11"/>
  <c r="AA25" i="11"/>
  <c r="Z25" i="11"/>
  <c r="Y25" i="11"/>
  <c r="X25" i="11"/>
  <c r="AA24" i="11"/>
  <c r="Y24" i="11"/>
  <c r="Z24" i="11" s="1"/>
  <c r="X24" i="11"/>
  <c r="AA23" i="11"/>
  <c r="Y23" i="11"/>
  <c r="Z23" i="11" s="1"/>
  <c r="X23" i="11"/>
  <c r="AA22" i="11"/>
  <c r="Y22" i="11"/>
  <c r="Z22" i="11" s="1"/>
  <c r="X22" i="11"/>
  <c r="AA21" i="11"/>
  <c r="Z21" i="11"/>
  <c r="Y21" i="11"/>
  <c r="X21" i="11"/>
  <c r="AA20" i="11"/>
  <c r="Y20" i="11"/>
  <c r="Z20" i="11" s="1"/>
  <c r="X20" i="11"/>
  <c r="AA19" i="11"/>
  <c r="Y19" i="11"/>
  <c r="Z19" i="11" s="1"/>
  <c r="X19" i="11"/>
  <c r="AA18" i="11"/>
  <c r="Y18" i="11"/>
  <c r="Z18" i="11" s="1"/>
  <c r="X18" i="11"/>
  <c r="AA17" i="11"/>
  <c r="Z17" i="11"/>
  <c r="Y17" i="11"/>
  <c r="X17" i="11"/>
  <c r="AA16" i="11"/>
  <c r="Y16" i="11"/>
  <c r="Z16" i="11" s="1"/>
  <c r="X16" i="11"/>
  <c r="AA15" i="11"/>
  <c r="Y15" i="11"/>
  <c r="Z15" i="11" s="1"/>
  <c r="X15" i="11"/>
  <c r="AA14" i="11"/>
  <c r="Z14" i="11"/>
  <c r="Y14" i="11"/>
  <c r="X14" i="11"/>
  <c r="AA13" i="11"/>
  <c r="Y13" i="11"/>
  <c r="Z13" i="11" s="1"/>
  <c r="X13" i="11"/>
  <c r="AA12" i="11"/>
  <c r="Y12" i="11"/>
  <c r="Z12" i="11" s="1"/>
  <c r="X12" i="11"/>
  <c r="AA11" i="11"/>
  <c r="Y11" i="11"/>
  <c r="Z11" i="11" s="1"/>
  <c r="X11" i="11"/>
  <c r="AA10" i="11"/>
  <c r="Z10" i="11"/>
  <c r="Y10" i="11"/>
  <c r="X10" i="11"/>
  <c r="AA9" i="11"/>
  <c r="Y9" i="11"/>
  <c r="Z9" i="11" s="1"/>
  <c r="X9" i="11"/>
  <c r="AA8" i="11"/>
  <c r="Y8" i="11"/>
  <c r="Z8" i="11" s="1"/>
  <c r="X8" i="11"/>
  <c r="AA7" i="11"/>
  <c r="Y7" i="11"/>
  <c r="Z7" i="11" s="1"/>
  <c r="X7" i="11"/>
  <c r="AA6" i="11"/>
  <c r="Z6" i="11"/>
  <c r="Y6" i="11"/>
  <c r="X6" i="11"/>
  <c r="AA5" i="11"/>
  <c r="Y5" i="11"/>
  <c r="Z5" i="11" s="1"/>
  <c r="X5" i="11"/>
  <c r="AA4" i="11"/>
  <c r="Y4" i="11"/>
  <c r="Z4" i="11" s="1"/>
  <c r="X4" i="11"/>
  <c r="AA3" i="11"/>
  <c r="Z3" i="11"/>
  <c r="Y3" i="11"/>
  <c r="X3" i="11"/>
  <c r="AA2" i="11"/>
  <c r="Y2" i="11"/>
  <c r="Z2" i="11" s="1"/>
  <c r="X2" i="11"/>
  <c r="C6" i="8"/>
  <c r="C5" i="8"/>
  <c r="C4" i="8"/>
  <c r="C3" i="8"/>
  <c r="C2" i="8"/>
</calcChain>
</file>

<file path=xl/sharedStrings.xml><?xml version="1.0" encoding="utf-8"?>
<sst xmlns="http://schemas.openxmlformats.org/spreadsheetml/2006/main" count="558" uniqueCount="342">
  <si>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</si>
  <si>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</si>
  <si>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</si>
  <si>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</si>
  <si>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</si>
  <si>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</si>
  <si>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</si>
  <si>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</si>
  <si>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</si>
  <si>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</si>
  <si>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</si>
  <si>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</si>
  <si>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</si>
  <si>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</si>
  <si>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</si>
  <si>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</si>
  <si>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</si>
  <si>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</si>
  <si>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</si>
  <si>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</si>
  <si>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</si>
  <si>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</si>
  <si>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</si>
  <si>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</si>
  <si>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</si>
  <si>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</si>
  <si>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</si>
  <si>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</si>
  <si>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</si>
  <si>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</si>
  <si>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</si>
  <si>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</si>
  <si>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</si>
  <si>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</si>
  <si>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21K BP - 14K BP</t>
  </si>
  <si>
    <t>11kBP - present - 39kAP (500 years at annual step)</t>
  </si>
  <si>
    <t>11kBP - present - 39kAP (the rest at century steps)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</si>
  <si>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</si>
  <si>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</si>
  <si>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</si>
  <si>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</si>
  <si>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</si>
  <si>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</si>
  <si>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</si>
  <si>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</si>
  <si>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</si>
  <si>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</si>
  <si>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</si>
  <si>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</si>
  <si>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</si>
  <si>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</si>
  <si>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</si>
  <si>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</si>
  <si>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</si>
  <si>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</si>
  <si>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</si>
  <si>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</si>
  <si>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</si>
  <si>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</si>
  <si>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</si>
  <si>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</si>
  <si>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</si>
  <si>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</si>
  <si>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</si>
  <si>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</si>
  <si>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</si>
  <si>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</si>
  <si>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</si>
  <si>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</si>
  <si>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</si>
  <si>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</si>
  <si>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</si>
  <si>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</si>
  <si>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</si>
  <si>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</si>
  <si>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</si>
  <si>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</si>
  <si>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</si>
  <si>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</si>
  <si>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</si>
  <si>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drn_cond_02</t>
  </si>
  <si>
    <t>drn_cond_03</t>
  </si>
  <si>
    <t>drn_cond_04</t>
  </si>
  <si>
    <t>drn_cond_05</t>
  </si>
  <si>
    <t>q_0</t>
  </si>
  <si>
    <t>Steady state pumping rate</t>
  </si>
  <si>
    <t>obs_label</t>
  </si>
  <si>
    <t>obs_type</t>
  </si>
  <si>
    <t>lay</t>
  </si>
  <si>
    <t>row</t>
  </si>
  <si>
    <t>col</t>
  </si>
  <si>
    <t>UncAq</t>
  </si>
  <si>
    <t>HEAD</t>
  </si>
  <si>
    <t>Aqt 1</t>
  </si>
  <si>
    <t>Caq 1</t>
  </si>
  <si>
    <t xml:space="preserve">Aqt 2 </t>
  </si>
  <si>
    <t>Caq 2</t>
  </si>
  <si>
    <t>Caq 1 outcrop</t>
  </si>
  <si>
    <t xml:space="preserve">HEAD </t>
  </si>
  <si>
    <t>well_id</t>
  </si>
  <si>
    <t>q</t>
  </si>
  <si>
    <t>WELL_01</t>
  </si>
  <si>
    <t>WELL_02</t>
  </si>
  <si>
    <t>WELL_03</t>
  </si>
  <si>
    <t>WELL_04</t>
  </si>
  <si>
    <t>WELL_05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</si>
  <si>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</si>
  <si>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</si>
  <si>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</si>
  <si>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</si>
  <si>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</si>
  <si>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</si>
  <si>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</si>
  <si>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</si>
  <si>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</si>
  <si>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parv_00</t>
  </si>
  <si>
    <t>parv_01</t>
  </si>
  <si>
    <t>parv_02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</si>
  <si>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</si>
  <si>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</si>
  <si>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</si>
  <si>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</si>
  <si>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</si>
  <si>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</si>
  <si>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</si>
  <si>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</si>
  <si>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</si>
  <si>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</si>
  <si>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</si>
  <si>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</si>
  <si>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</si>
  <si>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</si>
  <si>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</si>
  <si>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</si>
  <si>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</si>
  <si>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</si>
  <si>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</si>
  <si>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</si>
  <si>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</si>
  <si>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</si>
  <si>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</si>
  <si>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</si>
  <si>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</si>
  <si>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</si>
  <si>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</si>
  <si>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</si>
  <si>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</si>
  <si>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</si>
  <si>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</si>
  <si>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</si>
  <si>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</si>
  <si>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18400 BP</t>
  </si>
  <si>
    <t>14k - 11k BP</t>
  </si>
  <si>
    <t>18300 BP</t>
  </si>
  <si>
    <t>18200 BP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</si>
  <si>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</si>
  <si>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</si>
  <si>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</si>
  <si>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</si>
  <si>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</si>
  <si>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</si>
  <si>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</si>
  <si>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</si>
  <si>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</si>
  <si>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</si>
  <si>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</si>
  <si>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</si>
  <si>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</si>
  <si>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</si>
  <si>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</si>
  <si>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</si>
  <si>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</si>
  <si>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</si>
  <si>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</si>
  <si>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</si>
  <si>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</si>
  <si>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</si>
  <si>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</si>
  <si>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</si>
  <si>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</si>
  <si>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</si>
  <si>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</si>
  <si>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</si>
  <si>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</si>
  <si>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</si>
  <si>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</si>
  <si>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</si>
  <si>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</si>
  <si>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</si>
  <si>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</si>
  <si>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</si>
  <si>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</si>
  <si>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</si>
  <si>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</si>
  <si>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</si>
  <si>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</si>
  <si>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</si>
  <si>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</si>
  <si>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</si>
  <si>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</si>
  <si>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</si>
  <si>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</si>
  <si>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</si>
  <si>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</si>
  <si>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</si>
  <si>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</si>
  <si>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</si>
  <si>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</si>
  <si>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</si>
  <si>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</si>
  <si>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</si>
  <si>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</si>
  <si>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</si>
  <si>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</si>
  <si>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</si>
  <si>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</si>
  <si>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</si>
  <si>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</si>
  <si>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</si>
  <si>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</si>
  <si>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</si>
  <si>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</si>
  <si>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</si>
  <si>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</si>
  <si>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</si>
  <si>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</si>
  <si>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</si>
  <si>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</si>
  <si>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</si>
  <si>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</si>
  <si>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</si>
  <si>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</si>
  <si>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</si>
  <si>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</si>
  <si>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</si>
  <si>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</si>
  <si>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</si>
  <si>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</si>
  <si>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</si>
  <si>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</si>
  <si>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</si>
  <si>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</si>
  <si>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</si>
  <si>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</si>
  <si>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</si>
  <si>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</si>
  <si>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</si>
  <si>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</si>
  <si>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</si>
  <si>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</si>
  <si>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</si>
  <si>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</si>
  <si>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</si>
  <si>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</si>
  <si>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</si>
  <si>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</si>
  <si>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</si>
  <si>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</si>
  <si>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</si>
  <si>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</si>
  <si>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</si>
  <si>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</si>
  <si>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</si>
  <si>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</si>
  <si>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</si>
  <si>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</si>
  <si>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</si>
  <si>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</si>
  <si>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</si>
  <si>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</si>
  <si>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</si>
  <si>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</si>
  <si>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</si>
  <si>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</si>
  <si>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</si>
  <si>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</si>
  <si>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</si>
  <si>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</si>
  <si>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</si>
  <si>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</si>
  <si>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</si>
  <si>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</si>
  <si>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</si>
  <si>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</si>
  <si>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</si>
  <si>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</si>
  <si>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</si>
  <si>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</si>
  <si>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</si>
  <si>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</si>
  <si>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</si>
  <si>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</si>
  <si>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</si>
  <si>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</si>
  <si>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</si>
  <si>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</si>
  <si>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</si>
  <si>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</si>
  <si>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</si>
  <si>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</si>
  <si>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</si>
  <si>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</si>
  <si>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</si>
  <si>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</si>
  <si>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</si>
  <si>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</si>
  <si>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</si>
  <si>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</si>
  <si>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</si>
  <si>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</si>
  <si>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</si>
  <si>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</si>
  <si>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</si>
  <si>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</si>
  <si>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</si>
  <si>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</si>
  <si>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</si>
  <si>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</si>
  <si>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</si>
  <si>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</si>
  <si>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</si>
  <si>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</si>
  <si>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</si>
  <si>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</si>
  <si>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</si>
  <si>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</si>
  <si>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</si>
  <si>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</si>
  <si>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</si>
  <si>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</si>
  <si>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</si>
  <si>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</si>
  <si>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</si>
  <si>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</si>
  <si>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</si>
  <si>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</si>
  <si>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</si>
  <si>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</si>
  <si>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initial condition</t>
  </si>
  <si>
    <t>Millenia steps for 1M years</t>
  </si>
  <si>
    <t>Step change (annual time steps for 500 years)</t>
  </si>
  <si>
    <t>century steps for 11k 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</si>
</sst>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H2" sqref="H2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1</v>
      </c>
      <c r="C2">
        <v>600</v>
      </c>
      <c r="D2">
        <v>1</v>
      </c>
      <c r="E2">
        <v>600000</v>
      </c>
      <c r="F2">
        <v>1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topLeftCell="B1" workbookViewId="0">
      <selection activeCell="G21" sqref="G21"/>
    </sheetView>
  </sheetViews>
  <sheetFormatPr baseColWidth="10" defaultRowHeight="14.25" x14ac:dyDescent="0.45"/>
  <cols>
    <col min="2" max="2" width="5.9296875" bestFit="1" customWidth="1"/>
    <col min="4" max="4" width="11.53125" bestFit="1" customWidth="1"/>
    <col min="5" max="5" width="11.796875" bestFit="1" customWidth="1"/>
    <col min="6" max="6" width="14.06640625" bestFit="1" customWidth="1"/>
    <col min="7" max="7" width="11.9296875" bestFit="1" customWidth="1"/>
    <col min="8" max="8" width="8.33203125" bestFit="1" customWidth="1"/>
    <col min="9" max="9" width="8.46484375" customWidth="1"/>
  </cols>
  <sheetData>
    <row r="1" spans="1:11" x14ac:dyDescent="0.4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  <row r="2" spans="1:11" x14ac:dyDescent="0.45">
      <c r="A2" t="s">
        <v>18</v>
      </c>
      <c r="B2" t="s">
        <v>19</v>
      </c>
      <c r="C2">
        <v>100</v>
      </c>
      <c r="D2">
        <v>0</v>
      </c>
      <c r="E2">
        <v>100</v>
      </c>
      <c r="F2">
        <v>300</v>
      </c>
      <c r="G2">
        <v>300</v>
      </c>
      <c r="H2">
        <v>5</v>
      </c>
      <c r="I2">
        <v>70</v>
      </c>
      <c r="J2">
        <v>0</v>
      </c>
      <c r="K2">
        <v>1</v>
      </c>
    </row>
    <row r="3" spans="1:11" x14ac:dyDescent="0.45">
      <c r="A3" t="s">
        <v>20</v>
      </c>
      <c r="B3" t="s">
        <v>21</v>
      </c>
      <c r="C3">
        <v>150</v>
      </c>
      <c r="D3">
        <v>100</v>
      </c>
      <c r="E3">
        <v>150</v>
      </c>
      <c r="F3">
        <v>150</v>
      </c>
      <c r="G3">
        <v>250</v>
      </c>
      <c r="H3">
        <v>5</v>
      </c>
      <c r="I3">
        <v>70</v>
      </c>
      <c r="J3">
        <v>0</v>
      </c>
      <c r="K3">
        <v>2</v>
      </c>
    </row>
    <row r="4" spans="1:11" x14ac:dyDescent="0.45">
      <c r="A4" t="s">
        <v>22</v>
      </c>
      <c r="B4" t="s">
        <v>23</v>
      </c>
      <c r="C4">
        <v>200</v>
      </c>
      <c r="D4">
        <v>150</v>
      </c>
      <c r="E4">
        <v>225</v>
      </c>
      <c r="F4">
        <v>200</v>
      </c>
      <c r="G4">
        <v>150</v>
      </c>
      <c r="H4">
        <v>5</v>
      </c>
      <c r="I4">
        <v>70</v>
      </c>
      <c r="J4">
        <v>0</v>
      </c>
      <c r="K4">
        <v>3</v>
      </c>
    </row>
    <row r="5" spans="1:11" x14ac:dyDescent="0.45">
      <c r="A5" t="s">
        <v>24</v>
      </c>
      <c r="B5" t="s">
        <v>25</v>
      </c>
      <c r="C5">
        <v>250</v>
      </c>
      <c r="D5">
        <v>225</v>
      </c>
      <c r="E5">
        <v>300</v>
      </c>
      <c r="F5">
        <v>150</v>
      </c>
      <c r="G5">
        <v>100</v>
      </c>
      <c r="H5">
        <v>5</v>
      </c>
      <c r="I5">
        <v>70</v>
      </c>
      <c r="J5">
        <v>0</v>
      </c>
      <c r="K5">
        <v>4</v>
      </c>
    </row>
    <row r="6" spans="1:11" x14ac:dyDescent="0.45">
      <c r="A6" t="s">
        <v>26</v>
      </c>
      <c r="B6" t="s">
        <v>27</v>
      </c>
      <c r="C6">
        <v>350</v>
      </c>
      <c r="D6">
        <v>300</v>
      </c>
      <c r="E6">
        <v>350</v>
      </c>
      <c r="F6">
        <v>200</v>
      </c>
      <c r="G6">
        <v>0</v>
      </c>
      <c r="H6">
        <v>5</v>
      </c>
      <c r="I6">
        <v>70</v>
      </c>
      <c r="J6">
        <v>0</v>
      </c>
      <c r="K6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C22" sqref="C22"/>
    </sheetView>
  </sheetViews>
  <sheetFormatPr baseColWidth="10" defaultRowHeight="14.25" x14ac:dyDescent="0.45"/>
  <cols>
    <col min="5" max="5" width="40.9296875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338</v>
      </c>
    </row>
    <row r="4" spans="1:5" x14ac:dyDescent="0.45">
      <c r="A4">
        <v>2</v>
      </c>
      <c r="B4">
        <v>180000</v>
      </c>
      <c r="C4">
        <v>500</v>
      </c>
      <c r="D4">
        <v>1</v>
      </c>
      <c r="E4" t="s">
        <v>340</v>
      </c>
    </row>
    <row r="5" spans="1:5" x14ac:dyDescent="0.45">
      <c r="A5">
        <v>3</v>
      </c>
      <c r="B5">
        <v>3960000</v>
      </c>
      <c r="C5">
        <v>110</v>
      </c>
      <c r="D5">
        <v>1</v>
      </c>
      <c r="E5" t="s">
        <v>341</v>
      </c>
    </row>
    <row r="6" spans="1:5" x14ac:dyDescent="0.45">
      <c r="A6">
        <v>4</v>
      </c>
      <c r="B6">
        <v>360000000</v>
      </c>
      <c r="C6">
        <v>1000</v>
      </c>
      <c r="D6">
        <v>1</v>
      </c>
      <c r="E6" t="s">
        <v>339</v>
      </c>
    </row>
    <row r="7" spans="1:5" x14ac:dyDescent="0.45">
      <c r="A7" s="2"/>
    </row>
    <row r="8" spans="1:5" x14ac:dyDescent="0.45">
      <c r="A8" s="2"/>
    </row>
    <row r="9" spans="1:5" x14ac:dyDescent="0.45">
      <c r="A9" s="2"/>
    </row>
    <row r="10" spans="1:5" x14ac:dyDescent="0.45">
      <c r="A10" s="2"/>
    </row>
    <row r="11" spans="1:5" x14ac:dyDescent="0.45">
      <c r="A11" s="2"/>
    </row>
    <row r="12" spans="1:5" x14ac:dyDescent="0.45">
      <c r="A12" s="2"/>
    </row>
    <row r="13" spans="1:5" x14ac:dyDescent="0.45">
      <c r="A13" s="2"/>
    </row>
    <row r="14" spans="1:5" x14ac:dyDescent="0.45">
      <c r="A14" s="2"/>
    </row>
    <row r="15" spans="1:5" x14ac:dyDescent="0.45">
      <c r="A15" s="2"/>
    </row>
    <row r="16" spans="1:5" x14ac:dyDescent="0.45">
      <c r="A16" s="2"/>
    </row>
    <row r="17" spans="1:1" x14ac:dyDescent="0.45">
      <c r="A17" s="2"/>
    </row>
    <row r="18" spans="1:1" x14ac:dyDescent="0.45">
      <c r="A18" s="2"/>
    </row>
    <row r="19" spans="1:1" x14ac:dyDescent="0.45">
      <c r="A19" s="2"/>
    </row>
    <row r="20" spans="1:1" x14ac:dyDescent="0.45">
      <c r="A20" s="2"/>
    </row>
    <row r="21" spans="1:1" x14ac:dyDescent="0.45">
      <c r="A21" s="2"/>
    </row>
    <row r="22" spans="1:1" x14ac:dyDescent="0.45">
      <c r="A22" s="2"/>
    </row>
    <row r="23" spans="1:1" x14ac:dyDescent="0.45">
      <c r="A23" s="2"/>
    </row>
    <row r="24" spans="1:1" x14ac:dyDescent="0.45">
      <c r="A24" s="2"/>
    </row>
    <row r="25" spans="1:1" x14ac:dyDescent="0.45">
      <c r="A25" s="2"/>
    </row>
    <row r="26" spans="1:1" x14ac:dyDescent="0.45">
      <c r="A26" s="2"/>
    </row>
    <row r="27" spans="1:1" x14ac:dyDescent="0.45">
      <c r="A27" s="2"/>
    </row>
    <row r="28" spans="1:1" x14ac:dyDescent="0.45">
      <c r="A28" s="2"/>
    </row>
    <row r="29" spans="1:1" x14ac:dyDescent="0.45">
      <c r="A29" s="2"/>
    </row>
    <row r="30" spans="1:1" x14ac:dyDescent="0.45">
      <c r="A30" s="2"/>
    </row>
    <row r="31" spans="1:1" x14ac:dyDescent="0.45">
      <c r="A31" s="2"/>
    </row>
    <row r="32" spans="1:1" x14ac:dyDescent="0.45">
      <c r="A32" s="2"/>
    </row>
    <row r="33" spans="1:1" x14ac:dyDescent="0.45">
      <c r="A33" s="2"/>
    </row>
    <row r="34" spans="1:1" x14ac:dyDescent="0.45">
      <c r="A34" s="2"/>
    </row>
    <row r="35" spans="1:1" x14ac:dyDescent="0.45">
      <c r="A35" s="2"/>
    </row>
    <row r="36" spans="1:1" x14ac:dyDescent="0.45">
      <c r="A36" s="2"/>
    </row>
    <row r="37" spans="1:1" x14ac:dyDescent="0.45">
      <c r="A37" s="2"/>
    </row>
    <row r="38" spans="1:1" x14ac:dyDescent="0.45">
      <c r="A38" s="2"/>
    </row>
    <row r="39" spans="1:1" x14ac:dyDescent="0.45">
      <c r="A39" s="2"/>
    </row>
    <row r="40" spans="1:1" x14ac:dyDescent="0.45">
      <c r="A40" s="2"/>
    </row>
    <row r="41" spans="1:1" x14ac:dyDescent="0.45">
      <c r="A41" s="2"/>
    </row>
    <row r="42" spans="1:1" x14ac:dyDescent="0.45">
      <c r="A42" s="2"/>
    </row>
    <row r="43" spans="1:1" x14ac:dyDescent="0.45">
      <c r="A43" s="2"/>
    </row>
    <row r="44" spans="1:1" x14ac:dyDescent="0.45">
      <c r="A44" s="2"/>
    </row>
    <row r="45" spans="1:1" x14ac:dyDescent="0.45">
      <c r="A45" s="2"/>
    </row>
    <row r="46" spans="1:1" x14ac:dyDescent="0.45">
      <c r="A46" s="2"/>
    </row>
    <row r="47" spans="1:1" x14ac:dyDescent="0.45">
      <c r="A47" s="2"/>
    </row>
    <row r="48" spans="1:1" x14ac:dyDescent="0.45">
      <c r="A48" s="2"/>
    </row>
    <row r="49" spans="1:1" x14ac:dyDescent="0.45">
      <c r="A49" s="2"/>
    </row>
    <row r="50" spans="1:1" x14ac:dyDescent="0.45">
      <c r="A50" s="2"/>
    </row>
    <row r="51" spans="1:1" x14ac:dyDescent="0.45">
      <c r="A51" s="2"/>
    </row>
    <row r="52" spans="1:1" x14ac:dyDescent="0.45">
      <c r="A52" s="2"/>
    </row>
    <row r="53" spans="1:1" x14ac:dyDescent="0.45">
      <c r="A53" s="2"/>
    </row>
    <row r="54" spans="1:1" x14ac:dyDescent="0.45">
      <c r="A54" s="2"/>
    </row>
    <row r="55" spans="1:1" x14ac:dyDescent="0.45">
      <c r="A55" s="2"/>
    </row>
    <row r="56" spans="1:1" x14ac:dyDescent="0.45">
      <c r="A56" s="2"/>
    </row>
    <row r="57" spans="1:1" x14ac:dyDescent="0.45">
      <c r="A57" s="2"/>
    </row>
    <row r="58" spans="1:1" x14ac:dyDescent="0.45">
      <c r="A58" s="2"/>
    </row>
    <row r="59" spans="1:1" x14ac:dyDescent="0.45">
      <c r="A59" s="2"/>
    </row>
    <row r="60" spans="1:1" x14ac:dyDescent="0.45">
      <c r="A60" s="2"/>
    </row>
    <row r="61" spans="1:1" x14ac:dyDescent="0.45">
      <c r="A61" s="2"/>
    </row>
    <row r="62" spans="1:1" x14ac:dyDescent="0.45">
      <c r="A62" s="2"/>
    </row>
    <row r="63" spans="1:1" x14ac:dyDescent="0.45">
      <c r="A63" s="2"/>
    </row>
    <row r="64" spans="1:1" x14ac:dyDescent="0.45">
      <c r="A64" s="2"/>
    </row>
    <row r="65" spans="1:1" x14ac:dyDescent="0.45">
      <c r="A65" s="2"/>
    </row>
    <row r="66" spans="1:1" x14ac:dyDescent="0.45">
      <c r="A66" s="2"/>
    </row>
    <row r="67" spans="1:1" x14ac:dyDescent="0.45">
      <c r="A67" s="2"/>
    </row>
    <row r="68" spans="1:1" x14ac:dyDescent="0.45">
      <c r="A68" s="2"/>
    </row>
    <row r="69" spans="1:1" x14ac:dyDescent="0.45">
      <c r="A69" s="2"/>
    </row>
    <row r="70" spans="1:1" x14ac:dyDescent="0.45">
      <c r="A70" s="2"/>
    </row>
    <row r="71" spans="1:1" x14ac:dyDescent="0.45">
      <c r="A71" s="2"/>
    </row>
    <row r="72" spans="1:1" x14ac:dyDescent="0.45">
      <c r="A72" s="2"/>
    </row>
    <row r="73" spans="1:1" x14ac:dyDescent="0.45">
      <c r="A73" s="2"/>
    </row>
    <row r="74" spans="1:1" x14ac:dyDescent="0.45">
      <c r="A74" s="2"/>
    </row>
    <row r="75" spans="1:1" x14ac:dyDescent="0.45">
      <c r="A75" s="2"/>
    </row>
    <row r="76" spans="1:1" x14ac:dyDescent="0.45">
      <c r="A76" s="2"/>
    </row>
    <row r="77" spans="1:1" x14ac:dyDescent="0.45">
      <c r="A77" s="2"/>
    </row>
    <row r="78" spans="1:1" x14ac:dyDescent="0.45">
      <c r="A78" s="2"/>
    </row>
    <row r="79" spans="1:1" x14ac:dyDescent="0.45">
      <c r="A79" s="2"/>
    </row>
    <row r="80" spans="1:1" x14ac:dyDescent="0.45">
      <c r="A80" s="2"/>
    </row>
    <row r="81" spans="1:1" x14ac:dyDescent="0.45">
      <c r="A81" s="2"/>
    </row>
    <row r="82" spans="1:1" x14ac:dyDescent="0.45">
      <c r="A82" s="2"/>
    </row>
    <row r="83" spans="1:1" x14ac:dyDescent="0.45">
      <c r="A83" s="2"/>
    </row>
    <row r="84" spans="1:1" x14ac:dyDescent="0.45">
      <c r="A84" s="2"/>
    </row>
    <row r="85" spans="1:1" x14ac:dyDescent="0.45">
      <c r="A85" s="2"/>
    </row>
    <row r="86" spans="1:1" x14ac:dyDescent="0.45">
      <c r="A86" s="2"/>
    </row>
    <row r="87" spans="1:1" x14ac:dyDescent="0.45">
      <c r="A87" s="2"/>
    </row>
    <row r="88" spans="1:1" x14ac:dyDescent="0.45">
      <c r="A88" s="2"/>
    </row>
    <row r="89" spans="1:1" x14ac:dyDescent="0.45">
      <c r="A89" s="2"/>
    </row>
    <row r="90" spans="1:1" x14ac:dyDescent="0.45">
      <c r="A90" s="2"/>
    </row>
    <row r="91" spans="1:1" x14ac:dyDescent="0.45">
      <c r="A91" s="2"/>
    </row>
    <row r="92" spans="1:1" x14ac:dyDescent="0.45">
      <c r="A92" s="2"/>
    </row>
    <row r="93" spans="1:1" x14ac:dyDescent="0.45">
      <c r="A93" s="2"/>
    </row>
    <row r="94" spans="1:1" x14ac:dyDescent="0.45">
      <c r="A94" s="2"/>
    </row>
    <row r="95" spans="1:1" x14ac:dyDescent="0.45">
      <c r="A95" s="2"/>
    </row>
    <row r="96" spans="1:1" x14ac:dyDescent="0.45">
      <c r="A96" s="2"/>
    </row>
    <row r="97" spans="1:1" x14ac:dyDescent="0.45">
      <c r="A97" s="2"/>
    </row>
    <row r="98" spans="1:1" x14ac:dyDescent="0.45">
      <c r="A98" s="2"/>
    </row>
    <row r="99" spans="1:1" x14ac:dyDescent="0.45">
      <c r="A99" s="2"/>
    </row>
    <row r="100" spans="1:1" x14ac:dyDescent="0.45">
      <c r="A100" s="2"/>
    </row>
    <row r="101" spans="1:1" x14ac:dyDescent="0.45">
      <c r="A101" s="2"/>
    </row>
    <row r="102" spans="1:1" x14ac:dyDescent="0.45">
      <c r="A102" s="2"/>
    </row>
    <row r="103" spans="1:1" x14ac:dyDescent="0.45">
      <c r="A103" s="2"/>
    </row>
    <row r="104" spans="1:1" x14ac:dyDescent="0.45">
      <c r="A104" s="2"/>
    </row>
    <row r="105" spans="1:1" x14ac:dyDescent="0.45">
      <c r="A105" s="2"/>
    </row>
    <row r="106" spans="1:1" x14ac:dyDescent="0.45">
      <c r="A106" s="2"/>
    </row>
    <row r="107" spans="1:1" x14ac:dyDescent="0.45">
      <c r="A107" s="2"/>
    </row>
    <row r="108" spans="1:1" x14ac:dyDescent="0.45">
      <c r="A108" s="2"/>
    </row>
    <row r="109" spans="1:1" x14ac:dyDescent="0.45">
      <c r="A109" s="2"/>
    </row>
    <row r="110" spans="1:1" x14ac:dyDescent="0.45">
      <c r="A110" s="2"/>
    </row>
    <row r="111" spans="1:1" x14ac:dyDescent="0.45">
      <c r="A111" s="2"/>
    </row>
    <row r="112" spans="1:1" x14ac:dyDescent="0.45">
      <c r="A112" s="2"/>
    </row>
    <row r="113" spans="1:1" x14ac:dyDescent="0.45">
      <c r="A113" s="2"/>
    </row>
    <row r="114" spans="1:1" x14ac:dyDescent="0.45">
      <c r="A114" s="2"/>
    </row>
    <row r="115" spans="1:1" x14ac:dyDescent="0.45">
      <c r="A115" s="2"/>
    </row>
    <row r="116" spans="1:1" x14ac:dyDescent="0.45">
      <c r="A116" s="2"/>
    </row>
    <row r="117" spans="1:1" x14ac:dyDescent="0.45">
      <c r="A117" s="2"/>
    </row>
    <row r="118" spans="1:1" x14ac:dyDescent="0.45">
      <c r="A118" s="2"/>
    </row>
    <row r="119" spans="1:1" x14ac:dyDescent="0.45">
      <c r="A119" s="2"/>
    </row>
    <row r="120" spans="1:1" x14ac:dyDescent="0.45">
      <c r="A120" s="2"/>
    </row>
    <row r="121" spans="1:1" x14ac:dyDescent="0.45">
      <c r="A121" s="2"/>
    </row>
    <row r="122" spans="1:1" x14ac:dyDescent="0.45">
      <c r="A122" s="2"/>
    </row>
    <row r="123" spans="1:1" x14ac:dyDescent="0.45">
      <c r="A123" s="2"/>
    </row>
    <row r="124" spans="1:1" x14ac:dyDescent="0.45">
      <c r="A124" s="2"/>
    </row>
    <row r="125" spans="1:1" x14ac:dyDescent="0.45">
      <c r="A125" s="2"/>
    </row>
    <row r="126" spans="1:1" x14ac:dyDescent="0.45">
      <c r="A126" s="2"/>
    </row>
    <row r="127" spans="1:1" x14ac:dyDescent="0.45">
      <c r="A127" s="2"/>
    </row>
    <row r="128" spans="1:1" x14ac:dyDescent="0.45">
      <c r="A128" s="2"/>
    </row>
    <row r="129" spans="1:1" x14ac:dyDescent="0.45">
      <c r="A129" s="2"/>
    </row>
    <row r="130" spans="1:1" x14ac:dyDescent="0.45">
      <c r="A130" s="2"/>
    </row>
    <row r="131" spans="1:1" x14ac:dyDescent="0.45">
      <c r="A131" s="2"/>
    </row>
    <row r="132" spans="1:1" x14ac:dyDescent="0.45">
      <c r="A132" s="2"/>
    </row>
    <row r="133" spans="1:1" x14ac:dyDescent="0.45">
      <c r="A133" s="2"/>
    </row>
    <row r="134" spans="1:1" x14ac:dyDescent="0.45">
      <c r="A134" s="2"/>
    </row>
    <row r="135" spans="1:1" x14ac:dyDescent="0.45">
      <c r="A135" s="2"/>
    </row>
    <row r="136" spans="1:1" x14ac:dyDescent="0.45">
      <c r="A136" s="2"/>
    </row>
    <row r="137" spans="1:1" x14ac:dyDescent="0.45">
      <c r="A137" s="2"/>
    </row>
    <row r="138" spans="1:1" x14ac:dyDescent="0.45">
      <c r="A138" s="2"/>
    </row>
    <row r="139" spans="1:1" x14ac:dyDescent="0.45">
      <c r="A139" s="2"/>
    </row>
    <row r="140" spans="1:1" x14ac:dyDescent="0.45">
      <c r="A140" s="2"/>
    </row>
    <row r="141" spans="1:1" x14ac:dyDescent="0.45">
      <c r="A141" s="2"/>
    </row>
    <row r="142" spans="1:1" x14ac:dyDescent="0.45">
      <c r="A142" s="2"/>
    </row>
    <row r="143" spans="1:1" x14ac:dyDescent="0.45">
      <c r="A143" s="2"/>
    </row>
    <row r="144" spans="1:1" x14ac:dyDescent="0.45">
      <c r="A144" s="2"/>
    </row>
    <row r="145" spans="1:1" x14ac:dyDescent="0.45">
      <c r="A145" s="2"/>
    </row>
    <row r="146" spans="1:1" x14ac:dyDescent="0.45">
      <c r="A146" s="2"/>
    </row>
    <row r="147" spans="1:1" x14ac:dyDescent="0.45">
      <c r="A147" s="2"/>
    </row>
    <row r="148" spans="1:1" x14ac:dyDescent="0.45">
      <c r="A148" s="2"/>
    </row>
    <row r="149" spans="1:1" x14ac:dyDescent="0.45">
      <c r="A149" s="2"/>
    </row>
    <row r="150" spans="1:1" x14ac:dyDescent="0.45">
      <c r="A150" s="2"/>
    </row>
    <row r="151" spans="1:1" x14ac:dyDescent="0.45">
      <c r="A151" s="2"/>
    </row>
    <row r="152" spans="1:1" x14ac:dyDescent="0.45">
      <c r="A152" s="2"/>
    </row>
    <row r="153" spans="1:1" x14ac:dyDescent="0.45">
      <c r="A153" s="2"/>
    </row>
    <row r="154" spans="1:1" x14ac:dyDescent="0.45">
      <c r="A154" s="2"/>
    </row>
    <row r="155" spans="1:1" x14ac:dyDescent="0.45">
      <c r="A155" s="2"/>
    </row>
    <row r="156" spans="1:1" x14ac:dyDescent="0.45">
      <c r="A156" s="2"/>
    </row>
    <row r="157" spans="1:1" x14ac:dyDescent="0.45">
      <c r="A157" s="2"/>
    </row>
    <row r="158" spans="1:1" x14ac:dyDescent="0.45">
      <c r="A158" s="2"/>
    </row>
    <row r="159" spans="1:1" x14ac:dyDescent="0.45">
      <c r="A159" s="2"/>
    </row>
    <row r="160" spans="1:1" x14ac:dyDescent="0.45">
      <c r="A160" s="2"/>
    </row>
    <row r="161" spans="1:1" x14ac:dyDescent="0.45">
      <c r="A161" s="2"/>
    </row>
    <row r="162" spans="1:1" x14ac:dyDescent="0.45">
      <c r="A162" s="2"/>
    </row>
    <row r="163" spans="1:1" x14ac:dyDescent="0.45">
      <c r="A163" s="2"/>
    </row>
    <row r="164" spans="1:1" x14ac:dyDescent="0.45">
      <c r="A164" s="2"/>
    </row>
    <row r="165" spans="1:1" x14ac:dyDescent="0.45">
      <c r="A165" s="2"/>
    </row>
    <row r="166" spans="1:1" x14ac:dyDescent="0.45">
      <c r="A166" s="2"/>
    </row>
    <row r="167" spans="1:1" x14ac:dyDescent="0.45">
      <c r="A167" s="2"/>
    </row>
    <row r="168" spans="1:1" x14ac:dyDescent="0.45">
      <c r="A168" s="2"/>
    </row>
    <row r="169" spans="1:1" x14ac:dyDescent="0.45">
      <c r="A169" s="2"/>
    </row>
    <row r="170" spans="1:1" x14ac:dyDescent="0.45">
      <c r="A170" s="2"/>
    </row>
    <row r="171" spans="1:1" x14ac:dyDescent="0.45">
      <c r="A171" s="2"/>
    </row>
    <row r="172" spans="1:1" x14ac:dyDescent="0.45">
      <c r="A172" s="2"/>
    </row>
    <row r="173" spans="1:1" x14ac:dyDescent="0.45">
      <c r="A173" s="2"/>
    </row>
    <row r="174" spans="1:1" x14ac:dyDescent="0.45">
      <c r="A174" s="2"/>
    </row>
    <row r="175" spans="1:1" x14ac:dyDescent="0.45">
      <c r="A175" s="2"/>
    </row>
    <row r="176" spans="1:1" x14ac:dyDescent="0.45">
      <c r="A176" s="2"/>
    </row>
    <row r="177" spans="1:1" x14ac:dyDescent="0.45">
      <c r="A177" s="2"/>
    </row>
    <row r="178" spans="1:1" x14ac:dyDescent="0.45">
      <c r="A178" s="2"/>
    </row>
    <row r="179" spans="1:1" x14ac:dyDescent="0.45">
      <c r="A179" s="2"/>
    </row>
    <row r="180" spans="1:1" x14ac:dyDescent="0.45">
      <c r="A180" s="2"/>
    </row>
    <row r="181" spans="1:1" x14ac:dyDescent="0.45">
      <c r="A181" s="2"/>
    </row>
    <row r="182" spans="1:1" x14ac:dyDescent="0.45">
      <c r="A182" s="2"/>
    </row>
    <row r="183" spans="1:1" x14ac:dyDescent="0.45">
      <c r="A183" s="2"/>
    </row>
    <row r="184" spans="1:1" x14ac:dyDescent="0.45">
      <c r="A184" s="2"/>
    </row>
    <row r="185" spans="1:1" x14ac:dyDescent="0.45">
      <c r="A185" s="2"/>
    </row>
    <row r="186" spans="1:1" x14ac:dyDescent="0.45">
      <c r="A186" s="2"/>
    </row>
    <row r="187" spans="1:1" x14ac:dyDescent="0.45">
      <c r="A187" s="2"/>
    </row>
    <row r="188" spans="1:1" x14ac:dyDescent="0.45">
      <c r="A188" s="2"/>
    </row>
    <row r="189" spans="1:1" x14ac:dyDescent="0.45">
      <c r="A189" s="2"/>
    </row>
    <row r="190" spans="1:1" x14ac:dyDescent="0.45">
      <c r="A190" s="2"/>
    </row>
    <row r="191" spans="1:1" x14ac:dyDescent="0.45">
      <c r="A191" s="2"/>
    </row>
    <row r="192" spans="1:1" x14ac:dyDescent="0.45">
      <c r="A192" s="2"/>
    </row>
    <row r="193" spans="1:1" x14ac:dyDescent="0.45">
      <c r="A193" s="2"/>
    </row>
    <row r="194" spans="1:1" x14ac:dyDescent="0.45">
      <c r="A194" s="2"/>
    </row>
    <row r="195" spans="1:1" x14ac:dyDescent="0.45">
      <c r="A195" s="2"/>
    </row>
    <row r="196" spans="1:1" x14ac:dyDescent="0.45">
      <c r="A196" s="2"/>
    </row>
    <row r="197" spans="1:1" x14ac:dyDescent="0.45">
      <c r="A197" s="2"/>
    </row>
    <row r="198" spans="1:1" x14ac:dyDescent="0.45">
      <c r="A198" s="2"/>
    </row>
    <row r="199" spans="1:1" x14ac:dyDescent="0.45">
      <c r="A199" s="2"/>
    </row>
    <row r="200" spans="1:1" x14ac:dyDescent="0.45">
      <c r="A200" s="2"/>
    </row>
    <row r="201" spans="1:1" x14ac:dyDescent="0.45">
      <c r="A201" s="2"/>
    </row>
    <row r="202" spans="1:1" x14ac:dyDescent="0.45">
      <c r="A202" s="2"/>
    </row>
    <row r="203" spans="1:1" x14ac:dyDescent="0.45">
      <c r="A203" s="2"/>
    </row>
    <row r="204" spans="1:1" x14ac:dyDescent="0.45">
      <c r="A204" s="2"/>
    </row>
    <row r="205" spans="1:1" x14ac:dyDescent="0.45">
      <c r="A205" s="2"/>
    </row>
    <row r="206" spans="1:1" x14ac:dyDescent="0.45">
      <c r="A206" s="2"/>
    </row>
    <row r="207" spans="1:1" x14ac:dyDescent="0.45">
      <c r="A207" s="2"/>
    </row>
    <row r="208" spans="1:1" x14ac:dyDescent="0.45">
      <c r="A208" s="2"/>
    </row>
    <row r="209" spans="1:1" x14ac:dyDescent="0.45">
      <c r="A209" s="2"/>
    </row>
    <row r="210" spans="1:1" x14ac:dyDescent="0.45">
      <c r="A210" s="2"/>
    </row>
    <row r="211" spans="1:1" x14ac:dyDescent="0.45">
      <c r="A211" s="2"/>
    </row>
    <row r="212" spans="1:1" x14ac:dyDescent="0.45">
      <c r="A212" s="2"/>
    </row>
    <row r="213" spans="1:1" x14ac:dyDescent="0.45">
      <c r="A213" s="2"/>
    </row>
    <row r="214" spans="1:1" x14ac:dyDescent="0.45">
      <c r="A214" s="2"/>
    </row>
    <row r="215" spans="1:1" x14ac:dyDescent="0.45">
      <c r="A215" s="2"/>
    </row>
    <row r="216" spans="1:1" x14ac:dyDescent="0.45">
      <c r="A216" s="2"/>
    </row>
    <row r="217" spans="1:1" x14ac:dyDescent="0.45">
      <c r="A217" s="2"/>
    </row>
    <row r="218" spans="1:1" x14ac:dyDescent="0.45">
      <c r="A218" s="2"/>
    </row>
    <row r="219" spans="1:1" x14ac:dyDescent="0.45">
      <c r="A219" s="2"/>
    </row>
    <row r="220" spans="1:1" x14ac:dyDescent="0.45">
      <c r="A220" s="2"/>
    </row>
    <row r="221" spans="1:1" x14ac:dyDescent="0.45">
      <c r="A221" s="2"/>
    </row>
    <row r="222" spans="1:1" x14ac:dyDescent="0.45">
      <c r="A222" s="2"/>
    </row>
    <row r="223" spans="1:1" x14ac:dyDescent="0.45">
      <c r="A223" s="2"/>
    </row>
    <row r="224" spans="1:1" x14ac:dyDescent="0.45">
      <c r="A224" s="2"/>
    </row>
    <row r="225" spans="1:1" x14ac:dyDescent="0.45">
      <c r="A225" s="2"/>
    </row>
    <row r="226" spans="1:1" x14ac:dyDescent="0.45">
      <c r="A226" s="2"/>
    </row>
    <row r="227" spans="1:1" x14ac:dyDescent="0.45">
      <c r="A227" s="2"/>
    </row>
    <row r="228" spans="1:1" x14ac:dyDescent="0.45">
      <c r="A228" s="2"/>
    </row>
    <row r="229" spans="1:1" x14ac:dyDescent="0.45">
      <c r="A229" s="2"/>
    </row>
    <row r="230" spans="1:1" x14ac:dyDescent="0.45">
      <c r="A230" s="2"/>
    </row>
    <row r="231" spans="1:1" x14ac:dyDescent="0.45">
      <c r="A231" s="2"/>
    </row>
    <row r="232" spans="1:1" x14ac:dyDescent="0.45">
      <c r="A232" s="2"/>
    </row>
    <row r="233" spans="1:1" x14ac:dyDescent="0.45">
      <c r="A233" s="2"/>
    </row>
    <row r="234" spans="1:1" x14ac:dyDescent="0.45">
      <c r="A234" s="2"/>
    </row>
    <row r="235" spans="1:1" x14ac:dyDescent="0.45">
      <c r="A235" s="2"/>
    </row>
    <row r="236" spans="1:1" x14ac:dyDescent="0.45">
      <c r="A236" s="2"/>
    </row>
    <row r="237" spans="1:1" x14ac:dyDescent="0.45">
      <c r="A237" s="2"/>
    </row>
    <row r="238" spans="1:1" x14ac:dyDescent="0.45">
      <c r="A238" s="2"/>
    </row>
    <row r="239" spans="1:1" x14ac:dyDescent="0.45">
      <c r="A239" s="2"/>
    </row>
    <row r="240" spans="1:1" x14ac:dyDescent="0.45">
      <c r="A240" s="2"/>
    </row>
    <row r="241" spans="1:1" x14ac:dyDescent="0.45">
      <c r="A241" s="2"/>
    </row>
    <row r="242" spans="1:1" x14ac:dyDescent="0.45">
      <c r="A242" s="2"/>
    </row>
    <row r="243" spans="1:1" x14ac:dyDescent="0.45">
      <c r="A243" s="2"/>
    </row>
    <row r="244" spans="1:1" x14ac:dyDescent="0.45">
      <c r="A244" s="2"/>
    </row>
    <row r="245" spans="1:1" x14ac:dyDescent="0.45">
      <c r="A245" s="2"/>
    </row>
    <row r="246" spans="1:1" x14ac:dyDescent="0.45">
      <c r="A246" s="2"/>
    </row>
    <row r="247" spans="1:1" x14ac:dyDescent="0.45">
      <c r="A247" s="2"/>
    </row>
    <row r="248" spans="1:1" x14ac:dyDescent="0.45">
      <c r="A248" s="2"/>
    </row>
    <row r="249" spans="1:1" x14ac:dyDescent="0.45">
      <c r="A249" s="2"/>
    </row>
    <row r="250" spans="1:1" x14ac:dyDescent="0.45">
      <c r="A250" s="2"/>
    </row>
    <row r="251" spans="1:1" x14ac:dyDescent="0.45">
      <c r="A251" s="2"/>
    </row>
    <row r="252" spans="1:1" x14ac:dyDescent="0.45">
      <c r="A252" s="2"/>
    </row>
    <row r="253" spans="1:1" x14ac:dyDescent="0.45">
      <c r="A253" s="2"/>
    </row>
    <row r="254" spans="1:1" x14ac:dyDescent="0.45">
      <c r="A254" s="2"/>
    </row>
    <row r="255" spans="1:1" x14ac:dyDescent="0.45">
      <c r="A255" s="2"/>
    </row>
    <row r="256" spans="1:1" x14ac:dyDescent="0.45">
      <c r="A256" s="2"/>
    </row>
    <row r="257" spans="1:1" x14ac:dyDescent="0.45">
      <c r="A257" s="2"/>
    </row>
    <row r="258" spans="1:1" x14ac:dyDescent="0.45">
      <c r="A258" s="2"/>
    </row>
    <row r="259" spans="1:1" x14ac:dyDescent="0.45">
      <c r="A259" s="2"/>
    </row>
    <row r="260" spans="1:1" x14ac:dyDescent="0.45">
      <c r="A260" s="2"/>
    </row>
    <row r="261" spans="1:1" x14ac:dyDescent="0.45">
      <c r="A261" s="2"/>
    </row>
    <row r="262" spans="1:1" x14ac:dyDescent="0.45">
      <c r="A262" s="2"/>
    </row>
    <row r="263" spans="1:1" x14ac:dyDescent="0.45">
      <c r="A263" s="2"/>
    </row>
    <row r="264" spans="1:1" x14ac:dyDescent="0.45">
      <c r="A264" s="2"/>
    </row>
    <row r="265" spans="1:1" x14ac:dyDescent="0.45">
      <c r="A265" s="2"/>
    </row>
    <row r="266" spans="1:1" x14ac:dyDescent="0.45">
      <c r="A266" s="2"/>
    </row>
    <row r="267" spans="1:1" x14ac:dyDescent="0.45">
      <c r="A267" s="2"/>
    </row>
    <row r="268" spans="1:1" x14ac:dyDescent="0.45">
      <c r="A268" s="2"/>
    </row>
    <row r="269" spans="1:1" x14ac:dyDescent="0.45">
      <c r="A269" s="2"/>
    </row>
    <row r="270" spans="1:1" x14ac:dyDescent="0.45">
      <c r="A270" s="2"/>
    </row>
    <row r="271" spans="1:1" x14ac:dyDescent="0.45">
      <c r="A271" s="2"/>
    </row>
    <row r="272" spans="1:1" x14ac:dyDescent="0.45">
      <c r="A272" s="2"/>
    </row>
    <row r="273" spans="1:1" x14ac:dyDescent="0.45">
      <c r="A273" s="2"/>
    </row>
    <row r="274" spans="1:1" x14ac:dyDescent="0.45">
      <c r="A274" s="2"/>
    </row>
    <row r="275" spans="1:1" x14ac:dyDescent="0.45">
      <c r="A275" s="2"/>
    </row>
    <row r="276" spans="1:1" x14ac:dyDescent="0.45">
      <c r="A276" s="2"/>
    </row>
    <row r="277" spans="1:1" x14ac:dyDescent="0.45">
      <c r="A277" s="2"/>
    </row>
    <row r="278" spans="1:1" x14ac:dyDescent="0.45">
      <c r="A278" s="2"/>
    </row>
    <row r="279" spans="1:1" x14ac:dyDescent="0.45">
      <c r="A279" s="2"/>
    </row>
    <row r="280" spans="1:1" x14ac:dyDescent="0.45">
      <c r="A280" s="2"/>
    </row>
    <row r="281" spans="1:1" x14ac:dyDescent="0.45">
      <c r="A281" s="2"/>
    </row>
    <row r="282" spans="1:1" x14ac:dyDescent="0.45">
      <c r="A282" s="2"/>
    </row>
    <row r="283" spans="1:1" x14ac:dyDescent="0.45">
      <c r="A283" s="2"/>
    </row>
    <row r="284" spans="1:1" x14ac:dyDescent="0.45">
      <c r="A284" s="2"/>
    </row>
    <row r="285" spans="1:1" x14ac:dyDescent="0.45">
      <c r="A285" s="2"/>
    </row>
    <row r="286" spans="1:1" x14ac:dyDescent="0.45">
      <c r="A286" s="2"/>
    </row>
    <row r="287" spans="1:1" x14ac:dyDescent="0.45">
      <c r="A287" s="2"/>
    </row>
    <row r="288" spans="1:1" x14ac:dyDescent="0.45">
      <c r="A288" s="2"/>
    </row>
    <row r="289" spans="1:1" x14ac:dyDescent="0.45">
      <c r="A289" s="2"/>
    </row>
    <row r="290" spans="1:1" x14ac:dyDescent="0.45">
      <c r="A290" s="2"/>
    </row>
    <row r="291" spans="1:1" x14ac:dyDescent="0.45">
      <c r="A291" s="2"/>
    </row>
    <row r="292" spans="1:1" x14ac:dyDescent="0.45">
      <c r="A292" s="2"/>
    </row>
    <row r="293" spans="1:1" x14ac:dyDescent="0.45">
      <c r="A293" s="2"/>
    </row>
    <row r="294" spans="1:1" x14ac:dyDescent="0.45">
      <c r="A294" s="2"/>
    </row>
    <row r="295" spans="1:1" x14ac:dyDescent="0.45">
      <c r="A295" s="2"/>
    </row>
    <row r="296" spans="1:1" x14ac:dyDescent="0.45">
      <c r="A296" s="2"/>
    </row>
    <row r="297" spans="1:1" x14ac:dyDescent="0.45">
      <c r="A297" s="2"/>
    </row>
    <row r="298" spans="1:1" x14ac:dyDescent="0.45">
      <c r="A298" s="2"/>
    </row>
    <row r="299" spans="1:1" x14ac:dyDescent="0.45">
      <c r="A299" s="2"/>
    </row>
    <row r="300" spans="1:1" x14ac:dyDescent="0.45">
      <c r="A300" s="2"/>
    </row>
    <row r="301" spans="1:1" x14ac:dyDescent="0.45">
      <c r="A301" s="2"/>
    </row>
    <row r="302" spans="1:1" x14ac:dyDescent="0.45">
      <c r="A302" s="2"/>
    </row>
    <row r="303" spans="1:1" x14ac:dyDescent="0.45">
      <c r="A303" s="2"/>
    </row>
    <row r="304" spans="1:1" x14ac:dyDescent="0.45">
      <c r="A304" s="2"/>
    </row>
    <row r="305" spans="1:1" x14ac:dyDescent="0.45">
      <c r="A305" s="2"/>
    </row>
    <row r="306" spans="1:1" x14ac:dyDescent="0.45">
      <c r="A306" s="2"/>
    </row>
    <row r="307" spans="1:1" x14ac:dyDescent="0.45">
      <c r="A307" s="2"/>
    </row>
    <row r="308" spans="1:1" x14ac:dyDescent="0.45">
      <c r="A308" s="2"/>
    </row>
    <row r="309" spans="1:1" x14ac:dyDescent="0.45">
      <c r="A309" s="2"/>
    </row>
    <row r="310" spans="1:1" x14ac:dyDescent="0.45">
      <c r="A310" s="2"/>
    </row>
    <row r="311" spans="1:1" x14ac:dyDescent="0.45">
      <c r="A311" s="2"/>
    </row>
    <row r="312" spans="1:1" x14ac:dyDescent="0.45">
      <c r="A312" s="2"/>
    </row>
    <row r="313" spans="1:1" x14ac:dyDescent="0.45">
      <c r="A313" s="2"/>
    </row>
    <row r="314" spans="1:1" x14ac:dyDescent="0.45">
      <c r="A314" s="2"/>
    </row>
    <row r="315" spans="1:1" x14ac:dyDescent="0.45">
      <c r="A315" s="2"/>
    </row>
    <row r="316" spans="1:1" x14ac:dyDescent="0.45">
      <c r="A316" s="2"/>
    </row>
    <row r="317" spans="1:1" x14ac:dyDescent="0.45">
      <c r="A317" s="2"/>
    </row>
    <row r="318" spans="1:1" x14ac:dyDescent="0.45">
      <c r="A318" s="2"/>
    </row>
    <row r="319" spans="1:1" x14ac:dyDescent="0.45">
      <c r="A319" s="2"/>
    </row>
    <row r="320" spans="1:1" x14ac:dyDescent="0.45">
      <c r="A320" s="2"/>
    </row>
    <row r="321" spans="1:1" x14ac:dyDescent="0.45">
      <c r="A321" s="2"/>
    </row>
    <row r="322" spans="1:1" x14ac:dyDescent="0.45">
      <c r="A322" s="2"/>
    </row>
    <row r="323" spans="1:1" x14ac:dyDescent="0.45">
      <c r="A323" s="2"/>
    </row>
    <row r="324" spans="1:1" x14ac:dyDescent="0.45">
      <c r="A324" s="2"/>
    </row>
    <row r="325" spans="1:1" x14ac:dyDescent="0.45">
      <c r="A325" s="2"/>
    </row>
    <row r="326" spans="1:1" x14ac:dyDescent="0.45">
      <c r="A326" s="2"/>
    </row>
    <row r="327" spans="1:1" x14ac:dyDescent="0.45">
      <c r="A327" s="2"/>
    </row>
    <row r="328" spans="1:1" x14ac:dyDescent="0.45">
      <c r="A328" s="2"/>
    </row>
    <row r="329" spans="1:1" x14ac:dyDescent="0.45">
      <c r="A329" s="2"/>
    </row>
    <row r="330" spans="1:1" x14ac:dyDescent="0.45">
      <c r="A330" s="2"/>
    </row>
    <row r="331" spans="1:1" x14ac:dyDescent="0.45">
      <c r="A331" s="2"/>
    </row>
    <row r="332" spans="1:1" x14ac:dyDescent="0.45">
      <c r="A332" s="2"/>
    </row>
    <row r="333" spans="1:1" x14ac:dyDescent="0.45">
      <c r="A333" s="2"/>
    </row>
    <row r="334" spans="1:1" x14ac:dyDescent="0.45">
      <c r="A334" s="2"/>
    </row>
    <row r="335" spans="1:1" x14ac:dyDescent="0.45">
      <c r="A335" s="2"/>
    </row>
    <row r="336" spans="1:1" x14ac:dyDescent="0.45">
      <c r="A336" s="2"/>
    </row>
    <row r="337" spans="1:1" x14ac:dyDescent="0.45">
      <c r="A337" s="2"/>
    </row>
    <row r="338" spans="1:1" x14ac:dyDescent="0.45">
      <c r="A338" s="2"/>
    </row>
    <row r="339" spans="1:1" x14ac:dyDescent="0.45">
      <c r="A339" s="2"/>
    </row>
    <row r="340" spans="1:1" x14ac:dyDescent="0.45">
      <c r="A340" s="2"/>
    </row>
    <row r="341" spans="1:1" x14ac:dyDescent="0.45">
      <c r="A341" s="2"/>
    </row>
    <row r="342" spans="1:1" x14ac:dyDescent="0.45">
      <c r="A342" s="2"/>
    </row>
    <row r="343" spans="1:1" x14ac:dyDescent="0.45">
      <c r="A343" s="2"/>
    </row>
    <row r="344" spans="1:1" x14ac:dyDescent="0.45">
      <c r="A344" s="2"/>
    </row>
    <row r="345" spans="1:1" x14ac:dyDescent="0.45">
      <c r="A345" s="2"/>
    </row>
    <row r="346" spans="1:1" x14ac:dyDescent="0.45">
      <c r="A346" s="2"/>
    </row>
    <row r="347" spans="1:1" x14ac:dyDescent="0.45">
      <c r="A347" s="2"/>
    </row>
    <row r="348" spans="1:1" x14ac:dyDescent="0.45">
      <c r="A348" s="2"/>
    </row>
    <row r="349" spans="1:1" x14ac:dyDescent="0.45">
      <c r="A349" s="2"/>
    </row>
    <row r="350" spans="1:1" x14ac:dyDescent="0.45">
      <c r="A350" s="2"/>
    </row>
    <row r="351" spans="1:1" x14ac:dyDescent="0.45">
      <c r="A351" s="2"/>
    </row>
    <row r="352" spans="1:1" x14ac:dyDescent="0.45">
      <c r="A352" s="2"/>
    </row>
    <row r="353" spans="1:1" x14ac:dyDescent="0.45">
      <c r="A353" s="2"/>
    </row>
    <row r="354" spans="1:1" x14ac:dyDescent="0.45">
      <c r="A354" s="2"/>
    </row>
    <row r="355" spans="1:1" x14ac:dyDescent="0.45">
      <c r="A355" s="2"/>
    </row>
    <row r="356" spans="1:1" x14ac:dyDescent="0.45">
      <c r="A356" s="2"/>
    </row>
    <row r="357" spans="1:1" x14ac:dyDescent="0.45">
      <c r="A357" s="2"/>
    </row>
    <row r="358" spans="1:1" x14ac:dyDescent="0.45">
      <c r="A358" s="2"/>
    </row>
    <row r="359" spans="1:1" x14ac:dyDescent="0.45">
      <c r="A359" s="2"/>
    </row>
    <row r="360" spans="1:1" x14ac:dyDescent="0.45">
      <c r="A360" s="2"/>
    </row>
    <row r="361" spans="1:1" x14ac:dyDescent="0.45">
      <c r="A361" s="2"/>
    </row>
    <row r="362" spans="1:1" x14ac:dyDescent="0.45">
      <c r="A362" s="2"/>
    </row>
    <row r="363" spans="1:1" x14ac:dyDescent="0.45">
      <c r="A363" s="2"/>
    </row>
    <row r="364" spans="1:1" x14ac:dyDescent="0.4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F14" sqref="F14"/>
    </sheetView>
  </sheetViews>
  <sheetFormatPr baseColWidth="10" defaultRowHeight="14.25" x14ac:dyDescent="0.45"/>
  <sheetData>
    <row r="1" spans="1:12" x14ac:dyDescent="0.45">
      <c r="A1" s="3" t="s">
        <v>37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</row>
    <row r="2" spans="1:12" x14ac:dyDescent="0.45">
      <c r="A2" s="3">
        <v>0</v>
      </c>
      <c r="B2" s="1">
        <v>5.5555555555555556E-4</v>
      </c>
      <c r="C2" s="1">
        <v>5.5555555555555556E-4</v>
      </c>
      <c r="D2" s="1">
        <v>5.5555555555555556E-4</v>
      </c>
      <c r="E2" s="1">
        <v>5.5555555555555556E-4</v>
      </c>
      <c r="F2" s="1">
        <v>5.5555555555555556E-4</v>
      </c>
      <c r="G2" s="1"/>
      <c r="H2" s="1"/>
      <c r="I2" s="1"/>
      <c r="J2" s="1"/>
      <c r="K2" s="1"/>
      <c r="L2" s="1"/>
    </row>
    <row r="3" spans="1:12" x14ac:dyDescent="0.45">
      <c r="A3" s="3">
        <v>3600000</v>
      </c>
      <c r="B3" s="1">
        <v>5.5555555555555556E-4</v>
      </c>
      <c r="C3" s="1">
        <v>5.5555555555555556E-4</v>
      </c>
      <c r="D3" s="1">
        <v>5.5555555555555556E-4</v>
      </c>
      <c r="E3" s="1">
        <v>5.5555555555555556E-4</v>
      </c>
      <c r="F3" s="1">
        <v>5.5555555555555556E-4</v>
      </c>
      <c r="G3" s="1"/>
      <c r="H3" s="1"/>
      <c r="I3" s="1"/>
      <c r="J3" s="1"/>
      <c r="K3" s="1"/>
      <c r="L3" s="1"/>
    </row>
    <row r="4" spans="1:12" x14ac:dyDescent="0.45">
      <c r="A4" s="3">
        <v>400000000</v>
      </c>
      <c r="B4" s="1">
        <v>5.5555555555555556E-4</v>
      </c>
      <c r="C4" s="1">
        <v>5.5555555555555556E-4</v>
      </c>
      <c r="D4" s="1">
        <v>5.5555555555555556E-4</v>
      </c>
      <c r="E4" s="1">
        <v>5.5555555555555556E-4</v>
      </c>
      <c r="F4" s="1">
        <v>5.5555555555555556E-4</v>
      </c>
      <c r="G4" s="1"/>
    </row>
    <row r="5" spans="1:12" x14ac:dyDescent="0.45">
      <c r="B5" s="1"/>
      <c r="C5" s="1"/>
      <c r="D5" s="1"/>
      <c r="E5" s="1"/>
      <c r="F5" s="1"/>
      <c r="G5" s="1"/>
    </row>
    <row r="6" spans="1:12" x14ac:dyDescent="0.45">
      <c r="B6" s="1"/>
      <c r="C6" s="1"/>
      <c r="D6" s="1"/>
      <c r="E6" s="1"/>
      <c r="F6" s="1"/>
    </row>
    <row r="7" spans="1:12" x14ac:dyDescent="0.45">
      <c r="B7" s="1"/>
      <c r="C7" s="2"/>
      <c r="D7" s="2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tabSelected="1" workbookViewId="0">
      <selection activeCell="B12" sqref="B12"/>
    </sheetView>
  </sheetViews>
  <sheetFormatPr baseColWidth="10" defaultColWidth="9.06640625" defaultRowHeight="14.25" x14ac:dyDescent="0.45"/>
  <cols>
    <col min="1" max="1" width="11.6640625" bestFit="1" customWidth="1"/>
    <col min="8" max="8" width="21.59765625" bestFit="1" customWidth="1"/>
    <col min="9" max="9" width="11.59765625" bestFit="1" customWidth="1"/>
  </cols>
  <sheetData>
    <row r="1" spans="1:8" x14ac:dyDescent="0.45">
      <c r="A1" s="4" t="s">
        <v>43</v>
      </c>
      <c r="B1" s="4" t="s">
        <v>44</v>
      </c>
      <c r="C1" s="4" t="s">
        <v>45</v>
      </c>
      <c r="D1" s="4" t="s">
        <v>46</v>
      </c>
      <c r="E1" s="4" t="s">
        <v>47</v>
      </c>
      <c r="F1" s="4" t="s">
        <v>48</v>
      </c>
      <c r="G1" s="4" t="s">
        <v>49</v>
      </c>
      <c r="H1" s="4" t="s">
        <v>32</v>
      </c>
    </row>
    <row r="2" spans="1:8" x14ac:dyDescent="0.45">
      <c r="A2" s="4" t="s">
        <v>50</v>
      </c>
      <c r="B2">
        <v>100</v>
      </c>
      <c r="C2">
        <v>225</v>
      </c>
      <c r="D2">
        <v>275</v>
      </c>
      <c r="E2" t="s">
        <v>51</v>
      </c>
      <c r="F2" t="s">
        <v>52</v>
      </c>
      <c r="G2">
        <v>25</v>
      </c>
      <c r="H2" t="s">
        <v>53</v>
      </c>
    </row>
    <row r="3" spans="1:8" x14ac:dyDescent="0.45">
      <c r="A3" s="4" t="s">
        <v>54</v>
      </c>
      <c r="B3" s="1">
        <v>1E-8</v>
      </c>
      <c r="C3">
        <v>9.0000000000000002E-6</v>
      </c>
      <c r="D3">
        <v>1.1E-5</v>
      </c>
      <c r="E3" t="s">
        <v>51</v>
      </c>
      <c r="F3" t="s">
        <v>52</v>
      </c>
      <c r="G3">
        <v>25</v>
      </c>
      <c r="H3" t="s">
        <v>55</v>
      </c>
    </row>
    <row r="4" spans="1:8" x14ac:dyDescent="0.45">
      <c r="A4" s="4" t="s">
        <v>56</v>
      </c>
      <c r="B4">
        <v>100</v>
      </c>
      <c r="C4">
        <v>22.5</v>
      </c>
      <c r="D4">
        <v>27.5</v>
      </c>
      <c r="E4" t="s">
        <v>51</v>
      </c>
      <c r="F4" t="s">
        <v>52</v>
      </c>
      <c r="G4">
        <v>25</v>
      </c>
      <c r="H4" t="s">
        <v>57</v>
      </c>
    </row>
    <row r="5" spans="1:8" x14ac:dyDescent="0.45">
      <c r="A5" s="4" t="s">
        <v>58</v>
      </c>
      <c r="B5" s="1">
        <v>1E-8</v>
      </c>
      <c r="C5">
        <v>9.0000000000000002E-6</v>
      </c>
      <c r="D5">
        <v>1.1E-5</v>
      </c>
      <c r="E5" t="s">
        <v>51</v>
      </c>
      <c r="F5" t="s">
        <v>52</v>
      </c>
      <c r="G5">
        <v>25</v>
      </c>
      <c r="H5" t="s">
        <v>59</v>
      </c>
    </row>
    <row r="6" spans="1:8" x14ac:dyDescent="0.45">
      <c r="A6" s="4" t="s">
        <v>60</v>
      </c>
      <c r="B6">
        <v>100</v>
      </c>
      <c r="C6">
        <v>22.5</v>
      </c>
      <c r="D6">
        <v>27.5</v>
      </c>
      <c r="E6" t="s">
        <v>51</v>
      </c>
      <c r="F6" t="s">
        <v>52</v>
      </c>
      <c r="G6">
        <v>25</v>
      </c>
      <c r="H6" t="s">
        <v>61</v>
      </c>
    </row>
    <row r="7" spans="1:8" x14ac:dyDescent="0.45">
      <c r="A7" s="4" t="s">
        <v>62</v>
      </c>
      <c r="B7">
        <v>100</v>
      </c>
      <c r="C7">
        <v>22.5</v>
      </c>
      <c r="D7">
        <v>27.5</v>
      </c>
      <c r="E7" t="s">
        <v>51</v>
      </c>
      <c r="F7" t="s">
        <v>52</v>
      </c>
      <c r="G7">
        <v>25</v>
      </c>
      <c r="H7" t="s">
        <v>53</v>
      </c>
    </row>
    <row r="8" spans="1:8" x14ac:dyDescent="0.45">
      <c r="A8" s="4" t="s">
        <v>63</v>
      </c>
      <c r="B8" s="1">
        <v>1E-8</v>
      </c>
      <c r="C8">
        <v>9.0000000000000017E-7</v>
      </c>
      <c r="D8">
        <v>1.1000000000000001E-6</v>
      </c>
      <c r="E8" t="s">
        <v>51</v>
      </c>
      <c r="F8" t="s">
        <v>52</v>
      </c>
      <c r="G8">
        <v>25</v>
      </c>
      <c r="H8" t="s">
        <v>55</v>
      </c>
    </row>
    <row r="9" spans="1:8" x14ac:dyDescent="0.45">
      <c r="A9" s="4" t="s">
        <v>64</v>
      </c>
      <c r="B9">
        <v>100</v>
      </c>
      <c r="C9">
        <v>2.25</v>
      </c>
      <c r="D9">
        <v>2.75</v>
      </c>
      <c r="E9" t="s">
        <v>51</v>
      </c>
      <c r="F9" t="s">
        <v>52</v>
      </c>
      <c r="G9">
        <v>25</v>
      </c>
      <c r="H9" t="s">
        <v>57</v>
      </c>
    </row>
    <row r="10" spans="1:8" x14ac:dyDescent="0.45">
      <c r="A10" s="4" t="s">
        <v>65</v>
      </c>
      <c r="B10" s="1">
        <v>1E-8</v>
      </c>
      <c r="C10">
        <v>9.0000000000000017E-7</v>
      </c>
      <c r="D10">
        <v>1.1000000000000001E-6</v>
      </c>
      <c r="E10" t="s">
        <v>51</v>
      </c>
      <c r="F10" t="s">
        <v>52</v>
      </c>
      <c r="G10">
        <v>25</v>
      </c>
      <c r="H10" t="s">
        <v>59</v>
      </c>
    </row>
    <row r="11" spans="1:8" x14ac:dyDescent="0.45">
      <c r="A11" s="4" t="s">
        <v>66</v>
      </c>
      <c r="B11">
        <v>100</v>
      </c>
      <c r="C11">
        <v>2.25</v>
      </c>
      <c r="D11">
        <v>2.75</v>
      </c>
      <c r="E11" t="s">
        <v>51</v>
      </c>
      <c r="F11" t="s">
        <v>52</v>
      </c>
      <c r="G11">
        <v>25</v>
      </c>
      <c r="H11" t="s">
        <v>61</v>
      </c>
    </row>
    <row r="12" spans="1:8" x14ac:dyDescent="0.45">
      <c r="A12" s="4" t="s">
        <v>67</v>
      </c>
      <c r="B12">
        <v>0.15</v>
      </c>
      <c r="C12">
        <v>0.22500000000000001</v>
      </c>
      <c r="D12">
        <v>0.27500000000000002</v>
      </c>
      <c r="E12" t="s">
        <v>51</v>
      </c>
      <c r="F12" t="s">
        <v>68</v>
      </c>
      <c r="G12">
        <v>0</v>
      </c>
      <c r="H12" t="s">
        <v>53</v>
      </c>
    </row>
    <row r="13" spans="1:8" x14ac:dyDescent="0.45">
      <c r="A13" s="4" t="s">
        <v>69</v>
      </c>
      <c r="B13">
        <v>0.15</v>
      </c>
      <c r="C13">
        <v>0.22500000000000001</v>
      </c>
      <c r="D13">
        <v>0.27500000000000002</v>
      </c>
      <c r="E13" t="s">
        <v>51</v>
      </c>
      <c r="F13" t="s">
        <v>68</v>
      </c>
      <c r="G13">
        <v>0</v>
      </c>
      <c r="H13" t="s">
        <v>55</v>
      </c>
    </row>
    <row r="14" spans="1:8" x14ac:dyDescent="0.45">
      <c r="A14" s="4" t="s">
        <v>70</v>
      </c>
      <c r="B14">
        <v>0.15</v>
      </c>
      <c r="C14">
        <v>0.22500000000000001</v>
      </c>
      <c r="D14">
        <v>0.27500000000000002</v>
      </c>
      <c r="E14" t="s">
        <v>51</v>
      </c>
      <c r="F14" t="s">
        <v>68</v>
      </c>
      <c r="G14">
        <v>0</v>
      </c>
      <c r="H14" t="s">
        <v>57</v>
      </c>
    </row>
    <row r="15" spans="1:8" x14ac:dyDescent="0.45">
      <c r="A15" s="4" t="s">
        <v>71</v>
      </c>
      <c r="B15">
        <v>0.15</v>
      </c>
      <c r="C15">
        <v>0.22500000000000001</v>
      </c>
      <c r="D15">
        <v>0.27500000000000002</v>
      </c>
      <c r="E15" t="s">
        <v>51</v>
      </c>
      <c r="F15" t="s">
        <v>68</v>
      </c>
      <c r="G15">
        <v>0</v>
      </c>
      <c r="H15" t="s">
        <v>59</v>
      </c>
    </row>
    <row r="16" spans="1:8" x14ac:dyDescent="0.45">
      <c r="A16" s="4" t="s">
        <v>72</v>
      </c>
      <c r="B16">
        <v>0.15</v>
      </c>
      <c r="C16">
        <v>0.22500000000000001</v>
      </c>
      <c r="D16">
        <v>0.27500000000000002</v>
      </c>
      <c r="E16" t="s">
        <v>51</v>
      </c>
      <c r="F16" t="s">
        <v>68</v>
      </c>
      <c r="G16">
        <v>0</v>
      </c>
      <c r="H16" t="s">
        <v>61</v>
      </c>
    </row>
    <row r="17" spans="1:8" x14ac:dyDescent="0.45">
      <c r="A17" s="4" t="s">
        <v>73</v>
      </c>
      <c r="B17" s="1">
        <v>1E-4</v>
      </c>
      <c r="C17">
        <v>9.0000000000000002E-6</v>
      </c>
      <c r="D17">
        <v>1.1E-5</v>
      </c>
      <c r="E17" t="s">
        <v>51</v>
      </c>
      <c r="F17" t="s">
        <v>68</v>
      </c>
      <c r="G17">
        <v>0</v>
      </c>
      <c r="H17" t="s">
        <v>53</v>
      </c>
    </row>
    <row r="18" spans="1:8" x14ac:dyDescent="0.45">
      <c r="A18" s="4" t="s">
        <v>74</v>
      </c>
      <c r="B18" s="1">
        <v>1E-4</v>
      </c>
      <c r="C18">
        <v>9.0000000000000002E-6</v>
      </c>
      <c r="D18">
        <v>1.1E-5</v>
      </c>
      <c r="E18" t="s">
        <v>51</v>
      </c>
      <c r="F18" t="s">
        <v>68</v>
      </c>
      <c r="G18">
        <v>0</v>
      </c>
      <c r="H18" t="s">
        <v>55</v>
      </c>
    </row>
    <row r="19" spans="1:8" x14ac:dyDescent="0.45">
      <c r="A19" s="4" t="s">
        <v>75</v>
      </c>
      <c r="B19" s="1">
        <v>1E-4</v>
      </c>
      <c r="C19">
        <v>9.0000000000000002E-6</v>
      </c>
      <c r="D19">
        <v>1.1E-5</v>
      </c>
      <c r="E19" t="s">
        <v>51</v>
      </c>
      <c r="F19" t="s">
        <v>68</v>
      </c>
      <c r="G19">
        <v>0</v>
      </c>
      <c r="H19" t="s">
        <v>57</v>
      </c>
    </row>
    <row r="20" spans="1:8" x14ac:dyDescent="0.45">
      <c r="A20" s="4" t="s">
        <v>76</v>
      </c>
      <c r="B20" s="1">
        <v>1E-4</v>
      </c>
      <c r="C20">
        <v>9.0000000000000002E-6</v>
      </c>
      <c r="D20">
        <v>1.1E-5</v>
      </c>
      <c r="E20" t="s">
        <v>51</v>
      </c>
      <c r="F20" t="s">
        <v>68</v>
      </c>
      <c r="G20">
        <v>0</v>
      </c>
      <c r="H20" t="s">
        <v>59</v>
      </c>
    </row>
    <row r="21" spans="1:8" x14ac:dyDescent="0.45">
      <c r="A21" s="4" t="s">
        <v>77</v>
      </c>
      <c r="B21" s="1">
        <v>1E-4</v>
      </c>
      <c r="C21">
        <v>9.0000000000000002E-6</v>
      </c>
      <c r="D21">
        <v>1.1E-5</v>
      </c>
      <c r="E21" t="s">
        <v>51</v>
      </c>
      <c r="F21" t="s">
        <v>68</v>
      </c>
      <c r="G21">
        <v>0</v>
      </c>
      <c r="H21" t="s">
        <v>61</v>
      </c>
    </row>
    <row r="22" spans="1:8" x14ac:dyDescent="0.45">
      <c r="A22" s="4" t="s">
        <v>38</v>
      </c>
      <c r="B22" s="1">
        <v>5.5555555555555556E-4</v>
      </c>
      <c r="C22">
        <v>3.1154231364886891E-4</v>
      </c>
      <c r="D22">
        <v>3.807739389041731E-4</v>
      </c>
      <c r="E22" t="s">
        <v>78</v>
      </c>
      <c r="F22" t="s">
        <v>68</v>
      </c>
      <c r="G22">
        <v>0</v>
      </c>
      <c r="H22" t="s">
        <v>53</v>
      </c>
    </row>
    <row r="23" spans="1:8" x14ac:dyDescent="0.45">
      <c r="A23" s="4" t="s">
        <v>39</v>
      </c>
      <c r="B23" s="1">
        <v>5.5555555555555556E-4</v>
      </c>
      <c r="C23">
        <v>3.1154231364886891E-5</v>
      </c>
      <c r="D23">
        <v>3.8077393890417307E-5</v>
      </c>
      <c r="E23" t="s">
        <v>78</v>
      </c>
      <c r="F23" t="s">
        <v>68</v>
      </c>
      <c r="G23">
        <v>0</v>
      </c>
      <c r="H23" t="s">
        <v>55</v>
      </c>
    </row>
    <row r="24" spans="1:8" x14ac:dyDescent="0.45">
      <c r="A24" s="4" t="s">
        <v>40</v>
      </c>
      <c r="B24" s="1">
        <v>5.5555555555555556E-4</v>
      </c>
      <c r="C24">
        <v>3.1154231364886891E-4</v>
      </c>
      <c r="D24">
        <v>3.807739389041731E-4</v>
      </c>
      <c r="E24" t="s">
        <v>78</v>
      </c>
      <c r="F24" t="s">
        <v>68</v>
      </c>
      <c r="G24">
        <v>0</v>
      </c>
      <c r="H24" t="s">
        <v>57</v>
      </c>
    </row>
    <row r="25" spans="1:8" x14ac:dyDescent="0.45">
      <c r="A25" s="4" t="s">
        <v>41</v>
      </c>
      <c r="B25" s="1">
        <v>5.5555555555555556E-4</v>
      </c>
      <c r="C25">
        <v>3.1154231364886891E-5</v>
      </c>
      <c r="D25">
        <v>3.8077393890417307E-5</v>
      </c>
      <c r="E25" t="s">
        <v>78</v>
      </c>
      <c r="F25" t="s">
        <v>68</v>
      </c>
      <c r="G25">
        <v>0</v>
      </c>
      <c r="H25" t="s">
        <v>59</v>
      </c>
    </row>
    <row r="26" spans="1:8" x14ac:dyDescent="0.45">
      <c r="A26" s="4" t="s">
        <v>42</v>
      </c>
      <c r="B26" s="1">
        <v>5.5555555555555556E-4</v>
      </c>
      <c r="C26">
        <v>3.1154231364886891E-4</v>
      </c>
      <c r="D26">
        <v>3.807739389041731E-4</v>
      </c>
      <c r="E26" t="s">
        <v>78</v>
      </c>
      <c r="F26" t="s">
        <v>68</v>
      </c>
      <c r="G26">
        <v>0</v>
      </c>
      <c r="H26" t="s">
        <v>61</v>
      </c>
    </row>
    <row r="27" spans="1:8" x14ac:dyDescent="0.45">
      <c r="A27" s="4" t="s">
        <v>79</v>
      </c>
      <c r="B27">
        <v>1</v>
      </c>
      <c r="C27">
        <v>3.1154231364886891E-4</v>
      </c>
      <c r="D27">
        <v>3.807739389041731E-4</v>
      </c>
      <c r="E27" t="s">
        <v>78</v>
      </c>
      <c r="F27" t="s">
        <v>68</v>
      </c>
      <c r="G27">
        <v>0</v>
      </c>
      <c r="H27" t="s">
        <v>53</v>
      </c>
    </row>
    <row r="28" spans="1:8" x14ac:dyDescent="0.45">
      <c r="A28" s="4" t="s">
        <v>80</v>
      </c>
      <c r="B28">
        <v>1</v>
      </c>
      <c r="C28">
        <v>3.1154231364886891E-4</v>
      </c>
      <c r="D28">
        <v>3.807739389041731E-4</v>
      </c>
      <c r="E28" t="s">
        <v>78</v>
      </c>
      <c r="F28" t="s">
        <v>68</v>
      </c>
      <c r="G28">
        <v>0</v>
      </c>
      <c r="H28" t="s">
        <v>55</v>
      </c>
    </row>
    <row r="29" spans="1:8" x14ac:dyDescent="0.45">
      <c r="A29" s="4" t="s">
        <v>81</v>
      </c>
      <c r="B29">
        <v>1</v>
      </c>
      <c r="C29">
        <v>3.1154231364886891E-4</v>
      </c>
      <c r="D29">
        <v>3.807739389041731E-4</v>
      </c>
      <c r="E29" t="s">
        <v>78</v>
      </c>
      <c r="F29" t="s">
        <v>68</v>
      </c>
      <c r="G29">
        <v>0</v>
      </c>
      <c r="H29" t="s">
        <v>57</v>
      </c>
    </row>
    <row r="30" spans="1:8" x14ac:dyDescent="0.45">
      <c r="A30" s="4" t="s">
        <v>82</v>
      </c>
      <c r="B30">
        <v>1</v>
      </c>
      <c r="C30">
        <v>3.1154231364886891E-4</v>
      </c>
      <c r="D30">
        <v>3.807739389041731E-4</v>
      </c>
      <c r="E30" t="s">
        <v>78</v>
      </c>
      <c r="F30" t="s">
        <v>68</v>
      </c>
      <c r="G30">
        <v>0</v>
      </c>
      <c r="H30" t="s">
        <v>59</v>
      </c>
    </row>
    <row r="31" spans="1:8" x14ac:dyDescent="0.45">
      <c r="A31" s="4" t="s">
        <v>83</v>
      </c>
      <c r="B31">
        <v>1</v>
      </c>
      <c r="C31">
        <v>3.1154231364886891E-4</v>
      </c>
      <c r="D31">
        <v>3.807739389041731E-4</v>
      </c>
      <c r="E31" t="s">
        <v>78</v>
      </c>
      <c r="F31" t="s">
        <v>68</v>
      </c>
      <c r="G31">
        <v>0</v>
      </c>
      <c r="H31" t="s">
        <v>61</v>
      </c>
    </row>
    <row r="32" spans="1:8" x14ac:dyDescent="0.45">
      <c r="A32" s="4" t="s">
        <v>84</v>
      </c>
      <c r="B32" s="2">
        <v>-0.02</v>
      </c>
      <c r="C32">
        <v>3.1154231364886891E-4</v>
      </c>
      <c r="D32">
        <v>3.807739389041731E-4</v>
      </c>
      <c r="E32" t="s">
        <v>78</v>
      </c>
      <c r="F32" t="s">
        <v>68</v>
      </c>
      <c r="G32">
        <v>0</v>
      </c>
      <c r="H32" t="s">
        <v>85</v>
      </c>
    </row>
  </sheetData>
  <phoneticPr fontId="3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workbookViewId="0">
      <selection activeCell="E36" sqref="E36"/>
    </sheetView>
  </sheetViews>
  <sheetFormatPr baseColWidth="10" defaultRowHeight="14.25" x14ac:dyDescent="0.45"/>
  <cols>
    <col min="1" max="1" width="37" bestFit="1" customWidth="1"/>
  </cols>
  <sheetData>
    <row r="1" spans="1:5" x14ac:dyDescent="0.45">
      <c r="A1" t="s">
        <v>86</v>
      </c>
      <c r="B1" t="s">
        <v>87</v>
      </c>
      <c r="C1" t="s">
        <v>88</v>
      </c>
      <c r="D1" t="s">
        <v>89</v>
      </c>
      <c r="E1" t="s">
        <v>90</v>
      </c>
    </row>
    <row r="2" spans="1:5" x14ac:dyDescent="0.45">
      <c r="A2" t="s">
        <v>91</v>
      </c>
      <c r="B2" t="s">
        <v>92</v>
      </c>
      <c r="C2">
        <v>1</v>
      </c>
      <c r="D2">
        <v>0</v>
      </c>
      <c r="E2">
        <v>400</v>
      </c>
    </row>
    <row r="3" spans="1:5" x14ac:dyDescent="0.45">
      <c r="A3" t="s">
        <v>93</v>
      </c>
      <c r="B3" t="s">
        <v>92</v>
      </c>
      <c r="C3">
        <v>7</v>
      </c>
      <c r="D3">
        <v>0</v>
      </c>
      <c r="E3">
        <v>400</v>
      </c>
    </row>
    <row r="4" spans="1:5" x14ac:dyDescent="0.45">
      <c r="A4" t="s">
        <v>94</v>
      </c>
      <c r="B4" t="s">
        <v>92</v>
      </c>
      <c r="C4">
        <v>12</v>
      </c>
      <c r="D4">
        <v>0</v>
      </c>
      <c r="E4">
        <v>400</v>
      </c>
    </row>
    <row r="5" spans="1:5" x14ac:dyDescent="0.45">
      <c r="A5" t="s">
        <v>95</v>
      </c>
      <c r="B5" t="s">
        <v>92</v>
      </c>
      <c r="C5">
        <v>17</v>
      </c>
      <c r="D5">
        <v>0</v>
      </c>
      <c r="E5">
        <v>400</v>
      </c>
    </row>
    <row r="6" spans="1:5" x14ac:dyDescent="0.45">
      <c r="A6" t="s">
        <v>96</v>
      </c>
      <c r="B6" t="s">
        <v>92</v>
      </c>
      <c r="C6">
        <v>22</v>
      </c>
      <c r="D6">
        <v>0</v>
      </c>
      <c r="E6">
        <v>400</v>
      </c>
    </row>
    <row r="7" spans="1:5" x14ac:dyDescent="0.45">
      <c r="A7" t="s">
        <v>97</v>
      </c>
      <c r="B7" t="s">
        <v>98</v>
      </c>
      <c r="C7">
        <v>12</v>
      </c>
      <c r="D7">
        <v>0</v>
      </c>
      <c r="E7">
        <v>150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6"/>
  <sheetViews>
    <sheetView workbookViewId="0">
      <selection activeCell="F2" sqref="F2:F16"/>
    </sheetView>
  </sheetViews>
  <sheetFormatPr baseColWidth="10" defaultColWidth="9.06640625" defaultRowHeight="14.25" x14ac:dyDescent="0.45"/>
  <sheetData>
    <row r="1" spans="1:6" x14ac:dyDescent="0.45">
      <c r="A1" s="4" t="s">
        <v>99</v>
      </c>
      <c r="B1" s="4" t="s">
        <v>37</v>
      </c>
      <c r="C1" s="4" t="s">
        <v>88</v>
      </c>
      <c r="D1" s="4" t="s">
        <v>89</v>
      </c>
      <c r="E1" s="4" t="s">
        <v>90</v>
      </c>
      <c r="F1" s="4" t="s">
        <v>100</v>
      </c>
    </row>
    <row r="2" spans="1:6" x14ac:dyDescent="0.45">
      <c r="A2" t="s">
        <v>101</v>
      </c>
      <c r="B2">
        <v>0</v>
      </c>
      <c r="C2">
        <v>12</v>
      </c>
      <c r="D2">
        <v>0</v>
      </c>
      <c r="E2">
        <v>400</v>
      </c>
      <c r="F2">
        <v>0</v>
      </c>
    </row>
    <row r="3" spans="1:6" x14ac:dyDescent="0.45">
      <c r="A3" t="s">
        <v>101</v>
      </c>
      <c r="B3">
        <v>3600000</v>
      </c>
      <c r="C3">
        <v>12</v>
      </c>
      <c r="D3">
        <v>0</v>
      </c>
      <c r="E3">
        <v>400</v>
      </c>
      <c r="F3" s="2">
        <v>-0.02</v>
      </c>
    </row>
    <row r="4" spans="1:6" x14ac:dyDescent="0.45">
      <c r="A4" t="s">
        <v>101</v>
      </c>
      <c r="B4">
        <v>400000000</v>
      </c>
      <c r="C4">
        <v>12</v>
      </c>
      <c r="D4">
        <v>0</v>
      </c>
      <c r="E4">
        <v>400</v>
      </c>
      <c r="F4" s="2">
        <v>-0.02</v>
      </c>
    </row>
    <row r="5" spans="1:6" x14ac:dyDescent="0.45">
      <c r="A5" t="s">
        <v>102</v>
      </c>
      <c r="B5">
        <v>0</v>
      </c>
      <c r="C5">
        <v>12</v>
      </c>
      <c r="D5">
        <v>0</v>
      </c>
      <c r="E5">
        <v>399</v>
      </c>
      <c r="F5">
        <v>0</v>
      </c>
    </row>
    <row r="6" spans="1:6" x14ac:dyDescent="0.45">
      <c r="A6" t="s">
        <v>102</v>
      </c>
      <c r="B6">
        <v>3600000</v>
      </c>
      <c r="C6">
        <v>12</v>
      </c>
      <c r="D6">
        <v>0</v>
      </c>
      <c r="E6">
        <v>399</v>
      </c>
      <c r="F6" s="2">
        <v>-0.02</v>
      </c>
    </row>
    <row r="7" spans="1:6" x14ac:dyDescent="0.45">
      <c r="A7" t="s">
        <v>102</v>
      </c>
      <c r="B7">
        <v>400000000</v>
      </c>
      <c r="C7">
        <v>12</v>
      </c>
      <c r="D7">
        <v>0</v>
      </c>
      <c r="E7">
        <v>399</v>
      </c>
      <c r="F7" s="2">
        <v>-0.02</v>
      </c>
    </row>
    <row r="8" spans="1:6" x14ac:dyDescent="0.45">
      <c r="A8" t="s">
        <v>103</v>
      </c>
      <c r="B8">
        <v>0</v>
      </c>
      <c r="C8">
        <v>12</v>
      </c>
      <c r="D8">
        <v>0</v>
      </c>
      <c r="E8">
        <v>401</v>
      </c>
      <c r="F8">
        <v>0</v>
      </c>
    </row>
    <row r="9" spans="1:6" x14ac:dyDescent="0.45">
      <c r="A9" t="s">
        <v>103</v>
      </c>
      <c r="B9">
        <v>3600000</v>
      </c>
      <c r="C9">
        <v>12</v>
      </c>
      <c r="D9">
        <v>0</v>
      </c>
      <c r="E9">
        <v>401</v>
      </c>
      <c r="F9" s="2">
        <v>-0.02</v>
      </c>
    </row>
    <row r="10" spans="1:6" x14ac:dyDescent="0.45">
      <c r="A10" t="s">
        <v>103</v>
      </c>
      <c r="B10">
        <v>400000000</v>
      </c>
      <c r="C10">
        <v>12</v>
      </c>
      <c r="D10">
        <v>0</v>
      </c>
      <c r="E10">
        <v>401</v>
      </c>
      <c r="F10" s="2">
        <v>-0.02</v>
      </c>
    </row>
    <row r="11" spans="1:6" x14ac:dyDescent="0.45">
      <c r="A11" t="s">
        <v>104</v>
      </c>
      <c r="B11">
        <v>0</v>
      </c>
      <c r="C11">
        <v>12</v>
      </c>
      <c r="D11">
        <v>0</v>
      </c>
      <c r="E11">
        <v>402</v>
      </c>
      <c r="F11">
        <v>0</v>
      </c>
    </row>
    <row r="12" spans="1:6" x14ac:dyDescent="0.45">
      <c r="A12" t="s">
        <v>104</v>
      </c>
      <c r="B12">
        <v>3600000</v>
      </c>
      <c r="C12">
        <v>12</v>
      </c>
      <c r="D12">
        <v>0</v>
      </c>
      <c r="E12">
        <v>402</v>
      </c>
      <c r="F12" s="2">
        <v>-0.02</v>
      </c>
    </row>
    <row r="13" spans="1:6" x14ac:dyDescent="0.45">
      <c r="A13" t="s">
        <v>104</v>
      </c>
      <c r="B13">
        <v>400000000</v>
      </c>
      <c r="C13">
        <v>12</v>
      </c>
      <c r="D13">
        <v>0</v>
      </c>
      <c r="E13">
        <v>402</v>
      </c>
      <c r="F13" s="2">
        <v>-0.02</v>
      </c>
    </row>
    <row r="14" spans="1:6" x14ac:dyDescent="0.45">
      <c r="A14" t="s">
        <v>105</v>
      </c>
      <c r="B14">
        <v>0</v>
      </c>
      <c r="C14">
        <v>12</v>
      </c>
      <c r="D14">
        <v>0</v>
      </c>
      <c r="E14">
        <v>398</v>
      </c>
      <c r="F14">
        <v>0</v>
      </c>
    </row>
    <row r="15" spans="1:6" x14ac:dyDescent="0.45">
      <c r="A15" t="s">
        <v>105</v>
      </c>
      <c r="B15">
        <v>3600000</v>
      </c>
      <c r="C15">
        <v>12</v>
      </c>
      <c r="D15">
        <v>0</v>
      </c>
      <c r="E15">
        <v>398</v>
      </c>
      <c r="F15" s="2">
        <v>-0.02</v>
      </c>
    </row>
    <row r="16" spans="1:6" x14ac:dyDescent="0.45">
      <c r="A16" t="s">
        <v>105</v>
      </c>
      <c r="B16">
        <v>400000000</v>
      </c>
      <c r="C16">
        <v>12</v>
      </c>
      <c r="D16">
        <v>0</v>
      </c>
      <c r="E16">
        <v>398</v>
      </c>
      <c r="F16" s="2">
        <v>-0.02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"/>
  <sheetViews>
    <sheetView workbookViewId="0">
      <selection activeCell="C13" sqref="C13"/>
    </sheetView>
  </sheetViews>
  <sheetFormatPr baseColWidth="10" defaultRowHeight="14.25" x14ac:dyDescent="0.45"/>
  <sheetData>
    <row r="1" spans="1:10" x14ac:dyDescent="0.45">
      <c r="A1" t="s">
        <v>99</v>
      </c>
      <c r="B1" t="s">
        <v>106</v>
      </c>
      <c r="C1" t="s">
        <v>107</v>
      </c>
      <c r="D1" t="s">
        <v>108</v>
      </c>
      <c r="E1" t="s">
        <v>109</v>
      </c>
      <c r="F1" t="s">
        <v>110</v>
      </c>
      <c r="G1" t="s">
        <v>111</v>
      </c>
      <c r="H1" t="s">
        <v>112</v>
      </c>
      <c r="I1" t="s">
        <v>113</v>
      </c>
      <c r="J1" t="s">
        <v>114</v>
      </c>
    </row>
    <row r="2" spans="1:10" x14ac:dyDescent="0.45">
      <c r="A2" t="s">
        <v>101</v>
      </c>
      <c r="B2">
        <v>0</v>
      </c>
      <c r="C2">
        <f>D2/2</f>
        <v>-1</v>
      </c>
      <c r="D2">
        <v>-2</v>
      </c>
      <c r="E2">
        <v>-4</v>
      </c>
      <c r="F2">
        <v>-6</v>
      </c>
      <c r="G2">
        <v>-8</v>
      </c>
      <c r="H2">
        <v>-10</v>
      </c>
      <c r="I2">
        <v>-20</v>
      </c>
      <c r="J2">
        <v>-30</v>
      </c>
    </row>
    <row r="3" spans="1:10" x14ac:dyDescent="0.45">
      <c r="A3" t="s">
        <v>102</v>
      </c>
      <c r="B3">
        <v>0</v>
      </c>
      <c r="C3">
        <f>D3/2</f>
        <v>-1</v>
      </c>
      <c r="D3">
        <v>-2</v>
      </c>
      <c r="E3">
        <v>-4</v>
      </c>
      <c r="F3">
        <v>-6</v>
      </c>
      <c r="G3">
        <v>-8</v>
      </c>
      <c r="H3">
        <v>-10</v>
      </c>
      <c r="I3">
        <v>-20</v>
      </c>
      <c r="J3">
        <v>-30</v>
      </c>
    </row>
    <row r="4" spans="1:10" x14ac:dyDescent="0.45">
      <c r="A4" t="s">
        <v>103</v>
      </c>
      <c r="B4">
        <v>0</v>
      </c>
      <c r="C4">
        <f>D4/2</f>
        <v>-1</v>
      </c>
      <c r="D4">
        <v>-2</v>
      </c>
      <c r="E4">
        <v>-4</v>
      </c>
      <c r="F4">
        <v>-6</v>
      </c>
      <c r="G4">
        <v>-8</v>
      </c>
      <c r="H4">
        <v>-10</v>
      </c>
      <c r="I4">
        <v>-20</v>
      </c>
      <c r="J4">
        <v>-30</v>
      </c>
    </row>
    <row r="5" spans="1:10" x14ac:dyDescent="0.45">
      <c r="A5" t="s">
        <v>104</v>
      </c>
      <c r="B5">
        <v>0</v>
      </c>
      <c r="C5">
        <f>D5/2</f>
        <v>-1</v>
      </c>
      <c r="D5">
        <v>-2</v>
      </c>
      <c r="E5">
        <v>-4</v>
      </c>
      <c r="F5">
        <v>-6</v>
      </c>
      <c r="G5">
        <v>-8</v>
      </c>
      <c r="H5">
        <v>-10</v>
      </c>
      <c r="I5">
        <v>-20</v>
      </c>
      <c r="J5">
        <v>-30</v>
      </c>
    </row>
    <row r="6" spans="1:10" x14ac:dyDescent="0.45">
      <c r="A6" t="s">
        <v>105</v>
      </c>
      <c r="B6">
        <v>0</v>
      </c>
      <c r="C6">
        <f>D6/2</f>
        <v>-1</v>
      </c>
      <c r="D6">
        <v>-2</v>
      </c>
      <c r="E6">
        <v>-4</v>
      </c>
      <c r="F6">
        <v>-6</v>
      </c>
      <c r="G6">
        <v>-8</v>
      </c>
      <c r="H6">
        <v>-10</v>
      </c>
      <c r="I6">
        <v>-20</v>
      </c>
      <c r="J6">
        <v>-30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7"/>
  <sheetViews>
    <sheetView workbookViewId="0">
      <selection activeCell="I25" sqref="I25"/>
    </sheetView>
  </sheetViews>
  <sheetFormatPr baseColWidth="10" defaultRowHeight="14.25" x14ac:dyDescent="0.45"/>
  <sheetData>
    <row r="1" spans="1:6" x14ac:dyDescent="0.45">
      <c r="A1" t="s">
        <v>99</v>
      </c>
      <c r="B1" t="s">
        <v>37</v>
      </c>
      <c r="C1" t="s">
        <v>106</v>
      </c>
      <c r="D1" t="s">
        <v>107</v>
      </c>
      <c r="E1" t="s">
        <v>108</v>
      </c>
      <c r="F1" t="s">
        <v>109</v>
      </c>
    </row>
    <row r="2" spans="1:6" x14ac:dyDescent="0.45">
      <c r="A2" t="s">
        <v>101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45">
      <c r="A3" t="s">
        <v>101</v>
      </c>
      <c r="B3" s="3">
        <v>3600000</v>
      </c>
      <c r="C3">
        <v>0</v>
      </c>
      <c r="D3">
        <v>-1</v>
      </c>
      <c r="E3">
        <v>-2</v>
      </c>
      <c r="F3">
        <v>-5</v>
      </c>
    </row>
    <row r="4" spans="1:6" x14ac:dyDescent="0.45">
      <c r="A4" t="s">
        <v>101</v>
      </c>
      <c r="B4">
        <v>400000000</v>
      </c>
      <c r="C4">
        <v>0</v>
      </c>
      <c r="D4">
        <v>-1</v>
      </c>
      <c r="E4">
        <v>-2</v>
      </c>
      <c r="F4">
        <v>-5</v>
      </c>
    </row>
    <row r="5" spans="1:6" x14ac:dyDescent="0.45">
      <c r="A5" t="s">
        <v>102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45">
      <c r="A6" t="s">
        <v>102</v>
      </c>
      <c r="B6" s="3">
        <v>3600000</v>
      </c>
      <c r="C6">
        <v>0</v>
      </c>
      <c r="D6">
        <v>-1</v>
      </c>
      <c r="E6">
        <v>-2</v>
      </c>
      <c r="F6">
        <v>-5</v>
      </c>
    </row>
    <row r="7" spans="1:6" x14ac:dyDescent="0.45">
      <c r="A7" t="s">
        <v>102</v>
      </c>
      <c r="B7">
        <v>400000000</v>
      </c>
      <c r="C7">
        <v>0</v>
      </c>
      <c r="D7">
        <v>-1</v>
      </c>
      <c r="E7">
        <v>-2</v>
      </c>
      <c r="F7">
        <v>-5</v>
      </c>
    </row>
    <row r="8" spans="1:6" x14ac:dyDescent="0.45">
      <c r="A8" t="s">
        <v>103</v>
      </c>
      <c r="B8">
        <v>0</v>
      </c>
      <c r="C8">
        <v>0</v>
      </c>
      <c r="D8">
        <v>0</v>
      </c>
      <c r="E8">
        <v>0</v>
      </c>
      <c r="F8">
        <v>0</v>
      </c>
    </row>
    <row r="9" spans="1:6" x14ac:dyDescent="0.45">
      <c r="A9" t="s">
        <v>103</v>
      </c>
      <c r="B9" s="3">
        <v>3600000</v>
      </c>
      <c r="C9">
        <v>0</v>
      </c>
      <c r="D9">
        <v>-1</v>
      </c>
      <c r="E9">
        <v>-2</v>
      </c>
      <c r="F9">
        <v>-5</v>
      </c>
    </row>
    <row r="10" spans="1:6" x14ac:dyDescent="0.45">
      <c r="A10" t="s">
        <v>103</v>
      </c>
      <c r="B10">
        <v>400000000</v>
      </c>
      <c r="C10">
        <v>0</v>
      </c>
      <c r="D10">
        <v>-1</v>
      </c>
      <c r="E10">
        <v>-2</v>
      </c>
      <c r="F10">
        <v>-5</v>
      </c>
    </row>
    <row r="11" spans="1:6" x14ac:dyDescent="0.4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45">
      <c r="A12" t="s">
        <v>104</v>
      </c>
      <c r="B12" s="3">
        <v>3600000</v>
      </c>
      <c r="C12">
        <v>0</v>
      </c>
      <c r="D12">
        <v>-1</v>
      </c>
      <c r="E12">
        <v>-2</v>
      </c>
      <c r="F12">
        <v>-5</v>
      </c>
    </row>
    <row r="13" spans="1:6" x14ac:dyDescent="0.45">
      <c r="A13" t="s">
        <v>104</v>
      </c>
      <c r="B13">
        <v>400000000</v>
      </c>
      <c r="C13">
        <v>0</v>
      </c>
      <c r="D13">
        <v>-1</v>
      </c>
      <c r="E13">
        <v>-2</v>
      </c>
      <c r="F13">
        <v>-5</v>
      </c>
    </row>
    <row r="14" spans="1:6" x14ac:dyDescent="0.45">
      <c r="A14" t="s">
        <v>105</v>
      </c>
      <c r="B14">
        <v>0</v>
      </c>
      <c r="C14">
        <v>0</v>
      </c>
      <c r="D14">
        <v>0</v>
      </c>
      <c r="E14">
        <v>0</v>
      </c>
      <c r="F14">
        <v>0</v>
      </c>
    </row>
    <row r="15" spans="1:6" x14ac:dyDescent="0.45">
      <c r="A15" t="s">
        <v>105</v>
      </c>
      <c r="B15" s="3">
        <v>3600000</v>
      </c>
      <c r="C15">
        <v>0</v>
      </c>
      <c r="D15">
        <v>-1</v>
      </c>
      <c r="E15">
        <v>-2</v>
      </c>
      <c r="F15">
        <v>-5</v>
      </c>
    </row>
    <row r="16" spans="1:6" x14ac:dyDescent="0.45">
      <c r="A16" t="s">
        <v>105</v>
      </c>
      <c r="B16">
        <v>400000000</v>
      </c>
      <c r="C16">
        <v>0</v>
      </c>
      <c r="D16">
        <v>-1</v>
      </c>
      <c r="E16">
        <v>-2</v>
      </c>
      <c r="F16">
        <v>-5</v>
      </c>
    </row>
    <row r="18" spans="2:2" x14ac:dyDescent="0.45">
      <c r="B18" s="3"/>
    </row>
    <row r="21" spans="2:2" x14ac:dyDescent="0.45">
      <c r="B21" s="3"/>
    </row>
    <row r="24" spans="2:2" x14ac:dyDescent="0.45">
      <c r="B24" s="3"/>
    </row>
    <row r="27" spans="2:2" x14ac:dyDescent="0.45">
      <c r="B27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5"/>
  <sheetViews>
    <sheetView workbookViewId="0">
      <selection activeCell="E8" sqref="E8"/>
    </sheetView>
  </sheetViews>
  <sheetFormatPr baseColWidth="10" defaultRowHeight="14.25" x14ac:dyDescent="0.45"/>
  <sheetData>
    <row r="1" spans="1:6" x14ac:dyDescent="0.45">
      <c r="A1" t="s">
        <v>43</v>
      </c>
      <c r="B1" t="s">
        <v>115</v>
      </c>
      <c r="C1" t="s">
        <v>116</v>
      </c>
      <c r="D1" t="s">
        <v>117</v>
      </c>
    </row>
    <row r="2" spans="1:6" x14ac:dyDescent="0.45">
      <c r="A2" t="s">
        <v>54</v>
      </c>
      <c r="B2" s="1">
        <v>0.1</v>
      </c>
      <c r="C2" s="1">
        <v>1E-3</v>
      </c>
      <c r="D2" s="1">
        <v>1.0000000000000001E-5</v>
      </c>
      <c r="E2" s="1"/>
      <c r="F2" s="1"/>
    </row>
    <row r="3" spans="1:6" x14ac:dyDescent="0.45">
      <c r="A3" t="s">
        <v>58</v>
      </c>
      <c r="B3" s="1">
        <v>0.1</v>
      </c>
      <c r="C3" s="1">
        <v>1E-3</v>
      </c>
      <c r="D3" s="1">
        <v>1.0000000000000001E-5</v>
      </c>
      <c r="E3" s="1"/>
      <c r="F3" s="1"/>
    </row>
    <row r="4" spans="1:6" x14ac:dyDescent="0.45">
      <c r="A4" t="s">
        <v>63</v>
      </c>
      <c r="B4" s="1">
        <v>0.01</v>
      </c>
      <c r="C4" s="1">
        <v>1E-4</v>
      </c>
      <c r="D4" s="1">
        <v>9.9999999999999995E-7</v>
      </c>
      <c r="E4" s="1"/>
      <c r="F4" s="1"/>
    </row>
    <row r="5" spans="1:6" x14ac:dyDescent="0.45">
      <c r="A5" t="s">
        <v>65</v>
      </c>
      <c r="B5" s="1">
        <v>0.01</v>
      </c>
      <c r="C5" s="1">
        <v>1E-4</v>
      </c>
      <c r="D5" s="1">
        <v>9.9999999999999995E-7</v>
      </c>
      <c r="E5" s="1"/>
      <c r="F5" s="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364"/>
  <sheetViews>
    <sheetView workbookViewId="0">
      <selection activeCell="B15" sqref="B15"/>
    </sheetView>
  </sheetViews>
  <sheetFormatPr baseColWidth="10" defaultRowHeight="14.25" x14ac:dyDescent="0.45"/>
  <cols>
    <col min="1" max="1" width="15.46484375" bestFit="1" customWidth="1"/>
  </cols>
  <sheetData>
    <row r="1" spans="1:37" x14ac:dyDescent="0.45">
      <c r="A1" t="s">
        <v>118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101</v>
      </c>
      <c r="S1">
        <v>0</v>
      </c>
      <c r="U1" t="s">
        <v>118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101</v>
      </c>
      <c r="AK1">
        <v>0</v>
      </c>
    </row>
    <row r="2" spans="1:37" x14ac:dyDescent="0.45">
      <c r="A2" t="s">
        <v>119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101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101</v>
      </c>
      <c r="AK2">
        <v>27000</v>
      </c>
    </row>
    <row r="3" spans="1:37" x14ac:dyDescent="0.45">
      <c r="A3" t="s">
        <v>120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121</v>
      </c>
      <c r="R3" t="s">
        <v>101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122</v>
      </c>
      <c r="AJ3" t="s">
        <v>101</v>
      </c>
      <c r="AK3">
        <v>20000000</v>
      </c>
    </row>
    <row r="4" spans="1:37" x14ac:dyDescent="0.45">
      <c r="A4" t="s">
        <v>123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122</v>
      </c>
      <c r="R4" t="s">
        <v>102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124</v>
      </c>
      <c r="AJ4" t="s">
        <v>102</v>
      </c>
      <c r="AK4">
        <v>0</v>
      </c>
    </row>
    <row r="5" spans="1:37" x14ac:dyDescent="0.45">
      <c r="A5" t="s">
        <v>125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124</v>
      </c>
      <c r="R5" t="s">
        <v>102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126</v>
      </c>
      <c r="AJ5" t="s">
        <v>102</v>
      </c>
      <c r="AK5">
        <v>27000</v>
      </c>
    </row>
    <row r="6" spans="1:37" x14ac:dyDescent="0.45">
      <c r="A6" t="s">
        <v>127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126</v>
      </c>
      <c r="R6" t="s">
        <v>102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102</v>
      </c>
      <c r="AK6">
        <v>20000000</v>
      </c>
    </row>
    <row r="7" spans="1:37" x14ac:dyDescent="0.45">
      <c r="A7" t="s">
        <v>128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103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103</v>
      </c>
      <c r="AK7">
        <v>0</v>
      </c>
    </row>
    <row r="8" spans="1:37" x14ac:dyDescent="0.45">
      <c r="A8" t="s">
        <v>129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103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103</v>
      </c>
      <c r="AK8">
        <v>27000</v>
      </c>
    </row>
    <row r="9" spans="1:37" x14ac:dyDescent="0.45">
      <c r="A9" t="s">
        <v>130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103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103</v>
      </c>
      <c r="AK9">
        <v>20000000</v>
      </c>
    </row>
    <row r="10" spans="1:37" x14ac:dyDescent="0.45">
      <c r="A10" t="s">
        <v>131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104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104</v>
      </c>
      <c r="AK10">
        <v>0</v>
      </c>
    </row>
    <row r="11" spans="1:37" x14ac:dyDescent="0.45">
      <c r="A11" t="s">
        <v>132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104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104</v>
      </c>
      <c r="AK11">
        <v>27000</v>
      </c>
    </row>
    <row r="12" spans="1:37" x14ac:dyDescent="0.45">
      <c r="A12" t="s">
        <v>133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104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104</v>
      </c>
      <c r="AK12">
        <v>20000000</v>
      </c>
    </row>
    <row r="13" spans="1:37" x14ac:dyDescent="0.45">
      <c r="A13" t="s">
        <v>134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105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105</v>
      </c>
      <c r="AK13">
        <v>0</v>
      </c>
    </row>
    <row r="14" spans="1:37" x14ac:dyDescent="0.45">
      <c r="A14" t="s">
        <v>135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105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105</v>
      </c>
      <c r="AK14">
        <v>27000</v>
      </c>
    </row>
    <row r="15" spans="1:37" x14ac:dyDescent="0.45">
      <c r="A15" t="s">
        <v>136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105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105</v>
      </c>
      <c r="AK15">
        <v>20000000</v>
      </c>
    </row>
    <row r="16" spans="1:37" x14ac:dyDescent="0.45">
      <c r="A16" t="s">
        <v>137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138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138</v>
      </c>
      <c r="AK16">
        <v>0</v>
      </c>
    </row>
    <row r="17" spans="1:37" x14ac:dyDescent="0.45">
      <c r="A17" t="s">
        <v>139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138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138</v>
      </c>
      <c r="AK17">
        <v>27000</v>
      </c>
    </row>
    <row r="18" spans="1:37" x14ac:dyDescent="0.45">
      <c r="A18" t="s">
        <v>140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141</v>
      </c>
      <c r="R18" t="s">
        <v>138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138</v>
      </c>
      <c r="AK18">
        <v>20000000</v>
      </c>
    </row>
    <row r="19" spans="1:37" x14ac:dyDescent="0.45">
      <c r="A19" t="s">
        <v>142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143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37</v>
      </c>
      <c r="L20" s="3" t="s">
        <v>38</v>
      </c>
      <c r="M20" s="3" t="s">
        <v>39</v>
      </c>
      <c r="N20" s="3" t="s">
        <v>40</v>
      </c>
      <c r="O20" s="3" t="s">
        <v>41</v>
      </c>
      <c r="P20" s="3" t="s">
        <v>42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144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145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146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147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148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149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150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34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151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152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153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35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154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36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155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156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157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27" x14ac:dyDescent="0.45">
      <c r="A33" t="s">
        <v>158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27" x14ac:dyDescent="0.45">
      <c r="A34" t="s">
        <v>159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27" x14ac:dyDescent="0.45">
      <c r="A35" t="s">
        <v>160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27" x14ac:dyDescent="0.45">
      <c r="A36" t="s">
        <v>161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27" x14ac:dyDescent="0.45">
      <c r="A37" t="s">
        <v>162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27" x14ac:dyDescent="0.45">
      <c r="A38" t="s">
        <v>163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27" x14ac:dyDescent="0.45">
      <c r="A39" t="s">
        <v>164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27" x14ac:dyDescent="0.45">
      <c r="A40" t="s">
        <v>165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27" x14ac:dyDescent="0.45">
      <c r="A41" t="s">
        <v>166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27" x14ac:dyDescent="0.45">
      <c r="A42" t="s">
        <v>167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27" x14ac:dyDescent="0.45">
      <c r="A43" t="s">
        <v>168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27" x14ac:dyDescent="0.45">
      <c r="A44" t="s">
        <v>169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27" x14ac:dyDescent="0.45">
      <c r="A45" t="s">
        <v>170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27" x14ac:dyDescent="0.45">
      <c r="A46" t="s">
        <v>171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</row>
    <row r="47" spans="1:27" x14ac:dyDescent="0.45">
      <c r="A47" t="s">
        <v>172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</row>
    <row r="48" spans="1:27" x14ac:dyDescent="0.45">
      <c r="A48" t="s">
        <v>173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</row>
    <row r="49" spans="1:27" x14ac:dyDescent="0.45">
      <c r="A49" t="s">
        <v>174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</row>
    <row r="50" spans="1:27" x14ac:dyDescent="0.45">
      <c r="A50" t="s">
        <v>175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</row>
    <row r="51" spans="1:27" x14ac:dyDescent="0.45">
      <c r="A51" t="s">
        <v>176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</row>
    <row r="52" spans="1:27" x14ac:dyDescent="0.45">
      <c r="A52" t="s">
        <v>177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</row>
    <row r="53" spans="1:27" x14ac:dyDescent="0.45">
      <c r="A53" t="s">
        <v>178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</row>
    <row r="54" spans="1:27" x14ac:dyDescent="0.45">
      <c r="A54" t="s">
        <v>179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</row>
    <row r="55" spans="1:27" x14ac:dyDescent="0.45">
      <c r="A55" t="s">
        <v>180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</row>
    <row r="56" spans="1:27" x14ac:dyDescent="0.45">
      <c r="A56" t="s">
        <v>181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</row>
    <row r="57" spans="1:27" x14ac:dyDescent="0.45">
      <c r="A57" t="s">
        <v>182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</row>
    <row r="58" spans="1:27" x14ac:dyDescent="0.45">
      <c r="A58" t="s">
        <v>183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</row>
    <row r="59" spans="1:27" x14ac:dyDescent="0.45">
      <c r="A59" t="s">
        <v>184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</row>
    <row r="60" spans="1:27" x14ac:dyDescent="0.45">
      <c r="A60" t="s">
        <v>185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</row>
    <row r="61" spans="1:27" x14ac:dyDescent="0.45">
      <c r="A61" t="s">
        <v>186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</row>
    <row r="62" spans="1:27" x14ac:dyDescent="0.45">
      <c r="A62" t="s">
        <v>187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27" x14ac:dyDescent="0.45">
      <c r="A63" t="s">
        <v>188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27" x14ac:dyDescent="0.45">
      <c r="A64" t="s">
        <v>189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27" x14ac:dyDescent="0.45">
      <c r="A65" t="s">
        <v>190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</row>
    <row r="66" spans="1:27" x14ac:dyDescent="0.45">
      <c r="A66" t="s">
        <v>191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</row>
    <row r="67" spans="1:27" x14ac:dyDescent="0.45">
      <c r="A67" t="s">
        <v>192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</row>
    <row r="68" spans="1:27" x14ac:dyDescent="0.45">
      <c r="A68" t="s">
        <v>193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</row>
    <row r="69" spans="1:27" x14ac:dyDescent="0.45">
      <c r="A69" t="s">
        <v>194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</row>
    <row r="70" spans="1:27" x14ac:dyDescent="0.45">
      <c r="A70" t="s">
        <v>195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</row>
    <row r="71" spans="1:27" x14ac:dyDescent="0.45">
      <c r="A71" t="s">
        <v>196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</row>
    <row r="72" spans="1:27" x14ac:dyDescent="0.45">
      <c r="A72" t="s">
        <v>197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</row>
    <row r="73" spans="1:27" x14ac:dyDescent="0.45">
      <c r="A73" t="s">
        <v>198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</row>
    <row r="74" spans="1:27" x14ac:dyDescent="0.45">
      <c r="A74" t="s">
        <v>199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</row>
    <row r="75" spans="1:27" x14ac:dyDescent="0.45">
      <c r="A75" t="s">
        <v>200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</row>
    <row r="76" spans="1:27" x14ac:dyDescent="0.45">
      <c r="A76" t="s">
        <v>201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</row>
    <row r="77" spans="1:27" x14ac:dyDescent="0.45">
      <c r="A77" t="s">
        <v>202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</row>
    <row r="78" spans="1:27" x14ac:dyDescent="0.45">
      <c r="A78" t="s">
        <v>203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</row>
    <row r="79" spans="1:27" x14ac:dyDescent="0.45">
      <c r="A79" t="s">
        <v>204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</row>
    <row r="80" spans="1:27" x14ac:dyDescent="0.45">
      <c r="A80" t="s">
        <v>205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</row>
    <row r="81" spans="1:27" x14ac:dyDescent="0.45">
      <c r="A81" t="s">
        <v>206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</row>
    <row r="82" spans="1:27" x14ac:dyDescent="0.45">
      <c r="A82" t="s">
        <v>207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</row>
    <row r="83" spans="1:27" x14ac:dyDescent="0.45">
      <c r="A83" t="s">
        <v>208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</row>
    <row r="84" spans="1:27" x14ac:dyDescent="0.45">
      <c r="A84" t="s">
        <v>209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</row>
    <row r="85" spans="1:27" x14ac:dyDescent="0.45">
      <c r="A85" t="s">
        <v>210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</row>
    <row r="86" spans="1:27" x14ac:dyDescent="0.45">
      <c r="A86" t="s">
        <v>211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</row>
    <row r="87" spans="1:27" x14ac:dyDescent="0.45">
      <c r="A87" t="s">
        <v>212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</row>
    <row r="88" spans="1:27" x14ac:dyDescent="0.45">
      <c r="A88" t="s">
        <v>213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27" x14ac:dyDescent="0.45">
      <c r="A89" t="s">
        <v>214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</row>
    <row r="90" spans="1:27" x14ac:dyDescent="0.45">
      <c r="A90" t="s">
        <v>215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</row>
    <row r="91" spans="1:27" x14ac:dyDescent="0.45">
      <c r="A91" t="s">
        <v>216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</row>
    <row r="92" spans="1:27" x14ac:dyDescent="0.45">
      <c r="A92" t="s">
        <v>217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</row>
    <row r="93" spans="1:27" x14ac:dyDescent="0.45">
      <c r="A93" t="s">
        <v>218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</row>
    <row r="94" spans="1:27" x14ac:dyDescent="0.45">
      <c r="A94" t="s">
        <v>219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</row>
    <row r="95" spans="1:27" x14ac:dyDescent="0.45">
      <c r="A95" t="s">
        <v>220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</row>
    <row r="96" spans="1:27" x14ac:dyDescent="0.45">
      <c r="A96" t="s">
        <v>221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</row>
    <row r="97" spans="1:27" x14ac:dyDescent="0.45">
      <c r="A97" t="s">
        <v>222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</row>
    <row r="98" spans="1:27" x14ac:dyDescent="0.45">
      <c r="A98" t="s">
        <v>223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</row>
    <row r="99" spans="1:27" x14ac:dyDescent="0.45">
      <c r="A99" t="s">
        <v>224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</row>
    <row r="100" spans="1:27" x14ac:dyDescent="0.45">
      <c r="A100" t="s">
        <v>225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</row>
    <row r="101" spans="1:27" x14ac:dyDescent="0.45">
      <c r="A101" t="s">
        <v>226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</row>
    <row r="102" spans="1:27" x14ac:dyDescent="0.45">
      <c r="A102" t="s">
        <v>227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</row>
    <row r="103" spans="1:27" x14ac:dyDescent="0.45">
      <c r="A103" t="s">
        <v>228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</row>
    <row r="104" spans="1:27" x14ac:dyDescent="0.45">
      <c r="A104" t="s">
        <v>229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</row>
    <row r="105" spans="1:27" x14ac:dyDescent="0.45">
      <c r="A105" t="s">
        <v>230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</row>
    <row r="106" spans="1:27" x14ac:dyDescent="0.45">
      <c r="A106" t="s">
        <v>231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</row>
    <row r="107" spans="1:27" x14ac:dyDescent="0.45">
      <c r="A107" t="s">
        <v>232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</row>
    <row r="108" spans="1:27" x14ac:dyDescent="0.45">
      <c r="A108" t="s">
        <v>233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</row>
    <row r="109" spans="1:27" x14ac:dyDescent="0.45">
      <c r="A109" t="s">
        <v>234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</row>
    <row r="110" spans="1:27" x14ac:dyDescent="0.45">
      <c r="A110" t="s">
        <v>235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</row>
    <row r="111" spans="1:27" x14ac:dyDescent="0.45">
      <c r="A111" t="s">
        <v>236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</row>
    <row r="112" spans="1:27" x14ac:dyDescent="0.45">
      <c r="A112" t="s">
        <v>237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</row>
    <row r="113" spans="1:27" x14ac:dyDescent="0.45">
      <c r="A113" t="s">
        <v>238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</row>
    <row r="114" spans="1:27" x14ac:dyDescent="0.45">
      <c r="A114" t="s">
        <v>239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</row>
    <row r="115" spans="1:27" x14ac:dyDescent="0.45">
      <c r="A115" t="s">
        <v>240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</row>
    <row r="116" spans="1:27" x14ac:dyDescent="0.45">
      <c r="A116" t="s">
        <v>241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</row>
    <row r="117" spans="1:27" x14ac:dyDescent="0.45">
      <c r="A117" t="s">
        <v>242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</row>
    <row r="118" spans="1:27" x14ac:dyDescent="0.45">
      <c r="A118" t="s">
        <v>243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</row>
    <row r="119" spans="1:27" x14ac:dyDescent="0.45">
      <c r="A119" t="s">
        <v>244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</row>
    <row r="120" spans="1:27" x14ac:dyDescent="0.45">
      <c r="A120" t="s">
        <v>245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</row>
    <row r="121" spans="1:27" x14ac:dyDescent="0.45">
      <c r="A121" t="s">
        <v>246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</row>
    <row r="122" spans="1:27" x14ac:dyDescent="0.45">
      <c r="A122" t="s">
        <v>247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</row>
    <row r="123" spans="1:27" x14ac:dyDescent="0.45">
      <c r="A123" t="s">
        <v>248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</row>
    <row r="124" spans="1:27" x14ac:dyDescent="0.45">
      <c r="A124" t="s">
        <v>249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</row>
    <row r="125" spans="1:27" x14ac:dyDescent="0.45">
      <c r="A125" t="s">
        <v>250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</row>
    <row r="126" spans="1:27" x14ac:dyDescent="0.45">
      <c r="A126" t="s">
        <v>251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</row>
    <row r="127" spans="1:27" x14ac:dyDescent="0.45">
      <c r="A127" t="s">
        <v>252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</row>
    <row r="128" spans="1:27" x14ac:dyDescent="0.45">
      <c r="A128" t="s">
        <v>253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</row>
    <row r="129" spans="1:27" x14ac:dyDescent="0.45">
      <c r="A129" t="s">
        <v>254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</row>
    <row r="130" spans="1:27" x14ac:dyDescent="0.45">
      <c r="A130" t="s">
        <v>255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</row>
    <row r="131" spans="1:27" x14ac:dyDescent="0.45">
      <c r="A131" t="s">
        <v>256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</row>
    <row r="132" spans="1:27" x14ac:dyDescent="0.45">
      <c r="A132" t="s">
        <v>257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</row>
    <row r="133" spans="1:27" x14ac:dyDescent="0.45">
      <c r="A133" t="s">
        <v>258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</row>
    <row r="134" spans="1:27" x14ac:dyDescent="0.45">
      <c r="A134" t="s">
        <v>259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</row>
    <row r="135" spans="1:27" x14ac:dyDescent="0.45">
      <c r="A135" t="s">
        <v>260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</row>
    <row r="136" spans="1:27" x14ac:dyDescent="0.45">
      <c r="A136" t="s">
        <v>261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</row>
    <row r="137" spans="1:27" x14ac:dyDescent="0.45">
      <c r="A137" t="s">
        <v>262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</row>
    <row r="138" spans="1:27" x14ac:dyDescent="0.45">
      <c r="A138" t="s">
        <v>263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</row>
    <row r="139" spans="1:27" x14ac:dyDescent="0.45">
      <c r="A139" t="s">
        <v>264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</row>
    <row r="140" spans="1:27" x14ac:dyDescent="0.45">
      <c r="A140" t="s">
        <v>265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</row>
    <row r="141" spans="1:27" x14ac:dyDescent="0.45">
      <c r="A141" t="s">
        <v>266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</row>
    <row r="142" spans="1:27" x14ac:dyDescent="0.45">
      <c r="A142" t="s">
        <v>267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</row>
    <row r="143" spans="1:27" x14ac:dyDescent="0.45">
      <c r="A143" t="s">
        <v>268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</row>
    <row r="144" spans="1:27" x14ac:dyDescent="0.45">
      <c r="A144" t="s">
        <v>269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27" x14ac:dyDescent="0.45">
      <c r="A145" t="s">
        <v>270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27" x14ac:dyDescent="0.45">
      <c r="A146" t="s">
        <v>271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</row>
    <row r="147" spans="1:27" x14ac:dyDescent="0.45">
      <c r="A147" t="s">
        <v>272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</row>
    <row r="148" spans="1:27" x14ac:dyDescent="0.45">
      <c r="A148" t="s">
        <v>273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</row>
    <row r="149" spans="1:27" x14ac:dyDescent="0.45">
      <c r="A149" t="s">
        <v>274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</row>
    <row r="150" spans="1:27" x14ac:dyDescent="0.45">
      <c r="A150" t="s">
        <v>275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</row>
    <row r="151" spans="1:27" x14ac:dyDescent="0.45">
      <c r="A151" t="s">
        <v>276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</row>
    <row r="152" spans="1:27" x14ac:dyDescent="0.45">
      <c r="A152" t="s">
        <v>277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</row>
    <row r="153" spans="1:27" x14ac:dyDescent="0.45">
      <c r="A153" t="s">
        <v>278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</row>
    <row r="154" spans="1:27" x14ac:dyDescent="0.45">
      <c r="A154" t="s">
        <v>279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</row>
    <row r="155" spans="1:27" x14ac:dyDescent="0.45">
      <c r="A155" t="s">
        <v>280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</row>
    <row r="156" spans="1:27" x14ac:dyDescent="0.45">
      <c r="A156" t="s">
        <v>281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</row>
    <row r="157" spans="1:27" x14ac:dyDescent="0.45">
      <c r="A157" t="s">
        <v>282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</row>
    <row r="158" spans="1:27" x14ac:dyDescent="0.45">
      <c r="A158" t="s">
        <v>283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</row>
    <row r="159" spans="1:27" x14ac:dyDescent="0.45">
      <c r="A159" t="s">
        <v>284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</row>
    <row r="160" spans="1:27" x14ac:dyDescent="0.45">
      <c r="A160" t="s">
        <v>285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</row>
    <row r="161" spans="1:9" x14ac:dyDescent="0.45">
      <c r="A161" t="s">
        <v>286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</row>
    <row r="162" spans="1:9" x14ac:dyDescent="0.45">
      <c r="A162" t="s">
        <v>287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</row>
    <row r="163" spans="1:9" x14ac:dyDescent="0.45">
      <c r="A163" t="s">
        <v>288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9" x14ac:dyDescent="0.45">
      <c r="A164" t="s">
        <v>289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9" x14ac:dyDescent="0.45">
      <c r="A165" t="s">
        <v>290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9" x14ac:dyDescent="0.45">
      <c r="A166" t="s">
        <v>291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9" x14ac:dyDescent="0.45">
      <c r="A167" t="s">
        <v>292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9" x14ac:dyDescent="0.45">
      <c r="A168" t="s">
        <v>293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9" x14ac:dyDescent="0.45">
      <c r="A169" t="s">
        <v>294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9" x14ac:dyDescent="0.45">
      <c r="A170" t="s">
        <v>295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9" x14ac:dyDescent="0.45">
      <c r="A171" t="s">
        <v>296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9" x14ac:dyDescent="0.45">
      <c r="A172" t="s">
        <v>297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9" x14ac:dyDescent="0.45">
      <c r="A173" t="s">
        <v>298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9" x14ac:dyDescent="0.45">
      <c r="A174" t="s">
        <v>299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9" x14ac:dyDescent="0.45">
      <c r="A175" t="s">
        <v>300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9" x14ac:dyDescent="0.45">
      <c r="A176" t="s">
        <v>301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45">
      <c r="A177" t="s">
        <v>302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45">
      <c r="A178" t="s">
        <v>303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45">
      <c r="A179" t="s">
        <v>304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45">
      <c r="A180" t="s">
        <v>305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45">
      <c r="A181" t="s">
        <v>306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45">
      <c r="A182" t="s">
        <v>307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45">
      <c r="A183" t="s">
        <v>308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45">
      <c r="A184" t="s">
        <v>309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45">
      <c r="A185" t="s">
        <v>310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45">
      <c r="A186" t="s">
        <v>311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45">
      <c r="A187" t="s">
        <v>312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45">
      <c r="A188" t="s">
        <v>313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45">
      <c r="A189" t="s">
        <v>314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45">
      <c r="A190" t="s">
        <v>315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45">
      <c r="A191" t="s">
        <v>316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45">
      <c r="A192" t="s">
        <v>317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45">
      <c r="A193" t="s">
        <v>318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45">
      <c r="A194" t="s">
        <v>319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45">
      <c r="A195" t="s">
        <v>320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45">
      <c r="A196" t="s">
        <v>321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45">
      <c r="A197" t="s">
        <v>322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45">
      <c r="A198" t="s">
        <v>323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45">
      <c r="A199" t="s">
        <v>324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45">
      <c r="A200" t="s">
        <v>325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45">
      <c r="A201" t="s">
        <v>326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45">
      <c r="A202" t="s">
        <v>327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45">
      <c r="A203" t="s">
        <v>328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45">
      <c r="A204" t="s">
        <v>329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45">
      <c r="A205" t="s">
        <v>330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45">
      <c r="A206" t="s">
        <v>331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45">
      <c r="A207" t="s">
        <v>332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45">
      <c r="A208" t="s">
        <v>333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45">
      <c r="A209" t="s">
        <v>334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45">
      <c r="A210" t="s">
        <v>335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45">
      <c r="A211" t="s">
        <v>336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45">
      <c r="A363" t="s">
        <v>337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grid</vt:lpstr>
      <vt:lpstr>geometry</vt:lpstr>
      <vt:lpstr>tdis</vt:lpstr>
      <vt:lpstr>transient_recharge</vt:lpstr>
      <vt:lpstr>parameters</vt:lpstr>
      <vt:lpstr>observations</vt:lpstr>
      <vt:lpstr>wells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2025-10-17T18:54:02Z</dcterms:modified>
</cp:coreProperties>
</file>