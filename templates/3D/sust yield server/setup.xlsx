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rinriver\Desktop\"/>
    </mc:Choice>
  </mc:AlternateContent>
  <xr:revisionPtr revIDLastSave="0" documentId="13_ncr:1_{333348F1-96BA-4B7F-A3F1-49BDF61962B0}" xr6:coauthVersionLast="47" xr6:coauthVersionMax="47" xr10:uidLastSave="{00000000-0000-0000-0000-000000000000}"/>
  <bookViews>
    <workbookView xWindow="-98" yWindow="-98" windowWidth="28996" windowHeight="15796" firstSheet="3" activeTab="13" xr2:uid="{00000000-000D-0000-FFFF-FFFF00000000}"/>
  </bookViews>
  <sheets>
    <sheet name="grid" sheetId="1" r:id="rId1"/>
    <sheet name="geometry" sheetId="2" r:id="rId2"/>
    <sheet name="tdis" sheetId="3" r:id="rId3"/>
    <sheet name="parameters" sheetId="4" r:id="rId4"/>
    <sheet name="transient_recharge" sheetId="5" r:id="rId5"/>
    <sheet name="observations" sheetId="6" r:id="rId6"/>
    <sheet name="wells_st" sheetId="7" r:id="rId7"/>
    <sheet name="wells" sheetId="8" r:id="rId8"/>
    <sheet name="response_times" sheetId="9" r:id="rId9"/>
    <sheet name="q_values_st" sheetId="10" r:id="rId10"/>
    <sheet name="q_values_tr" sheetId="11" r:id="rId11"/>
    <sheet name="q_values_init" sheetId="14" r:id="rId12"/>
    <sheet name="parameter_analysis" sheetId="12" r:id="rId13"/>
    <sheet name="workplace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54" i="13" l="1"/>
  <c r="Y154" i="13"/>
  <c r="Z154" i="13" s="1"/>
  <c r="X154" i="13"/>
  <c r="AA153" i="13"/>
  <c r="Y153" i="13"/>
  <c r="Z153" i="13" s="1"/>
  <c r="X153" i="13"/>
  <c r="AA152" i="13"/>
  <c r="Y152" i="13"/>
  <c r="Z152" i="13" s="1"/>
  <c r="X152" i="13"/>
  <c r="AA151" i="13"/>
  <c r="Y151" i="13"/>
  <c r="Z151" i="13" s="1"/>
  <c r="X151" i="13"/>
  <c r="AA150" i="13"/>
  <c r="Y150" i="13"/>
  <c r="Z150" i="13" s="1"/>
  <c r="X150" i="13"/>
  <c r="AA149" i="13"/>
  <c r="Z149" i="13"/>
  <c r="Y149" i="13"/>
  <c r="X149" i="13"/>
  <c r="AA148" i="13"/>
  <c r="Y148" i="13"/>
  <c r="Z148" i="13" s="1"/>
  <c r="X148" i="13"/>
  <c r="AA147" i="13"/>
  <c r="Y147" i="13"/>
  <c r="Z147" i="13" s="1"/>
  <c r="X147" i="13"/>
  <c r="AA146" i="13"/>
  <c r="Z146" i="13"/>
  <c r="Y146" i="13"/>
  <c r="X146" i="13"/>
  <c r="AA145" i="13"/>
  <c r="Y145" i="13"/>
  <c r="Z145" i="13" s="1"/>
  <c r="X145" i="13"/>
  <c r="AA144" i="13"/>
  <c r="Y144" i="13"/>
  <c r="Z144" i="13" s="1"/>
  <c r="X144" i="13"/>
  <c r="AA143" i="13"/>
  <c r="Y143" i="13"/>
  <c r="Z143" i="13" s="1"/>
  <c r="X143" i="13"/>
  <c r="AA142" i="13"/>
  <c r="Y142" i="13"/>
  <c r="Z142" i="13" s="1"/>
  <c r="X142" i="13"/>
  <c r="AA141" i="13"/>
  <c r="Y141" i="13"/>
  <c r="Z141" i="13" s="1"/>
  <c r="X141" i="13"/>
  <c r="AA140" i="13"/>
  <c r="Y140" i="13"/>
  <c r="Z140" i="13" s="1"/>
  <c r="X140" i="13"/>
  <c r="AA139" i="13"/>
  <c r="Y139" i="13"/>
  <c r="Z139" i="13" s="1"/>
  <c r="X139" i="13"/>
  <c r="AA138" i="13"/>
  <c r="Z138" i="13"/>
  <c r="Y138" i="13"/>
  <c r="X138" i="13"/>
  <c r="AA137" i="13"/>
  <c r="Y137" i="13"/>
  <c r="Z137" i="13" s="1"/>
  <c r="X137" i="13"/>
  <c r="AA136" i="13"/>
  <c r="Y136" i="13"/>
  <c r="Z136" i="13" s="1"/>
  <c r="X136" i="13"/>
  <c r="AA135" i="13"/>
  <c r="Z135" i="13"/>
  <c r="Y135" i="13"/>
  <c r="X135" i="13"/>
  <c r="AA134" i="13"/>
  <c r="Y134" i="13"/>
  <c r="Z134" i="13" s="1"/>
  <c r="X134" i="13"/>
  <c r="AA133" i="13"/>
  <c r="Y133" i="13"/>
  <c r="Z133" i="13" s="1"/>
  <c r="X133" i="13"/>
  <c r="AA132" i="13"/>
  <c r="Y132" i="13"/>
  <c r="Z132" i="13" s="1"/>
  <c r="X132" i="13"/>
  <c r="AA131" i="13"/>
  <c r="Y131" i="13"/>
  <c r="Z131" i="13" s="1"/>
  <c r="X131" i="13"/>
  <c r="AA130" i="13"/>
  <c r="Y130" i="13"/>
  <c r="Z130" i="13" s="1"/>
  <c r="X130" i="13"/>
  <c r="AA129" i="13"/>
  <c r="Y129" i="13"/>
  <c r="Z129" i="13" s="1"/>
  <c r="X129" i="13"/>
  <c r="AA128" i="13"/>
  <c r="Y128" i="13"/>
  <c r="Z128" i="13" s="1"/>
  <c r="X128" i="13"/>
  <c r="AA127" i="13"/>
  <c r="Z127" i="13"/>
  <c r="Y127" i="13"/>
  <c r="X127" i="13"/>
  <c r="AA126" i="13"/>
  <c r="Y126" i="13"/>
  <c r="Z126" i="13" s="1"/>
  <c r="X126" i="13"/>
  <c r="AA125" i="13"/>
  <c r="Y125" i="13"/>
  <c r="Z125" i="13" s="1"/>
  <c r="X125" i="13"/>
  <c r="AA124" i="13"/>
  <c r="Z124" i="13"/>
  <c r="Y124" i="13"/>
  <c r="X124" i="13"/>
  <c r="AA123" i="13"/>
  <c r="Y123" i="13"/>
  <c r="Z123" i="13" s="1"/>
  <c r="X123" i="13"/>
  <c r="AA122" i="13"/>
  <c r="Y122" i="13"/>
  <c r="Z122" i="13" s="1"/>
  <c r="X122" i="13"/>
  <c r="AA121" i="13"/>
  <c r="Y121" i="13"/>
  <c r="Z121" i="13" s="1"/>
  <c r="X121" i="13"/>
  <c r="AA120" i="13"/>
  <c r="Y120" i="13"/>
  <c r="Z120" i="13" s="1"/>
  <c r="X120" i="13"/>
  <c r="AA119" i="13"/>
  <c r="Y119" i="13"/>
  <c r="Z119" i="13" s="1"/>
  <c r="X119" i="13"/>
  <c r="AA118" i="13"/>
  <c r="Y118" i="13"/>
  <c r="Z118" i="13" s="1"/>
  <c r="X118" i="13"/>
  <c r="AA117" i="13"/>
  <c r="Y117" i="13"/>
  <c r="Z117" i="13" s="1"/>
  <c r="X117" i="13"/>
  <c r="AA116" i="13"/>
  <c r="Z116" i="13"/>
  <c r="Y116" i="13"/>
  <c r="X116" i="13"/>
  <c r="AA115" i="13"/>
  <c r="Y115" i="13"/>
  <c r="Z115" i="13" s="1"/>
  <c r="X115" i="13"/>
  <c r="AA114" i="13"/>
  <c r="Y114" i="13"/>
  <c r="Z114" i="13" s="1"/>
  <c r="X114" i="13"/>
  <c r="AA113" i="13"/>
  <c r="Z113" i="13"/>
  <c r="Y113" i="13"/>
  <c r="X113" i="13"/>
  <c r="AA112" i="13"/>
  <c r="Y112" i="13"/>
  <c r="Z112" i="13" s="1"/>
  <c r="X112" i="13"/>
  <c r="AA111" i="13"/>
  <c r="Y111" i="13"/>
  <c r="Z111" i="13" s="1"/>
  <c r="X111" i="13"/>
  <c r="AA110" i="13"/>
  <c r="Y110" i="13"/>
  <c r="Z110" i="13" s="1"/>
  <c r="X110" i="13"/>
  <c r="AA109" i="13"/>
  <c r="Y109" i="13"/>
  <c r="Z109" i="13" s="1"/>
  <c r="X109" i="13"/>
  <c r="AA108" i="13"/>
  <c r="Y108" i="13"/>
  <c r="Z108" i="13" s="1"/>
  <c r="X108" i="13"/>
  <c r="AA107" i="13"/>
  <c r="Y107" i="13"/>
  <c r="Z107" i="13" s="1"/>
  <c r="X107" i="13"/>
  <c r="AA106" i="13"/>
  <c r="Y106" i="13"/>
  <c r="Z106" i="13" s="1"/>
  <c r="X106" i="13"/>
  <c r="AA105" i="13"/>
  <c r="Z105" i="13"/>
  <c r="Y105" i="13"/>
  <c r="X105" i="13"/>
  <c r="AA104" i="13"/>
  <c r="Y104" i="13"/>
  <c r="Z104" i="13" s="1"/>
  <c r="X104" i="13"/>
  <c r="AA103" i="13"/>
  <c r="Y103" i="13"/>
  <c r="Z103" i="13" s="1"/>
  <c r="X103" i="13"/>
  <c r="AA102" i="13"/>
  <c r="Z102" i="13"/>
  <c r="Y102" i="13"/>
  <c r="X102" i="13"/>
  <c r="AA101" i="13"/>
  <c r="Y101" i="13"/>
  <c r="Z101" i="13" s="1"/>
  <c r="X101" i="13"/>
  <c r="AA100" i="13"/>
  <c r="Y100" i="13"/>
  <c r="Z100" i="13" s="1"/>
  <c r="X100" i="13"/>
  <c r="AA99" i="13"/>
  <c r="Y99" i="13"/>
  <c r="Z99" i="13" s="1"/>
  <c r="X99" i="13"/>
  <c r="AA98" i="13"/>
  <c r="Y98" i="13"/>
  <c r="Z98" i="13" s="1"/>
  <c r="X98" i="13"/>
  <c r="AA97" i="13"/>
  <c r="Y97" i="13"/>
  <c r="Z97" i="13" s="1"/>
  <c r="X97" i="13"/>
  <c r="AA96" i="13"/>
  <c r="Y96" i="13"/>
  <c r="Z96" i="13" s="1"/>
  <c r="X96" i="13"/>
  <c r="AA95" i="13"/>
  <c r="Y95" i="13"/>
  <c r="Z95" i="13" s="1"/>
  <c r="X95" i="13"/>
  <c r="AA94" i="13"/>
  <c r="Z94" i="13"/>
  <c r="Y94" i="13"/>
  <c r="X94" i="13"/>
  <c r="AA93" i="13"/>
  <c r="Y93" i="13"/>
  <c r="Z93" i="13" s="1"/>
  <c r="X93" i="13"/>
  <c r="AA92" i="13"/>
  <c r="Y92" i="13"/>
  <c r="Z92" i="13" s="1"/>
  <c r="X92" i="13"/>
  <c r="AA91" i="13"/>
  <c r="Z91" i="13"/>
  <c r="Y91" i="13"/>
  <c r="X91" i="13"/>
  <c r="AA90" i="13"/>
  <c r="Y90" i="13"/>
  <c r="Z90" i="13" s="1"/>
  <c r="X90" i="13"/>
  <c r="AA89" i="13"/>
  <c r="Y89" i="13"/>
  <c r="Z89" i="13" s="1"/>
  <c r="X89" i="13"/>
  <c r="AA88" i="13"/>
  <c r="Y88" i="13"/>
  <c r="Z88" i="13" s="1"/>
  <c r="X88" i="13"/>
  <c r="AI87" i="13"/>
  <c r="AA87" i="13"/>
  <c r="Y87" i="13"/>
  <c r="Z87" i="13" s="1"/>
  <c r="X87" i="13"/>
  <c r="AI86" i="13"/>
  <c r="AA86" i="13"/>
  <c r="Z86" i="13"/>
  <c r="Y86" i="13"/>
  <c r="X86" i="13"/>
  <c r="AI85" i="13"/>
  <c r="AA85" i="13"/>
  <c r="Y85" i="13"/>
  <c r="Z85" i="13" s="1"/>
  <c r="X85" i="13"/>
  <c r="AI84" i="13"/>
  <c r="AA84" i="13"/>
  <c r="Z84" i="13"/>
  <c r="Y84" i="13"/>
  <c r="X84" i="13"/>
  <c r="AI83" i="13"/>
  <c r="AA83" i="13"/>
  <c r="Y83" i="13"/>
  <c r="Z83" i="13" s="1"/>
  <c r="X83" i="13"/>
  <c r="AA82" i="13"/>
  <c r="Z82" i="13"/>
  <c r="Y82" i="13"/>
  <c r="X82" i="13"/>
  <c r="AA81" i="13"/>
  <c r="Z81" i="13"/>
  <c r="Y81" i="13"/>
  <c r="X81" i="13"/>
  <c r="AI80" i="13"/>
  <c r="AA80" i="13"/>
  <c r="Y80" i="13"/>
  <c r="Z80" i="13" s="1"/>
  <c r="X80" i="13"/>
  <c r="AI79" i="13"/>
  <c r="AA79" i="13"/>
  <c r="Y79" i="13"/>
  <c r="Z79" i="13" s="1"/>
  <c r="X79" i="13"/>
  <c r="AI78" i="13"/>
  <c r="AA78" i="13"/>
  <c r="Y78" i="13"/>
  <c r="Z78" i="13" s="1"/>
  <c r="X78" i="13"/>
  <c r="AI77" i="13"/>
  <c r="AA77" i="13"/>
  <c r="Y77" i="13"/>
  <c r="Z77" i="13" s="1"/>
  <c r="X77" i="13"/>
  <c r="AI76" i="13"/>
  <c r="AA76" i="13"/>
  <c r="Y76" i="13"/>
  <c r="Z76" i="13" s="1"/>
  <c r="X76" i="13"/>
  <c r="AA75" i="13"/>
  <c r="Y75" i="13"/>
  <c r="Z75" i="13" s="1"/>
  <c r="X75" i="13"/>
  <c r="AA74" i="13"/>
  <c r="Y74" i="13"/>
  <c r="Z74" i="13" s="1"/>
  <c r="X74" i="13"/>
  <c r="AA73" i="13"/>
  <c r="Y73" i="13"/>
  <c r="Z73" i="13" s="1"/>
  <c r="X73" i="13"/>
  <c r="AA72" i="13"/>
  <c r="Y72" i="13"/>
  <c r="Z72" i="13" s="1"/>
  <c r="X72" i="13"/>
  <c r="AA71" i="13"/>
  <c r="Y71" i="13"/>
  <c r="Z71" i="13" s="1"/>
  <c r="X71" i="13"/>
  <c r="AA70" i="13"/>
  <c r="Y70" i="13"/>
  <c r="Z70" i="13" s="1"/>
  <c r="X70" i="13"/>
  <c r="AA69" i="13"/>
  <c r="Z69" i="13"/>
  <c r="Y69" i="13"/>
  <c r="X69" i="13"/>
  <c r="AA68" i="13"/>
  <c r="Y68" i="13"/>
  <c r="Z68" i="13" s="1"/>
  <c r="X68" i="13"/>
  <c r="AA67" i="13"/>
  <c r="Y67" i="13"/>
  <c r="Z67" i="13" s="1"/>
  <c r="X67" i="13"/>
  <c r="AA66" i="13"/>
  <c r="Z66" i="13"/>
  <c r="Y66" i="13"/>
  <c r="X66" i="13"/>
  <c r="AA65" i="13"/>
  <c r="Y65" i="13"/>
  <c r="Z65" i="13" s="1"/>
  <c r="X65" i="13"/>
  <c r="AA64" i="13"/>
  <c r="Y64" i="13"/>
  <c r="Z64" i="13" s="1"/>
  <c r="X64" i="13"/>
  <c r="AA63" i="13"/>
  <c r="Y63" i="13"/>
  <c r="Z63" i="13" s="1"/>
  <c r="X63" i="13"/>
  <c r="AA62" i="13"/>
  <c r="Y62" i="13"/>
  <c r="Z62" i="13" s="1"/>
  <c r="X62" i="13"/>
  <c r="AA61" i="13"/>
  <c r="Y61" i="13"/>
  <c r="Z61" i="13" s="1"/>
  <c r="X61" i="13"/>
  <c r="AA60" i="13"/>
  <c r="Y60" i="13"/>
  <c r="Z60" i="13" s="1"/>
  <c r="X60" i="13"/>
  <c r="AA59" i="13"/>
  <c r="Y59" i="13"/>
  <c r="Z59" i="13" s="1"/>
  <c r="X59" i="13"/>
  <c r="AA58" i="13"/>
  <c r="Z58" i="13"/>
  <c r="Y58" i="13"/>
  <c r="X58" i="13"/>
  <c r="AA57" i="13"/>
  <c r="Y57" i="13"/>
  <c r="Z57" i="13" s="1"/>
  <c r="X57" i="13"/>
  <c r="AA56" i="13"/>
  <c r="Y56" i="13"/>
  <c r="Z56" i="13" s="1"/>
  <c r="X56" i="13"/>
  <c r="AA55" i="13"/>
  <c r="Z55" i="13"/>
  <c r="Y55" i="13"/>
  <c r="X55" i="13"/>
  <c r="AA54" i="13"/>
  <c r="Y54" i="13"/>
  <c r="Z54" i="13" s="1"/>
  <c r="X54" i="13"/>
  <c r="AA53" i="13"/>
  <c r="Y53" i="13"/>
  <c r="Z53" i="13" s="1"/>
  <c r="X53" i="13"/>
  <c r="AA52" i="13"/>
  <c r="Y52" i="13"/>
  <c r="Z52" i="13" s="1"/>
  <c r="X52" i="13"/>
  <c r="AA51" i="13"/>
  <c r="Y51" i="13"/>
  <c r="Z51" i="13" s="1"/>
  <c r="X51" i="13"/>
  <c r="AA50" i="13"/>
  <c r="Y50" i="13"/>
  <c r="Z50" i="13" s="1"/>
  <c r="X50" i="13"/>
  <c r="AA49" i="13"/>
  <c r="Y49" i="13"/>
  <c r="Z49" i="13" s="1"/>
  <c r="X49" i="13"/>
  <c r="AA48" i="13"/>
  <c r="Y48" i="13"/>
  <c r="Z48" i="13" s="1"/>
  <c r="X48" i="13"/>
  <c r="AA47" i="13"/>
  <c r="Z47" i="13"/>
  <c r="Y47" i="13"/>
  <c r="X47" i="13"/>
  <c r="AA46" i="13"/>
  <c r="Y46" i="13"/>
  <c r="Z46" i="13" s="1"/>
  <c r="X46" i="13"/>
  <c r="AA45" i="13"/>
  <c r="Y45" i="13"/>
  <c r="Z45" i="13" s="1"/>
  <c r="X45" i="13"/>
  <c r="AA44" i="13"/>
  <c r="Z44" i="13"/>
  <c r="Y44" i="13"/>
  <c r="X44" i="13"/>
  <c r="AA43" i="13"/>
  <c r="Y43" i="13"/>
  <c r="Z43" i="13" s="1"/>
  <c r="X43" i="13"/>
  <c r="AA42" i="13"/>
  <c r="Y42" i="13"/>
  <c r="Z42" i="13" s="1"/>
  <c r="X42" i="13"/>
  <c r="AA41" i="13"/>
  <c r="Y41" i="13"/>
  <c r="Z41" i="13" s="1"/>
  <c r="X41" i="13"/>
  <c r="AA40" i="13"/>
  <c r="Y40" i="13"/>
  <c r="Z40" i="13" s="1"/>
  <c r="X40" i="13"/>
  <c r="AA39" i="13"/>
  <c r="Y39" i="13"/>
  <c r="Z39" i="13" s="1"/>
  <c r="X39" i="13"/>
  <c r="AA38" i="13"/>
  <c r="Y38" i="13"/>
  <c r="Z38" i="13" s="1"/>
  <c r="X38" i="13"/>
  <c r="AA37" i="13"/>
  <c r="Y37" i="13"/>
  <c r="Z37" i="13" s="1"/>
  <c r="X37" i="13"/>
  <c r="AA36" i="13"/>
  <c r="Z36" i="13"/>
  <c r="Y36" i="13"/>
  <c r="X36" i="13"/>
  <c r="AA35" i="13"/>
  <c r="Y35" i="13"/>
  <c r="Z35" i="13" s="1"/>
  <c r="X35" i="13"/>
  <c r="AA34" i="13"/>
  <c r="Y34" i="13"/>
  <c r="Z34" i="13" s="1"/>
  <c r="X34" i="13"/>
  <c r="AA33" i="13"/>
  <c r="Z33" i="13"/>
  <c r="Y33" i="13"/>
  <c r="X33" i="13"/>
  <c r="AA32" i="13"/>
  <c r="Y32" i="13"/>
  <c r="Z32" i="13" s="1"/>
  <c r="X32" i="13"/>
  <c r="AA31" i="13"/>
  <c r="Y31" i="13"/>
  <c r="Z31" i="13" s="1"/>
  <c r="X31" i="13"/>
  <c r="AA30" i="13"/>
  <c r="Y30" i="13"/>
  <c r="Z30" i="13" s="1"/>
  <c r="X30" i="13"/>
  <c r="AA29" i="13"/>
  <c r="Y29" i="13"/>
  <c r="Z29" i="13" s="1"/>
  <c r="X29" i="13"/>
  <c r="AA28" i="13"/>
  <c r="Y28" i="13"/>
  <c r="Z28" i="13" s="1"/>
  <c r="X28" i="13"/>
  <c r="AA27" i="13"/>
  <c r="Y27" i="13"/>
  <c r="Z27" i="13" s="1"/>
  <c r="X27" i="13"/>
  <c r="AA26" i="13"/>
  <c r="Y26" i="13"/>
  <c r="Z26" i="13" s="1"/>
  <c r="X26" i="13"/>
  <c r="AA25" i="13"/>
  <c r="Z25" i="13"/>
  <c r="Y25" i="13"/>
  <c r="X25" i="13"/>
  <c r="AA24" i="13"/>
  <c r="Y24" i="13"/>
  <c r="Z24" i="13" s="1"/>
  <c r="X24" i="13"/>
  <c r="AA23" i="13"/>
  <c r="Y23" i="13"/>
  <c r="Z23" i="13" s="1"/>
  <c r="X23" i="13"/>
  <c r="AA22" i="13"/>
  <c r="Z22" i="13"/>
  <c r="Y22" i="13"/>
  <c r="X22" i="13"/>
  <c r="AA21" i="13"/>
  <c r="Y21" i="13"/>
  <c r="Z21" i="13" s="1"/>
  <c r="X21" i="13"/>
  <c r="AA20" i="13"/>
  <c r="Y20" i="13"/>
  <c r="Z20" i="13" s="1"/>
  <c r="X20" i="13"/>
  <c r="AA19" i="13"/>
  <c r="Y19" i="13"/>
  <c r="Z19" i="13" s="1"/>
  <c r="X19" i="13"/>
  <c r="AA18" i="13"/>
  <c r="Y18" i="13"/>
  <c r="Z18" i="13" s="1"/>
  <c r="X18" i="13"/>
  <c r="AA17" i="13"/>
  <c r="Y17" i="13"/>
  <c r="Z17" i="13" s="1"/>
  <c r="X17" i="13"/>
  <c r="AA16" i="13"/>
  <c r="Y16" i="13"/>
  <c r="Z16" i="13" s="1"/>
  <c r="X16" i="13"/>
  <c r="AA15" i="13"/>
  <c r="Y15" i="13"/>
  <c r="Z15" i="13" s="1"/>
  <c r="X15" i="13"/>
  <c r="AA14" i="13"/>
  <c r="Z14" i="13"/>
  <c r="Y14" i="13"/>
  <c r="X14" i="13"/>
  <c r="AA13" i="13"/>
  <c r="Y13" i="13"/>
  <c r="Z13" i="13" s="1"/>
  <c r="X13" i="13"/>
  <c r="AA12" i="13"/>
  <c r="Y12" i="13"/>
  <c r="Z12" i="13" s="1"/>
  <c r="X12" i="13"/>
  <c r="AA11" i="13"/>
  <c r="Z11" i="13"/>
  <c r="Y11" i="13"/>
  <c r="X11" i="13"/>
  <c r="AA10" i="13"/>
  <c r="Y10" i="13"/>
  <c r="Z10" i="13" s="1"/>
  <c r="X10" i="13"/>
  <c r="AA9" i="13"/>
  <c r="Y9" i="13"/>
  <c r="Z9" i="13" s="1"/>
  <c r="X9" i="13"/>
  <c r="AA8" i="13"/>
  <c r="Y8" i="13"/>
  <c r="Z8" i="13" s="1"/>
  <c r="X8" i="13"/>
  <c r="AA7" i="13"/>
  <c r="Y7" i="13"/>
  <c r="Z7" i="13" s="1"/>
  <c r="X7" i="13"/>
  <c r="AA6" i="13"/>
  <c r="Y6" i="13"/>
  <c r="Z6" i="13" s="1"/>
  <c r="X6" i="13"/>
  <c r="AA5" i="13"/>
  <c r="Y5" i="13"/>
  <c r="Z5" i="13" s="1"/>
  <c r="X5" i="13"/>
  <c r="AA4" i="13"/>
  <c r="Y4" i="13"/>
  <c r="Z4" i="13" s="1"/>
  <c r="X4" i="13"/>
  <c r="AA3" i="13"/>
  <c r="Z3" i="13"/>
  <c r="Y3" i="13"/>
  <c r="X3" i="13"/>
  <c r="AA2" i="13"/>
  <c r="Y2" i="13"/>
  <c r="Z2" i="13" s="1"/>
  <c r="X2" i="13"/>
</calcChain>
</file>

<file path=xl/sharedStrings.xml><?xml version="1.0" encoding="utf-8"?>
<sst xmlns="http://schemas.openxmlformats.org/spreadsheetml/2006/main" count="2610" uniqueCount="1217">
  <si>
    <t>nlay</t>
  </si>
  <si>
    <t>nrow</t>
  </si>
  <si>
    <t>ncol</t>
  </si>
  <si>
    <t>lrow</t>
  </si>
  <si>
    <t>lcol</t>
  </si>
  <si>
    <t>drow</t>
  </si>
  <si>
    <t>dcol</t>
  </si>
  <si>
    <t>layer</t>
  </si>
  <si>
    <t>name</t>
  </si>
  <si>
    <t>outcrop_z</t>
  </si>
  <si>
    <t>outcrop_zmin</t>
  </si>
  <si>
    <t>outcrop_zmax</t>
  </si>
  <si>
    <t>base_thicknesses</t>
  </si>
  <si>
    <t>outcrop_cells</t>
  </si>
  <si>
    <t>nsub</t>
  </si>
  <si>
    <t>transition_cells</t>
  </si>
  <si>
    <t>epsilon</t>
  </si>
  <si>
    <t>zone</t>
  </si>
  <si>
    <t>L01</t>
  </si>
  <si>
    <t>UnCaq</t>
  </si>
  <si>
    <t>L02</t>
  </si>
  <si>
    <t>Aqt1</t>
  </si>
  <si>
    <t>L03</t>
  </si>
  <si>
    <t>CAq1</t>
  </si>
  <si>
    <t>L04</t>
  </si>
  <si>
    <t>Aqt2</t>
  </si>
  <si>
    <t>L05</t>
  </si>
  <si>
    <t>CAq2</t>
  </si>
  <si>
    <t>nper</t>
  </si>
  <si>
    <t>perlen</t>
  </si>
  <si>
    <t>nstp</t>
  </si>
  <si>
    <t>tsmult</t>
  </si>
  <si>
    <t>comment</t>
  </si>
  <si>
    <t>steady state</t>
  </si>
  <si>
    <t>Initial condition and step change occurs here</t>
  </si>
  <si>
    <t>par_name</t>
  </si>
  <si>
    <t>value</t>
  </si>
  <si>
    <t>lb</t>
  </si>
  <si>
    <t>ub</t>
  </si>
  <si>
    <t>trans</t>
  </si>
  <si>
    <t>type</t>
  </si>
  <si>
    <t>ncell</t>
  </si>
  <si>
    <t>kh_01</t>
  </si>
  <si>
    <t>log</t>
  </si>
  <si>
    <t>pp</t>
  </si>
  <si>
    <t>Unc</t>
  </si>
  <si>
    <t>kh_02</t>
  </si>
  <si>
    <t>Aqt_01</t>
  </si>
  <si>
    <t>kh_03</t>
  </si>
  <si>
    <t>Caq_01</t>
  </si>
  <si>
    <t>kh_04</t>
  </si>
  <si>
    <t>Aqt_02</t>
  </si>
  <si>
    <t>kh_05</t>
  </si>
  <si>
    <t>Caq_02</t>
  </si>
  <si>
    <t>kv_01</t>
  </si>
  <si>
    <t>kv_02</t>
  </si>
  <si>
    <t>kv_03</t>
  </si>
  <si>
    <t>kv_04</t>
  </si>
  <si>
    <t>kv_05</t>
  </si>
  <si>
    <t>sy_01</t>
  </si>
  <si>
    <t>single</t>
  </si>
  <si>
    <t>sy_02</t>
  </si>
  <si>
    <t>sy_03</t>
  </si>
  <si>
    <t>sy_04</t>
  </si>
  <si>
    <t>sy_05</t>
  </si>
  <si>
    <t>ss_01</t>
  </si>
  <si>
    <t>ss_02</t>
  </si>
  <si>
    <t>ss_03</t>
  </si>
  <si>
    <t>ss_04</t>
  </si>
  <si>
    <t>ss_05</t>
  </si>
  <si>
    <t>rech_01</t>
  </si>
  <si>
    <t>none</t>
  </si>
  <si>
    <t>rech_02</t>
  </si>
  <si>
    <t>rech_03</t>
  </si>
  <si>
    <t>rech_04</t>
  </si>
  <si>
    <t>rech_05</t>
  </si>
  <si>
    <t>drn_cond_01</t>
  </si>
  <si>
    <t>Conductivity of drain/river bed</t>
  </si>
  <si>
    <t>drn_cond_02</t>
  </si>
  <si>
    <t>drn_cond_03</t>
  </si>
  <si>
    <t>drn_cond_04</t>
  </si>
  <si>
    <t>drn_cond_05</t>
  </si>
  <si>
    <t>time</t>
  </si>
  <si>
    <t>obs_label</t>
  </si>
  <si>
    <t>obs_type</t>
  </si>
  <si>
    <t>lay</t>
  </si>
  <si>
    <t>row</t>
  </si>
  <si>
    <t>col</t>
  </si>
  <si>
    <t>HEAD</t>
  </si>
  <si>
    <t>well_id</t>
  </si>
  <si>
    <t>q</t>
  </si>
  <si>
    <t>WELL_01</t>
  </si>
  <si>
    <t>WELL_02</t>
  </si>
  <si>
    <t>WELL_03</t>
  </si>
  <si>
    <t>WELL_04</t>
  </si>
  <si>
    <t>WELL_05</t>
  </si>
  <si>
    <t>Parameter</t>
  </si>
  <si>
    <t>stability_threshold</t>
  </si>
  <si>
    <t>Threshold to mask irresponsive cells</t>
  </si>
  <si>
    <t>start</t>
  </si>
  <si>
    <t xml:space="preserve">Time of step change </t>
  </si>
  <si>
    <t>start_step</t>
  </si>
  <si>
    <t>Corresponding time step index of step change (0 index)</t>
  </si>
  <si>
    <t>threshold_absolute</t>
  </si>
  <si>
    <t>Threshold to estimate absolute response time</t>
  </si>
  <si>
    <t>threshold_percent</t>
  </si>
  <si>
    <t>Threshold to estimate relative response time (Percentage)</t>
  </si>
  <si>
    <t>histogram_bins</t>
  </si>
  <si>
    <t>Number of bins for response time histograms</t>
  </si>
  <si>
    <t>step</t>
  </si>
  <si>
    <t>Step of animation frames (model units)</t>
  </si>
  <si>
    <t>n</t>
  </si>
  <si>
    <t>Number of animation frames</t>
  </si>
  <si>
    <t>qv_00</t>
  </si>
  <si>
    <t>qv_01</t>
  </si>
  <si>
    <t>qv_02</t>
  </si>
  <si>
    <t>qv_03</t>
  </si>
  <si>
    <t>qv_04</t>
  </si>
  <si>
    <t>qv_05</t>
  </si>
  <si>
    <t>qv_06</t>
  </si>
  <si>
    <t>qv_07</t>
  </si>
  <si>
    <t>qv_08</t>
  </si>
  <si>
    <t>qv_09</t>
  </si>
  <si>
    <t>qv_10</t>
  </si>
  <si>
    <t>qv_0</t>
  </si>
  <si>
    <t>kv_1E-13_kh_1E-03</t>
  </si>
  <si>
    <t>kv_1E-12_kh_1E-03</t>
  </si>
  <si>
    <t>year</t>
  </si>
  <si>
    <t>21000 BP</t>
  </si>
  <si>
    <t>20900 BP</t>
  </si>
  <si>
    <t>21K Bp - 1950 (paleo forcing)</t>
  </si>
  <si>
    <t>1950 - 2005 (55 years)</t>
  </si>
  <si>
    <t>20800 BP</t>
  </si>
  <si>
    <t>2005 - 2100 (95 years projection)</t>
  </si>
  <si>
    <t>20700 BP</t>
  </si>
  <si>
    <t>2100 - 10950 (8850 years)</t>
  </si>
  <si>
    <t>20600 BP</t>
  </si>
  <si>
    <t>20500 BP</t>
  </si>
  <si>
    <t>20400 BP</t>
  </si>
  <si>
    <t>20300 BP</t>
  </si>
  <si>
    <t>20200 BP</t>
  </si>
  <si>
    <t>20100 BP</t>
  </si>
  <si>
    <t>20000 BP</t>
  </si>
  <si>
    <t>19900 BP</t>
  </si>
  <si>
    <t>19800 BP</t>
  </si>
  <si>
    <t>19700 BP</t>
  </si>
  <si>
    <t>19600 BP</t>
  </si>
  <si>
    <t>WELL_06</t>
  </si>
  <si>
    <t>19500 BP</t>
  </si>
  <si>
    <t>19400 BP</t>
  </si>
  <si>
    <t>Transient recharge step change experiment</t>
  </si>
  <si>
    <t>19300 BP</t>
  </si>
  <si>
    <t>19200 BP</t>
  </si>
  <si>
    <t>19100 BP</t>
  </si>
  <si>
    <t>19000 BP</t>
  </si>
  <si>
    <t>18900 BP</t>
  </si>
  <si>
    <t>18800 BP</t>
  </si>
  <si>
    <t>18700 BP</t>
  </si>
  <si>
    <t>18600 BP</t>
  </si>
  <si>
    <t>18500 BP</t>
  </si>
  <si>
    <t>21K BP - 14K BP</t>
  </si>
  <si>
    <t>18400 BP</t>
  </si>
  <si>
    <t>14k - 11k BP</t>
  </si>
  <si>
    <t>18300 BP</t>
  </si>
  <si>
    <t>11kBP - present - 39kAP (500 years at annual step)</t>
  </si>
  <si>
    <t>18200 BP</t>
  </si>
  <si>
    <t>11kBP - present - 39kAP (the rest at century steps)</t>
  </si>
  <si>
    <t>18100 BP</t>
  </si>
  <si>
    <t>One thousand years</t>
  </si>
  <si>
    <t>18000 BP</t>
  </si>
  <si>
    <t>17900 BP</t>
  </si>
  <si>
    <t>17800 BP</t>
  </si>
  <si>
    <t>17700 BP</t>
  </si>
  <si>
    <t>17600 BP</t>
  </si>
  <si>
    <t>17500 BP</t>
  </si>
  <si>
    <t>17400 BP</t>
  </si>
  <si>
    <t>17300 BP</t>
  </si>
  <si>
    <t>17200 BP</t>
  </si>
  <si>
    <t>17100 BP</t>
  </si>
  <si>
    <t>17000 BP</t>
  </si>
  <si>
    <t>16900 BP</t>
  </si>
  <si>
    <t>16800 BP</t>
  </si>
  <si>
    <t>16700 BP</t>
  </si>
  <si>
    <t>16600 BP</t>
  </si>
  <si>
    <t>16500 BP</t>
  </si>
  <si>
    <t>16400 BP</t>
  </si>
  <si>
    <t>16300 BP</t>
  </si>
  <si>
    <t>16200 BP</t>
  </si>
  <si>
    <t>16100 BP</t>
  </si>
  <si>
    <t>16000 BP</t>
  </si>
  <si>
    <t>15900 BP</t>
  </si>
  <si>
    <t>15800 BP</t>
  </si>
  <si>
    <t>15700 BP</t>
  </si>
  <si>
    <t>15600 BP</t>
  </si>
  <si>
    <t>15500 BP</t>
  </si>
  <si>
    <t>15400 BP</t>
  </si>
  <si>
    <t>15300 BP</t>
  </si>
  <si>
    <t>15200 BP</t>
  </si>
  <si>
    <t>15100 BP</t>
  </si>
  <si>
    <t>15000 BP</t>
  </si>
  <si>
    <t>14900 BP</t>
  </si>
  <si>
    <t>14800 BP</t>
  </si>
  <si>
    <t>14700 BP</t>
  </si>
  <si>
    <t>Manual refinement</t>
  </si>
  <si>
    <t>14600 BP</t>
  </si>
  <si>
    <t>14500 BP</t>
  </si>
  <si>
    <t>14400 BP</t>
  </si>
  <si>
    <t>14300 BP</t>
  </si>
  <si>
    <t>Monthly time steps for 50 years</t>
  </si>
  <si>
    <t>Geometry one</t>
  </si>
  <si>
    <t>14200 BP</t>
  </si>
  <si>
    <t>Annual time steps for 500 years</t>
  </si>
  <si>
    <t>14100 BP</t>
  </si>
  <si>
    <t>500 yrs time steps for 50k years</t>
  </si>
  <si>
    <t>14000 BP</t>
  </si>
  <si>
    <t>10k yrs time steps for 1M years</t>
  </si>
  <si>
    <t>13900 BP</t>
  </si>
  <si>
    <t>13800 BP</t>
  </si>
  <si>
    <t>Adaptive time step</t>
  </si>
  <si>
    <t>13700 BP</t>
  </si>
  <si>
    <t>t1 (days)</t>
  </si>
  <si>
    <t>perlen (years)</t>
  </si>
  <si>
    <t>13600 BP</t>
  </si>
  <si>
    <t>13500 BP</t>
  </si>
  <si>
    <t>13400 BP</t>
  </si>
  <si>
    <t>Geometry two</t>
  </si>
  <si>
    <t>13300 BP</t>
  </si>
  <si>
    <t>13200 BP</t>
  </si>
  <si>
    <t>13100 BP</t>
  </si>
  <si>
    <t>13000 BP</t>
  </si>
  <si>
    <t>12900 BP</t>
  </si>
  <si>
    <t>12800 BP</t>
  </si>
  <si>
    <t>12700 BP</t>
  </si>
  <si>
    <t>12600 BP</t>
  </si>
  <si>
    <t>12500 BP</t>
  </si>
  <si>
    <t>12400 BP</t>
  </si>
  <si>
    <t>12300 BP</t>
  </si>
  <si>
    <t>Run01</t>
  </si>
  <si>
    <t>12200 BP</t>
  </si>
  <si>
    <t>12100 BP</t>
  </si>
  <si>
    <t>kv_1E-09_kh_1E-07</t>
  </si>
  <si>
    <t>kv_1E-09_kh_1E-06</t>
  </si>
  <si>
    <t>kv_1E-09_kh_1E-05</t>
  </si>
  <si>
    <t>kv_1E-09_kh_1E-04</t>
  </si>
  <si>
    <t>kv_1E-09_kh_1E-03</t>
  </si>
  <si>
    <t>kv_1E-07_kh_1E-07</t>
  </si>
  <si>
    <t>kv_1E-07_kh_1E-06</t>
  </si>
  <si>
    <t>kv_1E-07_kh_1E-05</t>
  </si>
  <si>
    <t>kv_1E-07_kh_1E-04</t>
  </si>
  <si>
    <t>kv_1E-07_kh_1E-03</t>
  </si>
  <si>
    <t>12000 BP</t>
  </si>
  <si>
    <t>11900 BP</t>
  </si>
  <si>
    <t>11800 BP</t>
  </si>
  <si>
    <t>11700 BP</t>
  </si>
  <si>
    <t>11600 BP</t>
  </si>
  <si>
    <t>11500 BP</t>
  </si>
  <si>
    <t>11400 BP</t>
  </si>
  <si>
    <t>11300 BP</t>
  </si>
  <si>
    <t>11200 BP</t>
  </si>
  <si>
    <t>11100 BP</t>
  </si>
  <si>
    <t>11000 BP</t>
  </si>
  <si>
    <t>10900 BP</t>
  </si>
  <si>
    <t>Run02.1</t>
  </si>
  <si>
    <t>10800 BP</t>
  </si>
  <si>
    <t>kv_1E-13_kh_1E-07</t>
  </si>
  <si>
    <t>kv_1E-13_kh_1E-06</t>
  </si>
  <si>
    <t>kv_1E-13_kh_1E-05</t>
  </si>
  <si>
    <t>kv_1E-13_kh_1E-04</t>
  </si>
  <si>
    <t>kv_1E-12_kh_1E-07</t>
  </si>
  <si>
    <t>kv_1E-12_kh_1E-06</t>
  </si>
  <si>
    <t>kv_1E-12_kh_1E-05</t>
  </si>
  <si>
    <t>kv_1E-12_kh_1E-04</t>
  </si>
  <si>
    <t>kv_1E-11_kh_1E-07</t>
  </si>
  <si>
    <t>kv_1E-11_kh_1E-06</t>
  </si>
  <si>
    <t>kv_1E-11_kh_1E-05</t>
  </si>
  <si>
    <t>kv_1E-11_kh_1E-04</t>
  </si>
  <si>
    <t>kv_1E-11_kh_1E-03</t>
  </si>
  <si>
    <t>10700 BP</t>
  </si>
  <si>
    <t>10600 BP</t>
  </si>
  <si>
    <t>10500 BP</t>
  </si>
  <si>
    <t>10400 BP</t>
  </si>
  <si>
    <t>10300 BP</t>
  </si>
  <si>
    <t>10200 BP</t>
  </si>
  <si>
    <t>10100 BP</t>
  </si>
  <si>
    <t>10000 BP</t>
  </si>
  <si>
    <t>9900 BP</t>
  </si>
  <si>
    <t>9800 BP</t>
  </si>
  <si>
    <t>9700 BP</t>
  </si>
  <si>
    <t>9600 BP</t>
  </si>
  <si>
    <t>Run02.2</t>
  </si>
  <si>
    <t>9500 BP</t>
  </si>
  <si>
    <t>kv_1E-10_kh_1E-07</t>
  </si>
  <si>
    <t>kv_1E-10_kh_1E-06</t>
  </si>
  <si>
    <t>kv_1E-10_kh_1E-05</t>
  </si>
  <si>
    <t>kv_1E-10_kh_1E-04</t>
  </si>
  <si>
    <t>kv_1E-10_kh_1E-03</t>
  </si>
  <si>
    <t>kv_1E-08_kh_1E-07</t>
  </si>
  <si>
    <t>kv_1E-08_kh_1E-06</t>
  </si>
  <si>
    <t>kv_1E-08_kh_1E-05</t>
  </si>
  <si>
    <t>kv_1E-08_kh_1E-04</t>
  </si>
  <si>
    <t>kv_1E-08_kh_1E-03</t>
  </si>
  <si>
    <t>9400 BP</t>
  </si>
  <si>
    <t>9300 BP</t>
  </si>
  <si>
    <t>9200 BP</t>
  </si>
  <si>
    <t>9100 BP</t>
  </si>
  <si>
    <t>9000 BP</t>
  </si>
  <si>
    <t>8900 BP</t>
  </si>
  <si>
    <t>8800 BP</t>
  </si>
  <si>
    <t>8700 BP</t>
  </si>
  <si>
    <t>8600 BP</t>
  </si>
  <si>
    <t>8500 BP</t>
  </si>
  <si>
    <t>8400 BP</t>
  </si>
  <si>
    <t>8300 BP</t>
  </si>
  <si>
    <t>Run03</t>
  </si>
  <si>
    <t>8200 BP</t>
  </si>
  <si>
    <t>8100 BP</t>
  </si>
  <si>
    <t>8000 BP</t>
  </si>
  <si>
    <t>7900 BP</t>
  </si>
  <si>
    <t>7800 BP</t>
  </si>
  <si>
    <t>7700 BP</t>
  </si>
  <si>
    <t>7600 BP</t>
  </si>
  <si>
    <t>7500 BP</t>
  </si>
  <si>
    <t>7400 BP</t>
  </si>
  <si>
    <t>7300 BP</t>
  </si>
  <si>
    <t>7200 BP</t>
  </si>
  <si>
    <t>7100 BP</t>
  </si>
  <si>
    <t>7000 BP</t>
  </si>
  <si>
    <t>6900 BP</t>
  </si>
  <si>
    <t>6800 BP</t>
  </si>
  <si>
    <t>6700 BP</t>
  </si>
  <si>
    <t>6600 BP</t>
  </si>
  <si>
    <t>6500 BP</t>
  </si>
  <si>
    <t>6400 BP</t>
  </si>
  <si>
    <t>6300 BP</t>
  </si>
  <si>
    <t>6200 BP</t>
  </si>
  <si>
    <t>6100 BP</t>
  </si>
  <si>
    <t>6000 BP</t>
  </si>
  <si>
    <t>5900 BP</t>
  </si>
  <si>
    <t>5800 BP</t>
  </si>
  <si>
    <t>5700 BP</t>
  </si>
  <si>
    <t>5600 BP</t>
  </si>
  <si>
    <t>5500 BP</t>
  </si>
  <si>
    <t>5400 BP</t>
  </si>
  <si>
    <t>5300 BP</t>
  </si>
  <si>
    <t>5200 BP</t>
  </si>
  <si>
    <t>5100 BP</t>
  </si>
  <si>
    <t>5000 BP</t>
  </si>
  <si>
    <t>4900 BP</t>
  </si>
  <si>
    <t>4800 BP</t>
  </si>
  <si>
    <t>4700 BP</t>
  </si>
  <si>
    <t>4600 BP</t>
  </si>
  <si>
    <t>4500 BP</t>
  </si>
  <si>
    <t>4400 BP</t>
  </si>
  <si>
    <t>4300 BP</t>
  </si>
  <si>
    <t>4200 BP</t>
  </si>
  <si>
    <t>4100 BP</t>
  </si>
  <si>
    <t>4000 BP</t>
  </si>
  <si>
    <t>3900 BP</t>
  </si>
  <si>
    <t>3800 BP</t>
  </si>
  <si>
    <t>3700 BP</t>
  </si>
  <si>
    <t>3600 BP</t>
  </si>
  <si>
    <t>3500 BP</t>
  </si>
  <si>
    <t>3400 BP</t>
  </si>
  <si>
    <t>3300 BP</t>
  </si>
  <si>
    <t>3200 BP</t>
  </si>
  <si>
    <t>3100 BP</t>
  </si>
  <si>
    <t>3000 BP</t>
  </si>
  <si>
    <t>2900 BP</t>
  </si>
  <si>
    <t>2800 BP</t>
  </si>
  <si>
    <t>2700 BP</t>
  </si>
  <si>
    <t>2600 BP</t>
  </si>
  <si>
    <t>2500 BP</t>
  </si>
  <si>
    <t>2400 BP</t>
  </si>
  <si>
    <t>2300 BP</t>
  </si>
  <si>
    <t>2200 BP</t>
  </si>
  <si>
    <t>2100 BP</t>
  </si>
  <si>
    <t>2000 BP</t>
  </si>
  <si>
    <t>1900 BP</t>
  </si>
  <si>
    <t>1800 BP</t>
  </si>
  <si>
    <t>1700 BP</t>
  </si>
  <si>
    <t>1600 BP</t>
  </si>
  <si>
    <t>1500 BP</t>
  </si>
  <si>
    <t>1400 BP</t>
  </si>
  <si>
    <t>1300 BP</t>
  </si>
  <si>
    <t>1200 BP</t>
  </si>
  <si>
    <t>1100 BP</t>
  </si>
  <si>
    <t>1000 BP</t>
  </si>
  <si>
    <t>900 BP</t>
  </si>
  <si>
    <t>800 BP</t>
  </si>
  <si>
    <t>700 BP</t>
  </si>
  <si>
    <t>600 BP</t>
  </si>
  <si>
    <t>500 BP</t>
  </si>
  <si>
    <t>400 BP</t>
  </si>
  <si>
    <t>300 BP</t>
  </si>
  <si>
    <t>200 BP</t>
  </si>
  <si>
    <t>100 BP</t>
  </si>
  <si>
    <t>No data projection</t>
  </si>
  <si>
    <t>q_init</t>
  </si>
  <si>
    <t>qv_11</t>
  </si>
  <si>
    <t>WELL_07</t>
  </si>
  <si>
    <t>WELL_08</t>
  </si>
  <si>
    <t>WELL_09</t>
  </si>
  <si>
    <t>WELL_10</t>
  </si>
  <si>
    <t>WELL_11</t>
  </si>
  <si>
    <t>WELL_12</t>
  </si>
  <si>
    <t>WELL_13</t>
  </si>
  <si>
    <t>WELL_14</t>
  </si>
  <si>
    <t>WELL_15</t>
  </si>
  <si>
    <t>0_100_82</t>
  </si>
  <si>
    <t>0_100_99</t>
  </si>
  <si>
    <t>0_100_116</t>
  </si>
  <si>
    <t>0_100_132</t>
  </si>
  <si>
    <t>0_100_149</t>
  </si>
  <si>
    <t>0_100_166</t>
  </si>
  <si>
    <t>0_100_182</t>
  </si>
  <si>
    <t>0_100_199</t>
  </si>
  <si>
    <t>1_100_82</t>
  </si>
  <si>
    <t>1_100_99</t>
  </si>
  <si>
    <t>1_100_116</t>
  </si>
  <si>
    <t>1_100_132</t>
  </si>
  <si>
    <t>1_100_149</t>
  </si>
  <si>
    <t>1_100_166</t>
  </si>
  <si>
    <t>1_100_182</t>
  </si>
  <si>
    <t>1_100_199</t>
  </si>
  <si>
    <t>2_100_82</t>
  </si>
  <si>
    <t>2_100_99</t>
  </si>
  <si>
    <t>2_100_116</t>
  </si>
  <si>
    <t>2_100_132</t>
  </si>
  <si>
    <t>2_100_149</t>
  </si>
  <si>
    <t>2_100_166</t>
  </si>
  <si>
    <t>2_100_182</t>
  </si>
  <si>
    <t>2_100_199</t>
  </si>
  <si>
    <t>3_100_82</t>
  </si>
  <si>
    <t>3_100_99</t>
  </si>
  <si>
    <t>3_100_116</t>
  </si>
  <si>
    <t>3_100_132</t>
  </si>
  <si>
    <t>3_100_149</t>
  </si>
  <si>
    <t>3_100_166</t>
  </si>
  <si>
    <t>3_100_182</t>
  </si>
  <si>
    <t>3_100_199</t>
  </si>
  <si>
    <t>4_100_82</t>
  </si>
  <si>
    <t>4_100_99</t>
  </si>
  <si>
    <t>4_100_116</t>
  </si>
  <si>
    <t>4_100_132</t>
  </si>
  <si>
    <t>4_100_149</t>
  </si>
  <si>
    <t>4_100_166</t>
  </si>
  <si>
    <t>4_100_182</t>
  </si>
  <si>
    <t>4_100_199</t>
  </si>
  <si>
    <t>5_100_66</t>
  </si>
  <si>
    <t>5_100_82</t>
  </si>
  <si>
    <t>5_100_99</t>
  </si>
  <si>
    <t>5_100_116</t>
  </si>
  <si>
    <t>5_100_132</t>
  </si>
  <si>
    <t>5_100_149</t>
  </si>
  <si>
    <t>5_100_166</t>
  </si>
  <si>
    <t>5_100_182</t>
  </si>
  <si>
    <t>5_100_199</t>
  </si>
  <si>
    <t>6_100_66</t>
  </si>
  <si>
    <t>6_100_82</t>
  </si>
  <si>
    <t>6_100_99</t>
  </si>
  <si>
    <t>6_100_116</t>
  </si>
  <si>
    <t>6_100_132</t>
  </si>
  <si>
    <t>6_100_149</t>
  </si>
  <si>
    <t>6_100_166</t>
  </si>
  <si>
    <t>6_100_182</t>
  </si>
  <si>
    <t>6_100_199</t>
  </si>
  <si>
    <t>7_100_66</t>
  </si>
  <si>
    <t>7_100_82</t>
  </si>
  <si>
    <t>7_100_99</t>
  </si>
  <si>
    <t>7_100_116</t>
  </si>
  <si>
    <t>7_100_132</t>
  </si>
  <si>
    <t>7_100_149</t>
  </si>
  <si>
    <t>7_100_166</t>
  </si>
  <si>
    <t>7_100_182</t>
  </si>
  <si>
    <t>7_100_199</t>
  </si>
  <si>
    <t>8_100_66</t>
  </si>
  <si>
    <t>8_100_82</t>
  </si>
  <si>
    <t>8_100_99</t>
  </si>
  <si>
    <t>8_100_116</t>
  </si>
  <si>
    <t>8_100_132</t>
  </si>
  <si>
    <t>8_100_149</t>
  </si>
  <si>
    <t>8_100_166</t>
  </si>
  <si>
    <t>8_100_182</t>
  </si>
  <si>
    <t>8_100_199</t>
  </si>
  <si>
    <t>9_100_66</t>
  </si>
  <si>
    <t>9_100_82</t>
  </si>
  <si>
    <t>9_100_99</t>
  </si>
  <si>
    <t>9_100_116</t>
  </si>
  <si>
    <t>9_100_132</t>
  </si>
  <si>
    <t>9_100_149</t>
  </si>
  <si>
    <t>9_100_166</t>
  </si>
  <si>
    <t>9_100_182</t>
  </si>
  <si>
    <t>9_100_199</t>
  </si>
  <si>
    <t>10_100_32</t>
  </si>
  <si>
    <t>10_100_49</t>
  </si>
  <si>
    <t>10_100_66</t>
  </si>
  <si>
    <t>10_100_82</t>
  </si>
  <si>
    <t>10_100_99</t>
  </si>
  <si>
    <t>10_100_116</t>
  </si>
  <si>
    <t>10_100_132</t>
  </si>
  <si>
    <t>10_100_149</t>
  </si>
  <si>
    <t>10_100_166</t>
  </si>
  <si>
    <t>10_100_182</t>
  </si>
  <si>
    <t>10_100_199</t>
  </si>
  <si>
    <t>11_100_32</t>
  </si>
  <si>
    <t>11_100_49</t>
  </si>
  <si>
    <t>11_100_66</t>
  </si>
  <si>
    <t>11_100_82</t>
  </si>
  <si>
    <t>11_100_99</t>
  </si>
  <si>
    <t>11_100_116</t>
  </si>
  <si>
    <t>11_100_132</t>
  </si>
  <si>
    <t>11_100_149</t>
  </si>
  <si>
    <t>11_100_166</t>
  </si>
  <si>
    <t>11_100_182</t>
  </si>
  <si>
    <t>11_100_199</t>
  </si>
  <si>
    <t>12_100_32</t>
  </si>
  <si>
    <t>12_100_49</t>
  </si>
  <si>
    <t>12_100_66</t>
  </si>
  <si>
    <t>12_100_82</t>
  </si>
  <si>
    <t>12_100_99</t>
  </si>
  <si>
    <t>12_100_116</t>
  </si>
  <si>
    <t>12_100_132</t>
  </si>
  <si>
    <t>12_100_149</t>
  </si>
  <si>
    <t>12_100_166</t>
  </si>
  <si>
    <t>12_100_182</t>
  </si>
  <si>
    <t>12_100_199</t>
  </si>
  <si>
    <t>13_100_32</t>
  </si>
  <si>
    <t>13_100_49</t>
  </si>
  <si>
    <t>13_100_66</t>
  </si>
  <si>
    <t>13_100_82</t>
  </si>
  <si>
    <t>13_100_99</t>
  </si>
  <si>
    <t>13_100_116</t>
  </si>
  <si>
    <t>13_100_132</t>
  </si>
  <si>
    <t>13_100_149</t>
  </si>
  <si>
    <t>13_100_166</t>
  </si>
  <si>
    <t>13_100_182</t>
  </si>
  <si>
    <t>13_100_199</t>
  </si>
  <si>
    <t>14_100_32</t>
  </si>
  <si>
    <t>14_100_49</t>
  </si>
  <si>
    <t>14_100_66</t>
  </si>
  <si>
    <t>14_100_82</t>
  </si>
  <si>
    <t>14_100_99</t>
  </si>
  <si>
    <t>14_100_116</t>
  </si>
  <si>
    <t>14_100_132</t>
  </si>
  <si>
    <t>14_100_149</t>
  </si>
  <si>
    <t>14_100_166</t>
  </si>
  <si>
    <t>14_100_182</t>
  </si>
  <si>
    <t>14_100_199</t>
  </si>
  <si>
    <t>15_100_24</t>
  </si>
  <si>
    <t>15_100_32</t>
  </si>
  <si>
    <t>15_100_49</t>
  </si>
  <si>
    <t>15_100_66</t>
  </si>
  <si>
    <t>15_100_82</t>
  </si>
  <si>
    <t>15_100_99</t>
  </si>
  <si>
    <t>15_100_116</t>
  </si>
  <si>
    <t>15_100_132</t>
  </si>
  <si>
    <t>15_100_149</t>
  </si>
  <si>
    <t>15_100_166</t>
  </si>
  <si>
    <t>15_100_182</t>
  </si>
  <si>
    <t>15_100_199</t>
  </si>
  <si>
    <t>16_100_24</t>
  </si>
  <si>
    <t>16_100_32</t>
  </si>
  <si>
    <t>16_100_49</t>
  </si>
  <si>
    <t>16_100_66</t>
  </si>
  <si>
    <t>16_100_82</t>
  </si>
  <si>
    <t>16_100_99</t>
  </si>
  <si>
    <t>16_100_116</t>
  </si>
  <si>
    <t>16_100_132</t>
  </si>
  <si>
    <t>16_100_149</t>
  </si>
  <si>
    <t>16_100_166</t>
  </si>
  <si>
    <t>16_100_182</t>
  </si>
  <si>
    <t>16_100_199</t>
  </si>
  <si>
    <t>17_100_24</t>
  </si>
  <si>
    <t>17_100_32</t>
  </si>
  <si>
    <t>17_100_49</t>
  </si>
  <si>
    <t>17_100_66</t>
  </si>
  <si>
    <t>17_100_82</t>
  </si>
  <si>
    <t>17_100_99</t>
  </si>
  <si>
    <t>17_100_116</t>
  </si>
  <si>
    <t>17_100_132</t>
  </si>
  <si>
    <t>17_100_149</t>
  </si>
  <si>
    <t>17_100_166</t>
  </si>
  <si>
    <t>17_100_182</t>
  </si>
  <si>
    <t>17_100_199</t>
  </si>
  <si>
    <t>18_100_24</t>
  </si>
  <si>
    <t>18_100_32</t>
  </si>
  <si>
    <t>18_100_49</t>
  </si>
  <si>
    <t>18_100_66</t>
  </si>
  <si>
    <t>18_100_82</t>
  </si>
  <si>
    <t>18_100_99</t>
  </si>
  <si>
    <t>18_100_116</t>
  </si>
  <si>
    <t>18_100_132</t>
  </si>
  <si>
    <t>18_100_149</t>
  </si>
  <si>
    <t>18_100_166</t>
  </si>
  <si>
    <t>18_100_182</t>
  </si>
  <si>
    <t>18_100_199</t>
  </si>
  <si>
    <t>19_100_24</t>
  </si>
  <si>
    <t>19_100_32</t>
  </si>
  <si>
    <t>19_100_49</t>
  </si>
  <si>
    <t>19_100_66</t>
  </si>
  <si>
    <t>19_100_82</t>
  </si>
  <si>
    <t>19_100_99</t>
  </si>
  <si>
    <t>19_100_116</t>
  </si>
  <si>
    <t>19_100_132</t>
  </si>
  <si>
    <t>19_100_149</t>
  </si>
  <si>
    <t>19_100_166</t>
  </si>
  <si>
    <t>19_100_182</t>
  </si>
  <si>
    <t>19_100_199</t>
  </si>
  <si>
    <t>20_100_7</t>
  </si>
  <si>
    <t>20_100_24</t>
  </si>
  <si>
    <t>20_100_32</t>
  </si>
  <si>
    <t>20_100_49</t>
  </si>
  <si>
    <t>20_100_66</t>
  </si>
  <si>
    <t>20_100_82</t>
  </si>
  <si>
    <t>20_100_99</t>
  </si>
  <si>
    <t>20_100_116</t>
  </si>
  <si>
    <t>20_100_132</t>
  </si>
  <si>
    <t>20_100_149</t>
  </si>
  <si>
    <t>20_100_166</t>
  </si>
  <si>
    <t>20_100_182</t>
  </si>
  <si>
    <t>20_100_199</t>
  </si>
  <si>
    <t>21_100_7</t>
  </si>
  <si>
    <t>21_100_24</t>
  </si>
  <si>
    <t>21_100_32</t>
  </si>
  <si>
    <t>21_100_49</t>
  </si>
  <si>
    <t>21_100_66</t>
  </si>
  <si>
    <t>21_100_82</t>
  </si>
  <si>
    <t>21_100_99</t>
  </si>
  <si>
    <t>21_100_116</t>
  </si>
  <si>
    <t>21_100_132</t>
  </si>
  <si>
    <t>21_100_149</t>
  </si>
  <si>
    <t>21_100_166</t>
  </si>
  <si>
    <t>21_100_182</t>
  </si>
  <si>
    <t>21_100_199</t>
  </si>
  <si>
    <t>22_100_7</t>
  </si>
  <si>
    <t>22_100_24</t>
  </si>
  <si>
    <t>22_100_32</t>
  </si>
  <si>
    <t>22_100_49</t>
  </si>
  <si>
    <t>22_100_66</t>
  </si>
  <si>
    <t>22_100_82</t>
  </si>
  <si>
    <t>22_100_99</t>
  </si>
  <si>
    <t>22_100_116</t>
  </si>
  <si>
    <t>22_100_132</t>
  </si>
  <si>
    <t>22_100_149</t>
  </si>
  <si>
    <t>22_100_166</t>
  </si>
  <si>
    <t>22_100_182</t>
  </si>
  <si>
    <t>22_100_199</t>
  </si>
  <si>
    <t>23_100_7</t>
  </si>
  <si>
    <t>23_100_24</t>
  </si>
  <si>
    <t>23_100_32</t>
  </si>
  <si>
    <t>23_100_49</t>
  </si>
  <si>
    <t>23_100_66</t>
  </si>
  <si>
    <t>23_100_82</t>
  </si>
  <si>
    <t>23_100_99</t>
  </si>
  <si>
    <t>23_100_116</t>
  </si>
  <si>
    <t>23_100_132</t>
  </si>
  <si>
    <t>23_100_149</t>
  </si>
  <si>
    <t>23_100_166</t>
  </si>
  <si>
    <t>23_100_182</t>
  </si>
  <si>
    <t>23_100_199</t>
  </si>
  <si>
    <t>24_100_7</t>
  </si>
  <si>
    <t>24_100_24</t>
  </si>
  <si>
    <t>24_100_32</t>
  </si>
  <si>
    <t>24_100_49</t>
  </si>
  <si>
    <t>24_100_66</t>
  </si>
  <si>
    <t>24_100_82</t>
  </si>
  <si>
    <t>24_100_99</t>
  </si>
  <si>
    <t>24_100_116</t>
  </si>
  <si>
    <t>24_100_132</t>
  </si>
  <si>
    <t>24_100_149</t>
  </si>
  <si>
    <t>24_100_166</t>
  </si>
  <si>
    <t>24_100_182</t>
  </si>
  <si>
    <t>24_100_199</t>
  </si>
  <si>
    <t>0_50_82</t>
  </si>
  <si>
    <t>0_50_99</t>
  </si>
  <si>
    <t>0_50_116</t>
  </si>
  <si>
    <t>0_50_132</t>
  </si>
  <si>
    <t>0_50_149</t>
  </si>
  <si>
    <t>0_50_166</t>
  </si>
  <si>
    <t>0_50_182</t>
  </si>
  <si>
    <t>0_50_199</t>
  </si>
  <si>
    <t>1_50_82</t>
  </si>
  <si>
    <t>1_50_99</t>
  </si>
  <si>
    <t>1_50_116</t>
  </si>
  <si>
    <t>1_50_132</t>
  </si>
  <si>
    <t>1_50_149</t>
  </si>
  <si>
    <t>1_50_166</t>
  </si>
  <si>
    <t>1_50_182</t>
  </si>
  <si>
    <t>1_50_199</t>
  </si>
  <si>
    <t>2_50_82</t>
  </si>
  <si>
    <t>2_50_99</t>
  </si>
  <si>
    <t>2_50_116</t>
  </si>
  <si>
    <t>2_50_132</t>
  </si>
  <si>
    <t>2_50_149</t>
  </si>
  <si>
    <t>2_50_166</t>
  </si>
  <si>
    <t>2_50_182</t>
  </si>
  <si>
    <t>2_50_199</t>
  </si>
  <si>
    <t>3_50_82</t>
  </si>
  <si>
    <t>3_50_99</t>
  </si>
  <si>
    <t>3_50_116</t>
  </si>
  <si>
    <t>3_50_132</t>
  </si>
  <si>
    <t>3_50_149</t>
  </si>
  <si>
    <t>3_50_166</t>
  </si>
  <si>
    <t>3_50_182</t>
  </si>
  <si>
    <t>3_50_199</t>
  </si>
  <si>
    <t>4_50_82</t>
  </si>
  <si>
    <t>4_50_99</t>
  </si>
  <si>
    <t>4_50_116</t>
  </si>
  <si>
    <t>4_50_132</t>
  </si>
  <si>
    <t>4_50_149</t>
  </si>
  <si>
    <t>4_50_166</t>
  </si>
  <si>
    <t>4_50_182</t>
  </si>
  <si>
    <t>4_50_199</t>
  </si>
  <si>
    <t>5_50_66</t>
  </si>
  <si>
    <t>5_50_82</t>
  </si>
  <si>
    <t>5_50_99</t>
  </si>
  <si>
    <t>5_50_116</t>
  </si>
  <si>
    <t>5_50_132</t>
  </si>
  <si>
    <t>5_50_149</t>
  </si>
  <si>
    <t>5_50_166</t>
  </si>
  <si>
    <t>5_50_182</t>
  </si>
  <si>
    <t>5_50_199</t>
  </si>
  <si>
    <t>6_50_66</t>
  </si>
  <si>
    <t>6_50_82</t>
  </si>
  <si>
    <t>6_50_99</t>
  </si>
  <si>
    <t>6_50_116</t>
  </si>
  <si>
    <t>6_50_132</t>
  </si>
  <si>
    <t>6_50_149</t>
  </si>
  <si>
    <t>6_50_166</t>
  </si>
  <si>
    <t>6_50_182</t>
  </si>
  <si>
    <t>6_50_199</t>
  </si>
  <si>
    <t>7_50_66</t>
  </si>
  <si>
    <t>7_50_82</t>
  </si>
  <si>
    <t>7_50_99</t>
  </si>
  <si>
    <t>7_50_116</t>
  </si>
  <si>
    <t>7_50_132</t>
  </si>
  <si>
    <t>7_50_149</t>
  </si>
  <si>
    <t>7_50_166</t>
  </si>
  <si>
    <t>7_50_182</t>
  </si>
  <si>
    <t>7_50_199</t>
  </si>
  <si>
    <t>8_50_66</t>
  </si>
  <si>
    <t>8_50_82</t>
  </si>
  <si>
    <t>8_50_99</t>
  </si>
  <si>
    <t>8_50_116</t>
  </si>
  <si>
    <t>8_50_132</t>
  </si>
  <si>
    <t>8_50_149</t>
  </si>
  <si>
    <t>8_50_166</t>
  </si>
  <si>
    <t>8_50_182</t>
  </si>
  <si>
    <t>8_50_199</t>
  </si>
  <si>
    <t>9_50_66</t>
  </si>
  <si>
    <t>9_50_82</t>
  </si>
  <si>
    <t>9_50_99</t>
  </si>
  <si>
    <t>9_50_116</t>
  </si>
  <si>
    <t>9_50_132</t>
  </si>
  <si>
    <t>9_50_149</t>
  </si>
  <si>
    <t>9_50_166</t>
  </si>
  <si>
    <t>9_50_182</t>
  </si>
  <si>
    <t>9_50_199</t>
  </si>
  <si>
    <t>10_50_32</t>
  </si>
  <si>
    <t>10_50_49</t>
  </si>
  <si>
    <t>10_50_66</t>
  </si>
  <si>
    <t>10_50_82</t>
  </si>
  <si>
    <t>10_50_99</t>
  </si>
  <si>
    <t>10_50_116</t>
  </si>
  <si>
    <t>10_50_132</t>
  </si>
  <si>
    <t>10_50_149</t>
  </si>
  <si>
    <t>10_50_166</t>
  </si>
  <si>
    <t>10_50_182</t>
  </si>
  <si>
    <t>10_50_199</t>
  </si>
  <si>
    <t>11_50_32</t>
  </si>
  <si>
    <t>11_50_49</t>
  </si>
  <si>
    <t>11_50_66</t>
  </si>
  <si>
    <t>11_50_82</t>
  </si>
  <si>
    <t>11_50_99</t>
  </si>
  <si>
    <t>11_50_116</t>
  </si>
  <si>
    <t>11_50_132</t>
  </si>
  <si>
    <t>11_50_149</t>
  </si>
  <si>
    <t>11_50_166</t>
  </si>
  <si>
    <t>11_50_182</t>
  </si>
  <si>
    <t>11_50_199</t>
  </si>
  <si>
    <t>12_50_32</t>
  </si>
  <si>
    <t>12_50_49</t>
  </si>
  <si>
    <t>12_50_66</t>
  </si>
  <si>
    <t>12_50_82</t>
  </si>
  <si>
    <t>12_50_99</t>
  </si>
  <si>
    <t>12_50_116</t>
  </si>
  <si>
    <t>12_50_132</t>
  </si>
  <si>
    <t>12_50_149</t>
  </si>
  <si>
    <t>12_50_166</t>
  </si>
  <si>
    <t>12_50_182</t>
  </si>
  <si>
    <t>12_50_199</t>
  </si>
  <si>
    <t>13_50_32</t>
  </si>
  <si>
    <t>13_50_49</t>
  </si>
  <si>
    <t>13_50_66</t>
  </si>
  <si>
    <t>13_50_82</t>
  </si>
  <si>
    <t>13_50_99</t>
  </si>
  <si>
    <t>13_50_116</t>
  </si>
  <si>
    <t>13_50_132</t>
  </si>
  <si>
    <t>13_50_149</t>
  </si>
  <si>
    <t>13_50_166</t>
  </si>
  <si>
    <t>13_50_182</t>
  </si>
  <si>
    <t>13_50_199</t>
  </si>
  <si>
    <t>14_50_32</t>
  </si>
  <si>
    <t>14_50_49</t>
  </si>
  <si>
    <t>14_50_66</t>
  </si>
  <si>
    <t>14_50_82</t>
  </si>
  <si>
    <t>14_50_99</t>
  </si>
  <si>
    <t>14_50_116</t>
  </si>
  <si>
    <t>14_50_132</t>
  </si>
  <si>
    <t>14_50_149</t>
  </si>
  <si>
    <t>14_50_166</t>
  </si>
  <si>
    <t>14_50_182</t>
  </si>
  <si>
    <t>14_50_199</t>
  </si>
  <si>
    <t>15_50_24</t>
  </si>
  <si>
    <t>15_50_32</t>
  </si>
  <si>
    <t>15_50_49</t>
  </si>
  <si>
    <t>15_50_66</t>
  </si>
  <si>
    <t>15_50_82</t>
  </si>
  <si>
    <t>15_50_99</t>
  </si>
  <si>
    <t>15_50_116</t>
  </si>
  <si>
    <t>15_50_132</t>
  </si>
  <si>
    <t>15_50_149</t>
  </si>
  <si>
    <t>15_50_166</t>
  </si>
  <si>
    <t>15_50_182</t>
  </si>
  <si>
    <t>15_50_199</t>
  </si>
  <si>
    <t>16_50_24</t>
  </si>
  <si>
    <t>16_50_32</t>
  </si>
  <si>
    <t>16_50_49</t>
  </si>
  <si>
    <t>16_50_66</t>
  </si>
  <si>
    <t>16_50_82</t>
  </si>
  <si>
    <t>16_50_99</t>
  </si>
  <si>
    <t>16_50_116</t>
  </si>
  <si>
    <t>16_50_132</t>
  </si>
  <si>
    <t>16_50_149</t>
  </si>
  <si>
    <t>16_50_166</t>
  </si>
  <si>
    <t>16_50_182</t>
  </si>
  <si>
    <t>16_50_199</t>
  </si>
  <si>
    <t>17_50_24</t>
  </si>
  <si>
    <t>17_50_32</t>
  </si>
  <si>
    <t>17_50_49</t>
  </si>
  <si>
    <t>17_50_66</t>
  </si>
  <si>
    <t>17_50_82</t>
  </si>
  <si>
    <t>17_50_99</t>
  </si>
  <si>
    <t>17_50_116</t>
  </si>
  <si>
    <t>17_50_132</t>
  </si>
  <si>
    <t>17_50_149</t>
  </si>
  <si>
    <t>17_50_166</t>
  </si>
  <si>
    <t>17_50_182</t>
  </si>
  <si>
    <t>17_50_199</t>
  </si>
  <si>
    <t>18_50_24</t>
  </si>
  <si>
    <t>18_50_32</t>
  </si>
  <si>
    <t>18_50_49</t>
  </si>
  <si>
    <t>18_50_66</t>
  </si>
  <si>
    <t>18_50_82</t>
  </si>
  <si>
    <t>18_50_99</t>
  </si>
  <si>
    <t>18_50_116</t>
  </si>
  <si>
    <t>18_50_132</t>
  </si>
  <si>
    <t>18_50_149</t>
  </si>
  <si>
    <t>18_50_166</t>
  </si>
  <si>
    <t>18_50_182</t>
  </si>
  <si>
    <t>18_50_199</t>
  </si>
  <si>
    <t>19_50_24</t>
  </si>
  <si>
    <t>19_50_32</t>
  </si>
  <si>
    <t>19_50_49</t>
  </si>
  <si>
    <t>19_50_66</t>
  </si>
  <si>
    <t>19_50_82</t>
  </si>
  <si>
    <t>19_50_99</t>
  </si>
  <si>
    <t>19_50_116</t>
  </si>
  <si>
    <t>19_50_132</t>
  </si>
  <si>
    <t>19_50_149</t>
  </si>
  <si>
    <t>19_50_166</t>
  </si>
  <si>
    <t>19_50_182</t>
  </si>
  <si>
    <t>19_50_199</t>
  </si>
  <si>
    <t>20_50_7</t>
  </si>
  <si>
    <t>20_50_24</t>
  </si>
  <si>
    <t>20_50_32</t>
  </si>
  <si>
    <t>20_50_49</t>
  </si>
  <si>
    <t>20_50_66</t>
  </si>
  <si>
    <t>20_50_82</t>
  </si>
  <si>
    <t>20_50_99</t>
  </si>
  <si>
    <t>20_50_116</t>
  </si>
  <si>
    <t>20_50_132</t>
  </si>
  <si>
    <t>20_50_149</t>
  </si>
  <si>
    <t>20_50_166</t>
  </si>
  <si>
    <t>20_50_182</t>
  </si>
  <si>
    <t>20_50_199</t>
  </si>
  <si>
    <t>21_50_7</t>
  </si>
  <si>
    <t>21_50_24</t>
  </si>
  <si>
    <t>21_50_32</t>
  </si>
  <si>
    <t>21_50_49</t>
  </si>
  <si>
    <t>21_50_66</t>
  </si>
  <si>
    <t>21_50_82</t>
  </si>
  <si>
    <t>21_50_99</t>
  </si>
  <si>
    <t>21_50_116</t>
  </si>
  <si>
    <t>21_50_132</t>
  </si>
  <si>
    <t>21_50_149</t>
  </si>
  <si>
    <t>21_50_166</t>
  </si>
  <si>
    <t>21_50_182</t>
  </si>
  <si>
    <t>21_50_199</t>
  </si>
  <si>
    <t>22_50_7</t>
  </si>
  <si>
    <t>22_50_24</t>
  </si>
  <si>
    <t>22_50_32</t>
  </si>
  <si>
    <t>22_50_49</t>
  </si>
  <si>
    <t>22_50_66</t>
  </si>
  <si>
    <t>22_50_82</t>
  </si>
  <si>
    <t>22_50_99</t>
  </si>
  <si>
    <t>22_50_116</t>
  </si>
  <si>
    <t>22_50_132</t>
  </si>
  <si>
    <t>22_50_149</t>
  </si>
  <si>
    <t>22_50_166</t>
  </si>
  <si>
    <t>22_50_182</t>
  </si>
  <si>
    <t>22_50_199</t>
  </si>
  <si>
    <t>23_50_7</t>
  </si>
  <si>
    <t>23_50_24</t>
  </si>
  <si>
    <t>23_50_32</t>
  </si>
  <si>
    <t>23_50_49</t>
  </si>
  <si>
    <t>23_50_66</t>
  </si>
  <si>
    <t>23_50_82</t>
  </si>
  <si>
    <t>23_50_99</t>
  </si>
  <si>
    <t>23_50_116</t>
  </si>
  <si>
    <t>23_50_132</t>
  </si>
  <si>
    <t>23_50_149</t>
  </si>
  <si>
    <t>23_50_166</t>
  </si>
  <si>
    <t>23_50_182</t>
  </si>
  <si>
    <t>23_50_199</t>
  </si>
  <si>
    <t>24_50_7</t>
  </si>
  <si>
    <t>24_50_24</t>
  </si>
  <si>
    <t>24_50_32</t>
  </si>
  <si>
    <t>24_50_49</t>
  </si>
  <si>
    <t>24_50_66</t>
  </si>
  <si>
    <t>24_50_82</t>
  </si>
  <si>
    <t>24_50_99</t>
  </si>
  <si>
    <t>24_50_116</t>
  </si>
  <si>
    <t>24_50_132</t>
  </si>
  <si>
    <t>24_50_149</t>
  </si>
  <si>
    <t>24_50_166</t>
  </si>
  <si>
    <t>24_50_182</t>
  </si>
  <si>
    <t>24_50_199</t>
  </si>
  <si>
    <t>0_150_82</t>
  </si>
  <si>
    <t>0_150_99</t>
  </si>
  <si>
    <t>0_150_116</t>
  </si>
  <si>
    <t>0_150_132</t>
  </si>
  <si>
    <t>0_150_149</t>
  </si>
  <si>
    <t>0_150_166</t>
  </si>
  <si>
    <t>0_150_182</t>
  </si>
  <si>
    <t>0_150_199</t>
  </si>
  <si>
    <t>1_150_82</t>
  </si>
  <si>
    <t>1_150_99</t>
  </si>
  <si>
    <t>1_150_116</t>
  </si>
  <si>
    <t>1_150_132</t>
  </si>
  <si>
    <t>1_150_149</t>
  </si>
  <si>
    <t>1_150_166</t>
  </si>
  <si>
    <t>1_150_182</t>
  </si>
  <si>
    <t>1_150_199</t>
  </si>
  <si>
    <t>2_150_82</t>
  </si>
  <si>
    <t>2_150_99</t>
  </si>
  <si>
    <t>2_150_116</t>
  </si>
  <si>
    <t>2_150_132</t>
  </si>
  <si>
    <t>2_150_149</t>
  </si>
  <si>
    <t>2_150_166</t>
  </si>
  <si>
    <t>2_150_182</t>
  </si>
  <si>
    <t>2_150_199</t>
  </si>
  <si>
    <t>3_150_82</t>
  </si>
  <si>
    <t>3_150_99</t>
  </si>
  <si>
    <t>3_150_116</t>
  </si>
  <si>
    <t>3_150_132</t>
  </si>
  <si>
    <t>3_150_149</t>
  </si>
  <si>
    <t>3_150_166</t>
  </si>
  <si>
    <t>3_150_182</t>
  </si>
  <si>
    <t>3_150_199</t>
  </si>
  <si>
    <t>4_150_82</t>
  </si>
  <si>
    <t>4_150_99</t>
  </si>
  <si>
    <t>4_150_116</t>
  </si>
  <si>
    <t>4_150_132</t>
  </si>
  <si>
    <t>4_150_149</t>
  </si>
  <si>
    <t>4_150_166</t>
  </si>
  <si>
    <t>4_150_182</t>
  </si>
  <si>
    <t>4_150_199</t>
  </si>
  <si>
    <t>5_150_66</t>
  </si>
  <si>
    <t>5_150_82</t>
  </si>
  <si>
    <t>5_150_99</t>
  </si>
  <si>
    <t>5_150_116</t>
  </si>
  <si>
    <t>5_150_132</t>
  </si>
  <si>
    <t>5_150_149</t>
  </si>
  <si>
    <t>5_150_166</t>
  </si>
  <si>
    <t>5_150_182</t>
  </si>
  <si>
    <t>5_150_199</t>
  </si>
  <si>
    <t>6_150_66</t>
  </si>
  <si>
    <t>6_150_82</t>
  </si>
  <si>
    <t>6_150_99</t>
  </si>
  <si>
    <t>6_150_116</t>
  </si>
  <si>
    <t>6_150_132</t>
  </si>
  <si>
    <t>6_150_149</t>
  </si>
  <si>
    <t>6_150_166</t>
  </si>
  <si>
    <t>6_150_182</t>
  </si>
  <si>
    <t>6_150_199</t>
  </si>
  <si>
    <t>7_150_66</t>
  </si>
  <si>
    <t>7_150_82</t>
  </si>
  <si>
    <t>7_150_99</t>
  </si>
  <si>
    <t>7_150_116</t>
  </si>
  <si>
    <t>7_150_132</t>
  </si>
  <si>
    <t>7_150_149</t>
  </si>
  <si>
    <t>7_150_166</t>
  </si>
  <si>
    <t>7_150_182</t>
  </si>
  <si>
    <t>7_150_199</t>
  </si>
  <si>
    <t>8_150_66</t>
  </si>
  <si>
    <t>8_150_82</t>
  </si>
  <si>
    <t>8_150_99</t>
  </si>
  <si>
    <t>8_150_116</t>
  </si>
  <si>
    <t>8_150_132</t>
  </si>
  <si>
    <t>8_150_149</t>
  </si>
  <si>
    <t>8_150_166</t>
  </si>
  <si>
    <t>8_150_182</t>
  </si>
  <si>
    <t>8_150_199</t>
  </si>
  <si>
    <t>9_150_66</t>
  </si>
  <si>
    <t>9_150_82</t>
  </si>
  <si>
    <t>9_150_99</t>
  </si>
  <si>
    <t>9_150_116</t>
  </si>
  <si>
    <t>9_150_132</t>
  </si>
  <si>
    <t>9_150_149</t>
  </si>
  <si>
    <t>9_150_166</t>
  </si>
  <si>
    <t>9_150_182</t>
  </si>
  <si>
    <t>9_150_199</t>
  </si>
  <si>
    <t>10_150_32</t>
  </si>
  <si>
    <t>10_150_49</t>
  </si>
  <si>
    <t>10_150_66</t>
  </si>
  <si>
    <t>10_150_82</t>
  </si>
  <si>
    <t>10_150_99</t>
  </si>
  <si>
    <t>10_150_116</t>
  </si>
  <si>
    <t>10_150_132</t>
  </si>
  <si>
    <t>10_150_149</t>
  </si>
  <si>
    <t>10_150_166</t>
  </si>
  <si>
    <t>10_150_182</t>
  </si>
  <si>
    <t>10_150_199</t>
  </si>
  <si>
    <t>11_150_32</t>
  </si>
  <si>
    <t>11_150_49</t>
  </si>
  <si>
    <t>11_150_66</t>
  </si>
  <si>
    <t>11_150_82</t>
  </si>
  <si>
    <t>11_150_99</t>
  </si>
  <si>
    <t>11_150_116</t>
  </si>
  <si>
    <t>11_150_132</t>
  </si>
  <si>
    <t>11_150_149</t>
  </si>
  <si>
    <t>11_150_166</t>
  </si>
  <si>
    <t>11_150_182</t>
  </si>
  <si>
    <t>11_150_199</t>
  </si>
  <si>
    <t>12_150_32</t>
  </si>
  <si>
    <t>12_150_49</t>
  </si>
  <si>
    <t>12_150_66</t>
  </si>
  <si>
    <t>12_150_82</t>
  </si>
  <si>
    <t>12_150_99</t>
  </si>
  <si>
    <t>12_150_116</t>
  </si>
  <si>
    <t>12_150_132</t>
  </si>
  <si>
    <t>12_150_149</t>
  </si>
  <si>
    <t>12_150_166</t>
  </si>
  <si>
    <t>12_150_182</t>
  </si>
  <si>
    <t>12_150_199</t>
  </si>
  <si>
    <t>13_150_32</t>
  </si>
  <si>
    <t>13_150_49</t>
  </si>
  <si>
    <t>13_150_66</t>
  </si>
  <si>
    <t>13_150_82</t>
  </si>
  <si>
    <t>13_150_99</t>
  </si>
  <si>
    <t>13_150_116</t>
  </si>
  <si>
    <t>13_150_132</t>
  </si>
  <si>
    <t>13_150_149</t>
  </si>
  <si>
    <t>13_150_166</t>
  </si>
  <si>
    <t>13_150_182</t>
  </si>
  <si>
    <t>13_150_199</t>
  </si>
  <si>
    <t>14_150_32</t>
  </si>
  <si>
    <t>14_150_49</t>
  </si>
  <si>
    <t>14_150_66</t>
  </si>
  <si>
    <t>14_150_82</t>
  </si>
  <si>
    <t>14_150_99</t>
  </si>
  <si>
    <t>14_150_116</t>
  </si>
  <si>
    <t>14_150_132</t>
  </si>
  <si>
    <t>14_150_149</t>
  </si>
  <si>
    <t>14_150_166</t>
  </si>
  <si>
    <t>14_150_182</t>
  </si>
  <si>
    <t>14_150_199</t>
  </si>
  <si>
    <t>15_150_24</t>
  </si>
  <si>
    <t>15_150_32</t>
  </si>
  <si>
    <t>15_150_49</t>
  </si>
  <si>
    <t>15_150_66</t>
  </si>
  <si>
    <t>15_150_82</t>
  </si>
  <si>
    <t>15_150_99</t>
  </si>
  <si>
    <t>15_150_116</t>
  </si>
  <si>
    <t>15_150_132</t>
  </si>
  <si>
    <t>15_150_149</t>
  </si>
  <si>
    <t>15_150_166</t>
  </si>
  <si>
    <t>15_150_182</t>
  </si>
  <si>
    <t>15_150_199</t>
  </si>
  <si>
    <t>16_150_24</t>
  </si>
  <si>
    <t>16_150_32</t>
  </si>
  <si>
    <t>16_150_49</t>
  </si>
  <si>
    <t>16_150_66</t>
  </si>
  <si>
    <t>16_150_82</t>
  </si>
  <si>
    <t>16_150_99</t>
  </si>
  <si>
    <t>16_150_116</t>
  </si>
  <si>
    <t>16_150_132</t>
  </si>
  <si>
    <t>16_150_149</t>
  </si>
  <si>
    <t>16_150_166</t>
  </si>
  <si>
    <t>16_150_182</t>
  </si>
  <si>
    <t>16_150_199</t>
  </si>
  <si>
    <t>17_150_24</t>
  </si>
  <si>
    <t>17_150_32</t>
  </si>
  <si>
    <t>17_150_49</t>
  </si>
  <si>
    <t>17_150_66</t>
  </si>
  <si>
    <t>17_150_82</t>
  </si>
  <si>
    <t>17_150_99</t>
  </si>
  <si>
    <t>17_150_116</t>
  </si>
  <si>
    <t>17_150_132</t>
  </si>
  <si>
    <t>17_150_149</t>
  </si>
  <si>
    <t>17_150_166</t>
  </si>
  <si>
    <t>17_150_182</t>
  </si>
  <si>
    <t>17_150_199</t>
  </si>
  <si>
    <t>18_150_24</t>
  </si>
  <si>
    <t>18_150_32</t>
  </si>
  <si>
    <t>18_150_49</t>
  </si>
  <si>
    <t>18_150_66</t>
  </si>
  <si>
    <t>18_150_82</t>
  </si>
  <si>
    <t>18_150_99</t>
  </si>
  <si>
    <t>18_150_116</t>
  </si>
  <si>
    <t>18_150_132</t>
  </si>
  <si>
    <t>18_150_149</t>
  </si>
  <si>
    <t>18_150_166</t>
  </si>
  <si>
    <t>18_150_182</t>
  </si>
  <si>
    <t>18_150_199</t>
  </si>
  <si>
    <t>19_150_24</t>
  </si>
  <si>
    <t>19_150_32</t>
  </si>
  <si>
    <t>19_150_49</t>
  </si>
  <si>
    <t>19_150_66</t>
  </si>
  <si>
    <t>19_150_82</t>
  </si>
  <si>
    <t>19_150_99</t>
  </si>
  <si>
    <t>19_150_116</t>
  </si>
  <si>
    <t>19_150_132</t>
  </si>
  <si>
    <t>19_150_149</t>
  </si>
  <si>
    <t>19_150_166</t>
  </si>
  <si>
    <t>19_150_182</t>
  </si>
  <si>
    <t>19_150_199</t>
  </si>
  <si>
    <t>20_150_7</t>
  </si>
  <si>
    <t>20_150_24</t>
  </si>
  <si>
    <t>20_150_32</t>
  </si>
  <si>
    <t>20_150_49</t>
  </si>
  <si>
    <t>20_150_66</t>
  </si>
  <si>
    <t>20_150_82</t>
  </si>
  <si>
    <t>20_150_99</t>
  </si>
  <si>
    <t>20_150_116</t>
  </si>
  <si>
    <t>20_150_132</t>
  </si>
  <si>
    <t>20_150_149</t>
  </si>
  <si>
    <t>20_150_166</t>
  </si>
  <si>
    <t>20_150_182</t>
  </si>
  <si>
    <t>20_150_199</t>
  </si>
  <si>
    <t>21_150_7</t>
  </si>
  <si>
    <t>21_150_24</t>
  </si>
  <si>
    <t>21_150_32</t>
  </si>
  <si>
    <t>21_150_49</t>
  </si>
  <si>
    <t>21_150_66</t>
  </si>
  <si>
    <t>21_150_82</t>
  </si>
  <si>
    <t>21_150_99</t>
  </si>
  <si>
    <t>21_150_116</t>
  </si>
  <si>
    <t>21_150_132</t>
  </si>
  <si>
    <t>21_150_149</t>
  </si>
  <si>
    <t>21_150_166</t>
  </si>
  <si>
    <t>21_150_182</t>
  </si>
  <si>
    <t>21_150_199</t>
  </si>
  <si>
    <t>22_150_7</t>
  </si>
  <si>
    <t>22_150_24</t>
  </si>
  <si>
    <t>22_150_32</t>
  </si>
  <si>
    <t>22_150_49</t>
  </si>
  <si>
    <t>22_150_66</t>
  </si>
  <si>
    <t>22_150_82</t>
  </si>
  <si>
    <t>22_150_99</t>
  </si>
  <si>
    <t>22_150_116</t>
  </si>
  <si>
    <t>22_150_132</t>
  </si>
  <si>
    <t>22_150_149</t>
  </si>
  <si>
    <t>22_150_166</t>
  </si>
  <si>
    <t>22_150_182</t>
  </si>
  <si>
    <t>22_150_199</t>
  </si>
  <si>
    <t>23_150_7</t>
  </si>
  <si>
    <t>23_150_24</t>
  </si>
  <si>
    <t>23_150_32</t>
  </si>
  <si>
    <t>23_150_49</t>
  </si>
  <si>
    <t>23_150_66</t>
  </si>
  <si>
    <t>23_150_82</t>
  </si>
  <si>
    <t>23_150_99</t>
  </si>
  <si>
    <t>23_150_116</t>
  </si>
  <si>
    <t>23_150_132</t>
  </si>
  <si>
    <t>23_150_149</t>
  </si>
  <si>
    <t>23_150_166</t>
  </si>
  <si>
    <t>23_150_182</t>
  </si>
  <si>
    <t>23_150_199</t>
  </si>
  <si>
    <t>24_150_7</t>
  </si>
  <si>
    <t>24_150_24</t>
  </si>
  <si>
    <t>24_150_32</t>
  </si>
  <si>
    <t>24_150_49</t>
  </si>
  <si>
    <t>24_150_66</t>
  </si>
  <si>
    <t>24_150_82</t>
  </si>
  <si>
    <t>24_150_99</t>
  </si>
  <si>
    <t>24_150_116</t>
  </si>
  <si>
    <t>24_150_132</t>
  </si>
  <si>
    <t>24_150_149</t>
  </si>
  <si>
    <t>24_150_166</t>
  </si>
  <si>
    <t>24_150_182</t>
  </si>
  <si>
    <t>24_150_199</t>
  </si>
  <si>
    <t>12_100_131</t>
  </si>
  <si>
    <t>12_100_133</t>
  </si>
  <si>
    <t>12_100_134</t>
  </si>
  <si>
    <t>12_100_130</t>
  </si>
  <si>
    <t>12_101_132</t>
  </si>
  <si>
    <t>12_101_131</t>
  </si>
  <si>
    <t>12_101_133</t>
  </si>
  <si>
    <t>12_101_134</t>
  </si>
  <si>
    <t>12_101_130</t>
  </si>
  <si>
    <t>12_99_132</t>
  </si>
  <si>
    <t>12_99_131</t>
  </si>
  <si>
    <t>12_99_133</t>
  </si>
  <si>
    <t>12_99_134</t>
  </si>
  <si>
    <t>12_99_130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</si>
</sst>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/>
  </cellStyleXfs>
  <cellXfs count="20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2" fontId="1" fillId="0" borderId="0" xfId="0" applyNumberFormat="1" applyFont="1"/>
    <xf numFmtId="9" fontId="0" fillId="0" borderId="0" xfId="1" applyFont="1"/>
    <xf numFmtId="1" fontId="0" fillId="0" borderId="0" xfId="0" applyNumberFormat="1"/>
    <xf numFmtId="0" fontId="2" fillId="0" borderId="0" xfId="0" applyFont="1" applyAlignment="1">
      <alignment horizontal="center" vertical="top"/>
    </xf>
    <xf numFmtId="0" fontId="5" fillId="0" borderId="0" xfId="0" applyFont="1"/>
    <xf numFmtId="0" fontId="0" fillId="0" borderId="0" xfId="0"/>
    <xf numFmtId="11" fontId="0" fillId="0" borderId="0" xfId="0" applyNumberFormat="1"/>
    <xf numFmtId="11" fontId="5" fillId="0" borderId="0" xfId="0" applyNumberFormat="1" applyFont="1"/>
    <xf numFmtId="0" fontId="6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7" fillId="0" borderId="0" xfId="0" applyFont="1"/>
    <xf numFmtId="1" fontId="7" fillId="0" borderId="0" xfId="0" applyNumberFormat="1" applyFont="1"/>
    <xf numFmtId="11" fontId="7" fillId="0" borderId="0" xfId="0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E11" sqref="E11"/>
    </sheetView>
  </sheetViews>
  <sheetFormatPr baseColWidth="10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5</v>
      </c>
      <c r="B2">
        <v>200</v>
      </c>
      <c r="C2">
        <v>200</v>
      </c>
      <c r="D2">
        <v>200000</v>
      </c>
      <c r="E2">
        <v>200000</v>
      </c>
      <c r="F2">
        <v>1000</v>
      </c>
      <c r="G2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opLeftCell="D1" workbookViewId="0">
      <selection activeCell="K19" sqref="K19"/>
    </sheetView>
  </sheetViews>
  <sheetFormatPr baseColWidth="10" defaultRowHeight="14.25" x14ac:dyDescent="0.45"/>
  <cols>
    <col min="2" max="2" width="5.9296875" style="12" bestFit="1" customWidth="1"/>
    <col min="4" max="4" width="11.53125" style="12" bestFit="1" customWidth="1"/>
    <col min="5" max="5" width="11.796875" style="12" bestFit="1" customWidth="1"/>
    <col min="6" max="6" width="14.06640625" style="12" bestFit="1" customWidth="1"/>
    <col min="7" max="7" width="11.9296875" style="12" bestFit="1" customWidth="1"/>
    <col min="8" max="8" width="8.33203125" style="12" bestFit="1" customWidth="1"/>
    <col min="9" max="9" width="8.46484375" style="12" customWidth="1"/>
  </cols>
  <sheetData>
    <row r="1" spans="1:11" x14ac:dyDescent="0.4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45">
      <c r="A2" t="s">
        <v>18</v>
      </c>
      <c r="B2" t="s">
        <v>19</v>
      </c>
      <c r="C2">
        <v>100</v>
      </c>
      <c r="D2" s="9">
        <v>0</v>
      </c>
      <c r="E2" s="9">
        <v>94</v>
      </c>
      <c r="F2">
        <v>200</v>
      </c>
      <c r="G2">
        <v>100</v>
      </c>
      <c r="H2">
        <v>5</v>
      </c>
      <c r="I2">
        <v>23</v>
      </c>
      <c r="J2">
        <v>0</v>
      </c>
      <c r="K2">
        <v>1</v>
      </c>
    </row>
    <row r="3" spans="1:11" x14ac:dyDescent="0.45">
      <c r="A3" t="s">
        <v>20</v>
      </c>
      <c r="B3" t="s">
        <v>21</v>
      </c>
      <c r="C3">
        <v>150</v>
      </c>
      <c r="D3" s="9">
        <v>94</v>
      </c>
      <c r="E3" s="9">
        <v>118</v>
      </c>
      <c r="F3">
        <v>150</v>
      </c>
      <c r="G3">
        <v>83</v>
      </c>
      <c r="H3">
        <v>5</v>
      </c>
      <c r="I3" s="12">
        <v>23</v>
      </c>
      <c r="J3" s="12">
        <v>0</v>
      </c>
      <c r="K3">
        <v>2</v>
      </c>
    </row>
    <row r="4" spans="1:11" x14ac:dyDescent="0.45">
      <c r="A4" t="s">
        <v>22</v>
      </c>
      <c r="B4" t="s">
        <v>23</v>
      </c>
      <c r="C4">
        <v>200</v>
      </c>
      <c r="D4" s="9">
        <v>118</v>
      </c>
      <c r="E4" s="9">
        <v>153</v>
      </c>
      <c r="F4">
        <v>200</v>
      </c>
      <c r="G4">
        <v>50</v>
      </c>
      <c r="H4">
        <v>5</v>
      </c>
      <c r="I4" s="12">
        <v>23</v>
      </c>
      <c r="J4" s="12">
        <v>0</v>
      </c>
      <c r="K4">
        <v>3</v>
      </c>
    </row>
    <row r="5" spans="1:11" x14ac:dyDescent="0.45">
      <c r="A5" t="s">
        <v>24</v>
      </c>
      <c r="B5" t="s">
        <v>25</v>
      </c>
      <c r="C5">
        <v>250</v>
      </c>
      <c r="D5" s="9">
        <v>153</v>
      </c>
      <c r="E5" s="9">
        <v>167</v>
      </c>
      <c r="F5">
        <v>150</v>
      </c>
      <c r="G5">
        <v>33</v>
      </c>
      <c r="H5">
        <v>5</v>
      </c>
      <c r="I5" s="12">
        <v>23</v>
      </c>
      <c r="J5" s="12">
        <v>0</v>
      </c>
      <c r="K5">
        <v>4</v>
      </c>
    </row>
    <row r="6" spans="1:11" x14ac:dyDescent="0.45">
      <c r="A6" t="s">
        <v>26</v>
      </c>
      <c r="B6" t="s">
        <v>27</v>
      </c>
      <c r="C6">
        <v>350</v>
      </c>
      <c r="D6" s="9">
        <v>167</v>
      </c>
      <c r="E6" s="9">
        <v>200</v>
      </c>
      <c r="F6">
        <v>200</v>
      </c>
      <c r="G6">
        <v>0</v>
      </c>
      <c r="H6">
        <v>5</v>
      </c>
      <c r="I6" s="12">
        <v>23</v>
      </c>
      <c r="J6" s="12">
        <v>0</v>
      </c>
      <c r="K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4"/>
  <sheetViews>
    <sheetView workbookViewId="0">
      <selection activeCell="C35" sqref="C35"/>
    </sheetView>
  </sheetViews>
  <sheetFormatPr baseColWidth="10" defaultRowHeight="14.25" x14ac:dyDescent="0.45"/>
  <cols>
    <col min="5" max="5" width="40.9296875" style="12" bestFit="1" customWidth="1"/>
  </cols>
  <sheetData>
    <row r="1" spans="1:5" x14ac:dyDescent="0.4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45">
      <c r="A2">
        <v>0</v>
      </c>
      <c r="B2">
        <v>0</v>
      </c>
      <c r="C2">
        <v>1</v>
      </c>
      <c r="D2">
        <v>1</v>
      </c>
      <c r="E2" t="s">
        <v>33</v>
      </c>
    </row>
    <row r="3" spans="1:5" x14ac:dyDescent="0.45">
      <c r="A3">
        <v>1</v>
      </c>
      <c r="B3">
        <v>3600000</v>
      </c>
      <c r="C3">
        <v>1</v>
      </c>
      <c r="D3">
        <v>1</v>
      </c>
      <c r="E3" t="s">
        <v>34</v>
      </c>
    </row>
    <row r="4" spans="1:5" x14ac:dyDescent="0.45">
      <c r="A4">
        <v>2</v>
      </c>
      <c r="B4">
        <v>720000000</v>
      </c>
      <c r="C4">
        <v>200</v>
      </c>
      <c r="D4">
        <v>1.0909169999999999</v>
      </c>
    </row>
    <row r="8" spans="1:5" x14ac:dyDescent="0.45">
      <c r="A8" s="1"/>
    </row>
    <row r="9" spans="1:5" x14ac:dyDescent="0.45">
      <c r="A9" s="1"/>
    </row>
    <row r="10" spans="1:5" x14ac:dyDescent="0.45">
      <c r="A10" s="1"/>
    </row>
    <row r="11" spans="1:5" x14ac:dyDescent="0.45">
      <c r="A11" s="1"/>
    </row>
    <row r="12" spans="1:5" x14ac:dyDescent="0.45">
      <c r="A12" s="1"/>
    </row>
    <row r="13" spans="1:5" x14ac:dyDescent="0.45">
      <c r="A13" s="1"/>
    </row>
    <row r="14" spans="1:5" x14ac:dyDescent="0.45">
      <c r="A14" s="1"/>
    </row>
    <row r="15" spans="1:5" x14ac:dyDescent="0.45">
      <c r="A15" s="1"/>
    </row>
    <row r="16" spans="1:5" x14ac:dyDescent="0.45">
      <c r="A16" s="1"/>
    </row>
    <row r="17" spans="1:1" x14ac:dyDescent="0.45">
      <c r="A17" s="1"/>
    </row>
    <row r="18" spans="1:1" x14ac:dyDescent="0.45">
      <c r="A18" s="1"/>
    </row>
    <row r="19" spans="1:1" x14ac:dyDescent="0.45">
      <c r="A19" s="1"/>
    </row>
    <row r="20" spans="1:1" x14ac:dyDescent="0.45">
      <c r="A20" s="1"/>
    </row>
    <row r="21" spans="1:1" x14ac:dyDescent="0.45">
      <c r="A21" s="1"/>
    </row>
    <row r="22" spans="1:1" x14ac:dyDescent="0.45">
      <c r="A22" s="1"/>
    </row>
    <row r="23" spans="1:1" x14ac:dyDescent="0.45">
      <c r="A23" s="1"/>
    </row>
    <row r="24" spans="1:1" x14ac:dyDescent="0.45">
      <c r="A24" s="1"/>
    </row>
    <row r="25" spans="1:1" x14ac:dyDescent="0.45">
      <c r="A25" s="1"/>
    </row>
    <row r="26" spans="1:1" x14ac:dyDescent="0.45">
      <c r="A26" s="1"/>
    </row>
    <row r="27" spans="1:1" x14ac:dyDescent="0.45">
      <c r="A27" s="1"/>
    </row>
    <row r="28" spans="1:1" x14ac:dyDescent="0.45">
      <c r="A28" s="1"/>
    </row>
    <row r="29" spans="1:1" x14ac:dyDescent="0.45">
      <c r="A29" s="1"/>
    </row>
    <row r="30" spans="1:1" x14ac:dyDescent="0.45">
      <c r="A30" s="1"/>
    </row>
    <row r="31" spans="1:1" x14ac:dyDescent="0.45">
      <c r="A31" s="1"/>
    </row>
    <row r="32" spans="1:1" x14ac:dyDescent="0.45">
      <c r="A32" s="1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1"/>
    </row>
    <row r="42" spans="1:1" x14ac:dyDescent="0.45">
      <c r="A42" s="1"/>
    </row>
    <row r="43" spans="1:1" x14ac:dyDescent="0.45">
      <c r="A43" s="1"/>
    </row>
    <row r="44" spans="1:1" x14ac:dyDescent="0.45">
      <c r="A44" s="1"/>
    </row>
    <row r="45" spans="1:1" x14ac:dyDescent="0.45">
      <c r="A45" s="1"/>
    </row>
    <row r="46" spans="1:1" x14ac:dyDescent="0.45">
      <c r="A46" s="1"/>
    </row>
    <row r="47" spans="1:1" x14ac:dyDescent="0.45">
      <c r="A47" s="1"/>
    </row>
    <row r="48" spans="1:1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  <row r="53" spans="1:1" x14ac:dyDescent="0.45">
      <c r="A53" s="1"/>
    </row>
    <row r="54" spans="1:1" x14ac:dyDescent="0.45">
      <c r="A54" s="1"/>
    </row>
    <row r="55" spans="1:1" x14ac:dyDescent="0.45">
      <c r="A55" s="1"/>
    </row>
    <row r="56" spans="1:1" x14ac:dyDescent="0.45">
      <c r="A56" s="1"/>
    </row>
    <row r="57" spans="1:1" x14ac:dyDescent="0.45">
      <c r="A57" s="1"/>
    </row>
    <row r="58" spans="1:1" x14ac:dyDescent="0.45">
      <c r="A58" s="1"/>
    </row>
    <row r="59" spans="1:1" x14ac:dyDescent="0.45">
      <c r="A59" s="1"/>
    </row>
    <row r="60" spans="1:1" x14ac:dyDescent="0.45">
      <c r="A60" s="1"/>
    </row>
    <row r="61" spans="1:1" x14ac:dyDescent="0.45">
      <c r="A61" s="1"/>
    </row>
    <row r="62" spans="1:1" x14ac:dyDescent="0.45">
      <c r="A62" s="1"/>
    </row>
    <row r="63" spans="1:1" x14ac:dyDescent="0.45">
      <c r="A63" s="1"/>
    </row>
    <row r="64" spans="1:1" x14ac:dyDescent="0.45">
      <c r="A64" s="1"/>
    </row>
    <row r="65" spans="1:1" x14ac:dyDescent="0.45">
      <c r="A65" s="1"/>
    </row>
    <row r="66" spans="1:1" x14ac:dyDescent="0.45">
      <c r="A66" s="1"/>
    </row>
    <row r="67" spans="1:1" x14ac:dyDescent="0.45">
      <c r="A67" s="1"/>
    </row>
    <row r="68" spans="1:1" x14ac:dyDescent="0.45">
      <c r="A68" s="1"/>
    </row>
    <row r="69" spans="1:1" x14ac:dyDescent="0.45">
      <c r="A69" s="1"/>
    </row>
    <row r="70" spans="1:1" x14ac:dyDescent="0.45">
      <c r="A70" s="1"/>
    </row>
    <row r="71" spans="1:1" x14ac:dyDescent="0.45">
      <c r="A71" s="1"/>
    </row>
    <row r="72" spans="1:1" x14ac:dyDescent="0.45">
      <c r="A72" s="1"/>
    </row>
    <row r="73" spans="1:1" x14ac:dyDescent="0.45">
      <c r="A73" s="1"/>
    </row>
    <row r="74" spans="1:1" x14ac:dyDescent="0.45">
      <c r="A74" s="1"/>
    </row>
    <row r="75" spans="1:1" x14ac:dyDescent="0.45">
      <c r="A75" s="1"/>
    </row>
    <row r="76" spans="1:1" x14ac:dyDescent="0.45">
      <c r="A76" s="1"/>
    </row>
    <row r="77" spans="1:1" x14ac:dyDescent="0.45">
      <c r="A77" s="1"/>
    </row>
    <row r="78" spans="1:1" x14ac:dyDescent="0.45">
      <c r="A78" s="1"/>
    </row>
    <row r="79" spans="1:1" x14ac:dyDescent="0.45">
      <c r="A79" s="1"/>
    </row>
    <row r="80" spans="1:1" x14ac:dyDescent="0.45">
      <c r="A80" s="1"/>
    </row>
    <row r="81" spans="1:1" x14ac:dyDescent="0.45">
      <c r="A81" s="1"/>
    </row>
    <row r="82" spans="1:1" x14ac:dyDescent="0.45">
      <c r="A82" s="1"/>
    </row>
    <row r="83" spans="1:1" x14ac:dyDescent="0.45">
      <c r="A83" s="1"/>
    </row>
    <row r="84" spans="1:1" x14ac:dyDescent="0.45">
      <c r="A84" s="1"/>
    </row>
    <row r="85" spans="1:1" x14ac:dyDescent="0.45">
      <c r="A85" s="1"/>
    </row>
    <row r="86" spans="1:1" x14ac:dyDescent="0.45">
      <c r="A86" s="1"/>
    </row>
    <row r="87" spans="1:1" x14ac:dyDescent="0.45">
      <c r="A87" s="1"/>
    </row>
    <row r="88" spans="1:1" x14ac:dyDescent="0.45">
      <c r="A88" s="1"/>
    </row>
    <row r="89" spans="1:1" x14ac:dyDescent="0.45">
      <c r="A89" s="1"/>
    </row>
    <row r="90" spans="1:1" x14ac:dyDescent="0.45">
      <c r="A90" s="1"/>
    </row>
    <row r="91" spans="1:1" x14ac:dyDescent="0.45">
      <c r="A91" s="1"/>
    </row>
    <row r="92" spans="1:1" x14ac:dyDescent="0.45">
      <c r="A92" s="1"/>
    </row>
    <row r="93" spans="1:1" x14ac:dyDescent="0.45">
      <c r="A93" s="1"/>
    </row>
    <row r="94" spans="1:1" x14ac:dyDescent="0.45">
      <c r="A94" s="1"/>
    </row>
    <row r="95" spans="1:1" x14ac:dyDescent="0.45">
      <c r="A95" s="1"/>
    </row>
    <row r="96" spans="1:1" x14ac:dyDescent="0.45">
      <c r="A96" s="1"/>
    </row>
    <row r="97" spans="1:1" x14ac:dyDescent="0.45">
      <c r="A97" s="1"/>
    </row>
    <row r="98" spans="1:1" x14ac:dyDescent="0.45">
      <c r="A98" s="1"/>
    </row>
    <row r="99" spans="1:1" x14ac:dyDescent="0.45">
      <c r="A99" s="1"/>
    </row>
    <row r="100" spans="1:1" x14ac:dyDescent="0.45">
      <c r="A100" s="1"/>
    </row>
    <row r="101" spans="1:1" x14ac:dyDescent="0.45">
      <c r="A101" s="1"/>
    </row>
    <row r="102" spans="1:1" x14ac:dyDescent="0.45">
      <c r="A102" s="1"/>
    </row>
    <row r="103" spans="1:1" x14ac:dyDescent="0.45">
      <c r="A103" s="1"/>
    </row>
    <row r="104" spans="1:1" x14ac:dyDescent="0.45">
      <c r="A104" s="1"/>
    </row>
    <row r="105" spans="1:1" x14ac:dyDescent="0.45">
      <c r="A105" s="1"/>
    </row>
    <row r="106" spans="1:1" x14ac:dyDescent="0.45">
      <c r="A106" s="1"/>
    </row>
    <row r="107" spans="1:1" x14ac:dyDescent="0.45">
      <c r="A107" s="1"/>
    </row>
    <row r="108" spans="1:1" x14ac:dyDescent="0.45">
      <c r="A108" s="1"/>
    </row>
    <row r="109" spans="1:1" x14ac:dyDescent="0.45">
      <c r="A109" s="1"/>
    </row>
    <row r="110" spans="1:1" x14ac:dyDescent="0.45">
      <c r="A110" s="1"/>
    </row>
    <row r="111" spans="1:1" x14ac:dyDescent="0.45">
      <c r="A111" s="1"/>
    </row>
    <row r="112" spans="1:1" x14ac:dyDescent="0.45">
      <c r="A112" s="1"/>
    </row>
    <row r="113" spans="1:1" x14ac:dyDescent="0.45">
      <c r="A113" s="1"/>
    </row>
    <row r="114" spans="1:1" x14ac:dyDescent="0.45">
      <c r="A114" s="1"/>
    </row>
    <row r="115" spans="1:1" x14ac:dyDescent="0.45">
      <c r="A115" s="1"/>
    </row>
    <row r="116" spans="1:1" x14ac:dyDescent="0.45">
      <c r="A116" s="1"/>
    </row>
    <row r="117" spans="1:1" x14ac:dyDescent="0.45">
      <c r="A117" s="1"/>
    </row>
    <row r="118" spans="1:1" x14ac:dyDescent="0.45">
      <c r="A118" s="1"/>
    </row>
    <row r="119" spans="1:1" x14ac:dyDescent="0.45">
      <c r="A119" s="1"/>
    </row>
    <row r="120" spans="1:1" x14ac:dyDescent="0.45">
      <c r="A120" s="1"/>
    </row>
    <row r="121" spans="1:1" x14ac:dyDescent="0.45">
      <c r="A121" s="1"/>
    </row>
    <row r="122" spans="1:1" x14ac:dyDescent="0.45">
      <c r="A122" s="1"/>
    </row>
    <row r="123" spans="1:1" x14ac:dyDescent="0.45">
      <c r="A123" s="1"/>
    </row>
    <row r="124" spans="1:1" x14ac:dyDescent="0.45">
      <c r="A124" s="1"/>
    </row>
    <row r="125" spans="1:1" x14ac:dyDescent="0.45">
      <c r="A125" s="1"/>
    </row>
    <row r="126" spans="1:1" x14ac:dyDescent="0.45">
      <c r="A126" s="1"/>
    </row>
    <row r="127" spans="1:1" x14ac:dyDescent="0.45">
      <c r="A127" s="1"/>
    </row>
    <row r="128" spans="1:1" x14ac:dyDescent="0.45">
      <c r="A128" s="1"/>
    </row>
    <row r="129" spans="1:1" x14ac:dyDescent="0.45">
      <c r="A129" s="1"/>
    </row>
    <row r="130" spans="1:1" x14ac:dyDescent="0.45">
      <c r="A130" s="1"/>
    </row>
    <row r="131" spans="1:1" x14ac:dyDescent="0.45">
      <c r="A131" s="1"/>
    </row>
    <row r="132" spans="1:1" x14ac:dyDescent="0.45">
      <c r="A132" s="1"/>
    </row>
    <row r="133" spans="1:1" x14ac:dyDescent="0.45">
      <c r="A133" s="1"/>
    </row>
    <row r="134" spans="1:1" x14ac:dyDescent="0.45">
      <c r="A134" s="1"/>
    </row>
    <row r="135" spans="1:1" x14ac:dyDescent="0.45">
      <c r="A135" s="1"/>
    </row>
    <row r="136" spans="1:1" x14ac:dyDescent="0.45">
      <c r="A136" s="1"/>
    </row>
    <row r="137" spans="1:1" x14ac:dyDescent="0.45">
      <c r="A137" s="1"/>
    </row>
    <row r="138" spans="1:1" x14ac:dyDescent="0.45">
      <c r="A138" s="1"/>
    </row>
    <row r="139" spans="1:1" x14ac:dyDescent="0.45">
      <c r="A139" s="1"/>
    </row>
    <row r="140" spans="1:1" x14ac:dyDescent="0.45">
      <c r="A140" s="1"/>
    </row>
    <row r="141" spans="1:1" x14ac:dyDescent="0.45">
      <c r="A141" s="1"/>
    </row>
    <row r="142" spans="1:1" x14ac:dyDescent="0.45">
      <c r="A142" s="1"/>
    </row>
    <row r="143" spans="1:1" x14ac:dyDescent="0.45">
      <c r="A143" s="1"/>
    </row>
    <row r="144" spans="1:1" x14ac:dyDescent="0.45">
      <c r="A144" s="1"/>
    </row>
    <row r="145" spans="1:1" x14ac:dyDescent="0.45">
      <c r="A145" s="1"/>
    </row>
    <row r="146" spans="1:1" x14ac:dyDescent="0.45">
      <c r="A146" s="1"/>
    </row>
    <row r="147" spans="1:1" x14ac:dyDescent="0.45">
      <c r="A147" s="1"/>
    </row>
    <row r="148" spans="1:1" x14ac:dyDescent="0.45">
      <c r="A148" s="1"/>
    </row>
    <row r="149" spans="1:1" x14ac:dyDescent="0.45">
      <c r="A149" s="1"/>
    </row>
    <row r="150" spans="1:1" x14ac:dyDescent="0.45">
      <c r="A150" s="1"/>
    </row>
    <row r="151" spans="1:1" x14ac:dyDescent="0.45">
      <c r="A151" s="1"/>
    </row>
    <row r="152" spans="1:1" x14ac:dyDescent="0.45">
      <c r="A152" s="1"/>
    </row>
    <row r="153" spans="1:1" x14ac:dyDescent="0.45">
      <c r="A153" s="1"/>
    </row>
    <row r="154" spans="1:1" x14ac:dyDescent="0.45">
      <c r="A154" s="1"/>
    </row>
    <row r="155" spans="1:1" x14ac:dyDescent="0.45">
      <c r="A155" s="1"/>
    </row>
    <row r="156" spans="1:1" x14ac:dyDescent="0.45">
      <c r="A156" s="1"/>
    </row>
    <row r="157" spans="1:1" x14ac:dyDescent="0.45">
      <c r="A157" s="1"/>
    </row>
    <row r="158" spans="1:1" x14ac:dyDescent="0.45">
      <c r="A158" s="1"/>
    </row>
    <row r="159" spans="1:1" x14ac:dyDescent="0.45">
      <c r="A159" s="1"/>
    </row>
    <row r="160" spans="1:1" x14ac:dyDescent="0.45">
      <c r="A160" s="1"/>
    </row>
    <row r="161" spans="1:1" x14ac:dyDescent="0.45">
      <c r="A161" s="1"/>
    </row>
    <row r="162" spans="1:1" x14ac:dyDescent="0.45">
      <c r="A162" s="1"/>
    </row>
    <row r="163" spans="1:1" x14ac:dyDescent="0.45">
      <c r="A163" s="1"/>
    </row>
    <row r="164" spans="1:1" x14ac:dyDescent="0.45">
      <c r="A164" s="1"/>
    </row>
    <row r="165" spans="1:1" x14ac:dyDescent="0.45">
      <c r="A165" s="1"/>
    </row>
    <row r="166" spans="1:1" x14ac:dyDescent="0.45">
      <c r="A166" s="1"/>
    </row>
    <row r="167" spans="1:1" x14ac:dyDescent="0.45">
      <c r="A167" s="1"/>
    </row>
    <row r="168" spans="1:1" x14ac:dyDescent="0.45">
      <c r="A168" s="1"/>
    </row>
    <row r="169" spans="1:1" x14ac:dyDescent="0.45">
      <c r="A169" s="1"/>
    </row>
    <row r="170" spans="1:1" x14ac:dyDescent="0.45">
      <c r="A170" s="1"/>
    </row>
    <row r="171" spans="1:1" x14ac:dyDescent="0.45">
      <c r="A171" s="1"/>
    </row>
    <row r="172" spans="1:1" x14ac:dyDescent="0.45">
      <c r="A172" s="1"/>
    </row>
    <row r="173" spans="1:1" x14ac:dyDescent="0.45">
      <c r="A173" s="1"/>
    </row>
    <row r="174" spans="1:1" x14ac:dyDescent="0.45">
      <c r="A174" s="1"/>
    </row>
    <row r="175" spans="1:1" x14ac:dyDescent="0.45">
      <c r="A175" s="1"/>
    </row>
    <row r="176" spans="1:1" x14ac:dyDescent="0.45">
      <c r="A176" s="1"/>
    </row>
    <row r="177" spans="1:1" x14ac:dyDescent="0.45">
      <c r="A177" s="1"/>
    </row>
    <row r="178" spans="1:1" x14ac:dyDescent="0.45">
      <c r="A178" s="1"/>
    </row>
    <row r="179" spans="1:1" x14ac:dyDescent="0.45">
      <c r="A179" s="1"/>
    </row>
    <row r="180" spans="1:1" x14ac:dyDescent="0.45">
      <c r="A180" s="1"/>
    </row>
    <row r="181" spans="1:1" x14ac:dyDescent="0.45">
      <c r="A181" s="1"/>
    </row>
    <row r="182" spans="1:1" x14ac:dyDescent="0.45">
      <c r="A182" s="1"/>
    </row>
    <row r="183" spans="1:1" x14ac:dyDescent="0.45">
      <c r="A183" s="1"/>
    </row>
    <row r="184" spans="1:1" x14ac:dyDescent="0.45">
      <c r="A184" s="1"/>
    </row>
    <row r="185" spans="1:1" x14ac:dyDescent="0.45">
      <c r="A185" s="1"/>
    </row>
    <row r="186" spans="1:1" x14ac:dyDescent="0.45">
      <c r="A186" s="1"/>
    </row>
    <row r="187" spans="1:1" x14ac:dyDescent="0.45">
      <c r="A187" s="1"/>
    </row>
    <row r="188" spans="1:1" x14ac:dyDescent="0.45">
      <c r="A188" s="1"/>
    </row>
    <row r="189" spans="1:1" x14ac:dyDescent="0.45">
      <c r="A189" s="1"/>
    </row>
    <row r="190" spans="1:1" x14ac:dyDescent="0.45">
      <c r="A190" s="1"/>
    </row>
    <row r="191" spans="1:1" x14ac:dyDescent="0.45">
      <c r="A191" s="1"/>
    </row>
    <row r="192" spans="1:1" x14ac:dyDescent="0.45">
      <c r="A192" s="1"/>
    </row>
    <row r="193" spans="1:1" x14ac:dyDescent="0.45">
      <c r="A193" s="1"/>
    </row>
    <row r="194" spans="1:1" x14ac:dyDescent="0.45">
      <c r="A194" s="1"/>
    </row>
    <row r="195" spans="1:1" x14ac:dyDescent="0.45">
      <c r="A195" s="1"/>
    </row>
    <row r="196" spans="1:1" x14ac:dyDescent="0.45">
      <c r="A196" s="1"/>
    </row>
    <row r="197" spans="1:1" x14ac:dyDescent="0.45">
      <c r="A197" s="1"/>
    </row>
    <row r="198" spans="1:1" x14ac:dyDescent="0.45">
      <c r="A198" s="1"/>
    </row>
    <row r="199" spans="1:1" x14ac:dyDescent="0.45">
      <c r="A199" s="1"/>
    </row>
    <row r="200" spans="1:1" x14ac:dyDescent="0.45">
      <c r="A200" s="1"/>
    </row>
    <row r="201" spans="1:1" x14ac:dyDescent="0.45">
      <c r="A201" s="1"/>
    </row>
    <row r="202" spans="1:1" x14ac:dyDescent="0.45">
      <c r="A202" s="1"/>
    </row>
    <row r="203" spans="1:1" x14ac:dyDescent="0.45">
      <c r="A203" s="1"/>
    </row>
    <row r="204" spans="1:1" x14ac:dyDescent="0.45">
      <c r="A204" s="1"/>
    </row>
    <row r="205" spans="1:1" x14ac:dyDescent="0.45">
      <c r="A205" s="1"/>
    </row>
    <row r="206" spans="1:1" x14ac:dyDescent="0.45">
      <c r="A206" s="1"/>
    </row>
    <row r="207" spans="1:1" x14ac:dyDescent="0.45">
      <c r="A207" s="1"/>
    </row>
    <row r="208" spans="1:1" x14ac:dyDescent="0.45">
      <c r="A208" s="1"/>
    </row>
    <row r="209" spans="1:1" x14ac:dyDescent="0.45">
      <c r="A209" s="1"/>
    </row>
    <row r="210" spans="1:1" x14ac:dyDescent="0.45">
      <c r="A210" s="1"/>
    </row>
    <row r="211" spans="1:1" x14ac:dyDescent="0.45">
      <c r="A211" s="1"/>
    </row>
    <row r="212" spans="1:1" x14ac:dyDescent="0.45">
      <c r="A212" s="1"/>
    </row>
    <row r="213" spans="1:1" x14ac:dyDescent="0.45">
      <c r="A213" s="1"/>
    </row>
    <row r="214" spans="1:1" x14ac:dyDescent="0.45">
      <c r="A214" s="1"/>
    </row>
    <row r="215" spans="1:1" x14ac:dyDescent="0.45">
      <c r="A215" s="1"/>
    </row>
    <row r="216" spans="1:1" x14ac:dyDescent="0.45">
      <c r="A216" s="1"/>
    </row>
    <row r="217" spans="1:1" x14ac:dyDescent="0.45">
      <c r="A217" s="1"/>
    </row>
    <row r="218" spans="1:1" x14ac:dyDescent="0.45">
      <c r="A218" s="1"/>
    </row>
    <row r="219" spans="1:1" x14ac:dyDescent="0.45">
      <c r="A219" s="1"/>
    </row>
    <row r="220" spans="1:1" x14ac:dyDescent="0.45">
      <c r="A220" s="1"/>
    </row>
    <row r="221" spans="1:1" x14ac:dyDescent="0.45">
      <c r="A221" s="1"/>
    </row>
    <row r="222" spans="1:1" x14ac:dyDescent="0.45">
      <c r="A222" s="1"/>
    </row>
    <row r="223" spans="1:1" x14ac:dyDescent="0.45">
      <c r="A223" s="1"/>
    </row>
    <row r="224" spans="1:1" x14ac:dyDescent="0.45">
      <c r="A224" s="1"/>
    </row>
    <row r="225" spans="1:1" x14ac:dyDescent="0.45">
      <c r="A225" s="1"/>
    </row>
    <row r="226" spans="1:1" x14ac:dyDescent="0.45">
      <c r="A226" s="1"/>
    </row>
    <row r="227" spans="1:1" x14ac:dyDescent="0.45">
      <c r="A227" s="1"/>
    </row>
    <row r="228" spans="1:1" x14ac:dyDescent="0.45">
      <c r="A228" s="1"/>
    </row>
    <row r="229" spans="1:1" x14ac:dyDescent="0.45">
      <c r="A229" s="1"/>
    </row>
    <row r="230" spans="1:1" x14ac:dyDescent="0.45">
      <c r="A230" s="1"/>
    </row>
    <row r="231" spans="1:1" x14ac:dyDescent="0.45">
      <c r="A231" s="1"/>
    </row>
    <row r="232" spans="1:1" x14ac:dyDescent="0.45">
      <c r="A232" s="1"/>
    </row>
    <row r="233" spans="1:1" x14ac:dyDescent="0.45">
      <c r="A233" s="1"/>
    </row>
    <row r="234" spans="1:1" x14ac:dyDescent="0.45">
      <c r="A234" s="1"/>
    </row>
    <row r="235" spans="1:1" x14ac:dyDescent="0.45">
      <c r="A235" s="1"/>
    </row>
    <row r="236" spans="1:1" x14ac:dyDescent="0.45">
      <c r="A236" s="1"/>
    </row>
    <row r="237" spans="1:1" x14ac:dyDescent="0.45">
      <c r="A237" s="1"/>
    </row>
    <row r="238" spans="1:1" x14ac:dyDescent="0.45">
      <c r="A238" s="1"/>
    </row>
    <row r="239" spans="1:1" x14ac:dyDescent="0.45">
      <c r="A239" s="1"/>
    </row>
    <row r="240" spans="1:1" x14ac:dyDescent="0.45">
      <c r="A240" s="1"/>
    </row>
    <row r="241" spans="1:1" x14ac:dyDescent="0.45">
      <c r="A241" s="1"/>
    </row>
    <row r="242" spans="1:1" x14ac:dyDescent="0.45">
      <c r="A242" s="1"/>
    </row>
    <row r="243" spans="1:1" x14ac:dyDescent="0.45">
      <c r="A243" s="1"/>
    </row>
    <row r="244" spans="1:1" x14ac:dyDescent="0.45">
      <c r="A244" s="1"/>
    </row>
    <row r="245" spans="1:1" x14ac:dyDescent="0.45">
      <c r="A245" s="1"/>
    </row>
    <row r="246" spans="1:1" x14ac:dyDescent="0.45">
      <c r="A246" s="1"/>
    </row>
    <row r="247" spans="1:1" x14ac:dyDescent="0.45">
      <c r="A247" s="1"/>
    </row>
    <row r="248" spans="1:1" x14ac:dyDescent="0.45">
      <c r="A248" s="1"/>
    </row>
    <row r="249" spans="1:1" x14ac:dyDescent="0.45">
      <c r="A249" s="1"/>
    </row>
    <row r="250" spans="1:1" x14ac:dyDescent="0.45">
      <c r="A250" s="1"/>
    </row>
    <row r="251" spans="1:1" x14ac:dyDescent="0.45">
      <c r="A251" s="1"/>
    </row>
    <row r="252" spans="1:1" x14ac:dyDescent="0.45">
      <c r="A252" s="1"/>
    </row>
    <row r="253" spans="1:1" x14ac:dyDescent="0.45">
      <c r="A253" s="1"/>
    </row>
    <row r="254" spans="1:1" x14ac:dyDescent="0.45">
      <c r="A254" s="1"/>
    </row>
    <row r="255" spans="1:1" x14ac:dyDescent="0.45">
      <c r="A255" s="1"/>
    </row>
    <row r="256" spans="1:1" x14ac:dyDescent="0.45">
      <c r="A256" s="1"/>
    </row>
    <row r="257" spans="1:1" x14ac:dyDescent="0.45">
      <c r="A257" s="1"/>
    </row>
    <row r="258" spans="1:1" x14ac:dyDescent="0.45">
      <c r="A258" s="1"/>
    </row>
    <row r="259" spans="1:1" x14ac:dyDescent="0.45">
      <c r="A259" s="1"/>
    </row>
    <row r="260" spans="1:1" x14ac:dyDescent="0.45">
      <c r="A260" s="1"/>
    </row>
    <row r="261" spans="1:1" x14ac:dyDescent="0.45">
      <c r="A261" s="1"/>
    </row>
    <row r="262" spans="1:1" x14ac:dyDescent="0.45">
      <c r="A262" s="1"/>
    </row>
    <row r="263" spans="1:1" x14ac:dyDescent="0.45">
      <c r="A263" s="1"/>
    </row>
    <row r="264" spans="1:1" x14ac:dyDescent="0.45">
      <c r="A264" s="1"/>
    </row>
    <row r="265" spans="1:1" x14ac:dyDescent="0.45">
      <c r="A265" s="1"/>
    </row>
    <row r="266" spans="1:1" x14ac:dyDescent="0.45">
      <c r="A266" s="1"/>
    </row>
    <row r="267" spans="1:1" x14ac:dyDescent="0.45">
      <c r="A267" s="1"/>
    </row>
    <row r="268" spans="1:1" x14ac:dyDescent="0.45">
      <c r="A268" s="1"/>
    </row>
    <row r="269" spans="1:1" x14ac:dyDescent="0.45">
      <c r="A269" s="1"/>
    </row>
    <row r="270" spans="1:1" x14ac:dyDescent="0.45">
      <c r="A270" s="1"/>
    </row>
    <row r="271" spans="1:1" x14ac:dyDescent="0.45">
      <c r="A271" s="1"/>
    </row>
    <row r="272" spans="1:1" x14ac:dyDescent="0.45">
      <c r="A272" s="1"/>
    </row>
    <row r="273" spans="1:1" x14ac:dyDescent="0.45">
      <c r="A273" s="1"/>
    </row>
    <row r="274" spans="1:1" x14ac:dyDescent="0.45">
      <c r="A274" s="1"/>
    </row>
    <row r="275" spans="1:1" x14ac:dyDescent="0.45">
      <c r="A275" s="1"/>
    </row>
    <row r="276" spans="1:1" x14ac:dyDescent="0.45">
      <c r="A276" s="1"/>
    </row>
    <row r="277" spans="1:1" x14ac:dyDescent="0.45">
      <c r="A277" s="1"/>
    </row>
    <row r="278" spans="1:1" x14ac:dyDescent="0.45">
      <c r="A278" s="1"/>
    </row>
    <row r="279" spans="1:1" x14ac:dyDescent="0.45">
      <c r="A279" s="1"/>
    </row>
    <row r="280" spans="1:1" x14ac:dyDescent="0.45">
      <c r="A280" s="1"/>
    </row>
    <row r="281" spans="1:1" x14ac:dyDescent="0.45">
      <c r="A281" s="1"/>
    </row>
    <row r="282" spans="1:1" x14ac:dyDescent="0.45">
      <c r="A282" s="1"/>
    </row>
    <row r="283" spans="1:1" x14ac:dyDescent="0.45">
      <c r="A283" s="1"/>
    </row>
    <row r="284" spans="1:1" x14ac:dyDescent="0.45">
      <c r="A284" s="1"/>
    </row>
    <row r="285" spans="1:1" x14ac:dyDescent="0.45">
      <c r="A285" s="1"/>
    </row>
    <row r="286" spans="1:1" x14ac:dyDescent="0.45">
      <c r="A286" s="1"/>
    </row>
    <row r="287" spans="1:1" x14ac:dyDescent="0.45">
      <c r="A287" s="1"/>
    </row>
    <row r="288" spans="1:1" x14ac:dyDescent="0.45">
      <c r="A288" s="1"/>
    </row>
    <row r="289" spans="1:1" x14ac:dyDescent="0.45">
      <c r="A289" s="1"/>
    </row>
    <row r="290" spans="1:1" x14ac:dyDescent="0.45">
      <c r="A290" s="1"/>
    </row>
    <row r="291" spans="1:1" x14ac:dyDescent="0.45">
      <c r="A291" s="1"/>
    </row>
    <row r="292" spans="1:1" x14ac:dyDescent="0.45">
      <c r="A292" s="1"/>
    </row>
    <row r="293" spans="1:1" x14ac:dyDescent="0.45">
      <c r="A293" s="1"/>
    </row>
    <row r="294" spans="1:1" x14ac:dyDescent="0.45">
      <c r="A294" s="1"/>
    </row>
    <row r="295" spans="1:1" x14ac:dyDescent="0.45">
      <c r="A295" s="1"/>
    </row>
    <row r="296" spans="1:1" x14ac:dyDescent="0.45">
      <c r="A296" s="1"/>
    </row>
    <row r="297" spans="1:1" x14ac:dyDescent="0.45">
      <c r="A297" s="1"/>
    </row>
    <row r="298" spans="1:1" x14ac:dyDescent="0.45">
      <c r="A298" s="1"/>
    </row>
    <row r="299" spans="1:1" x14ac:dyDescent="0.45">
      <c r="A299" s="1"/>
    </row>
    <row r="300" spans="1:1" x14ac:dyDescent="0.45">
      <c r="A300" s="1"/>
    </row>
    <row r="301" spans="1:1" x14ac:dyDescent="0.45">
      <c r="A301" s="1"/>
    </row>
    <row r="302" spans="1:1" x14ac:dyDescent="0.45">
      <c r="A302" s="1"/>
    </row>
    <row r="303" spans="1:1" x14ac:dyDescent="0.45">
      <c r="A303" s="1"/>
    </row>
    <row r="304" spans="1:1" x14ac:dyDescent="0.45">
      <c r="A304" s="1"/>
    </row>
    <row r="305" spans="1:1" x14ac:dyDescent="0.45">
      <c r="A305" s="1"/>
    </row>
    <row r="306" spans="1:1" x14ac:dyDescent="0.45">
      <c r="A306" s="1"/>
    </row>
    <row r="307" spans="1:1" x14ac:dyDescent="0.45">
      <c r="A307" s="1"/>
    </row>
    <row r="308" spans="1:1" x14ac:dyDescent="0.45">
      <c r="A308" s="1"/>
    </row>
    <row r="309" spans="1:1" x14ac:dyDescent="0.45">
      <c r="A309" s="1"/>
    </row>
    <row r="310" spans="1:1" x14ac:dyDescent="0.45">
      <c r="A310" s="1"/>
    </row>
    <row r="311" spans="1:1" x14ac:dyDescent="0.45">
      <c r="A311" s="1"/>
    </row>
    <row r="312" spans="1:1" x14ac:dyDescent="0.45">
      <c r="A312" s="1"/>
    </row>
    <row r="313" spans="1:1" x14ac:dyDescent="0.45">
      <c r="A313" s="1"/>
    </row>
    <row r="314" spans="1:1" x14ac:dyDescent="0.45">
      <c r="A314" s="1"/>
    </row>
    <row r="315" spans="1:1" x14ac:dyDescent="0.45">
      <c r="A315" s="1"/>
    </row>
    <row r="316" spans="1:1" x14ac:dyDescent="0.45">
      <c r="A316" s="1"/>
    </row>
    <row r="317" spans="1:1" x14ac:dyDescent="0.45">
      <c r="A317" s="1"/>
    </row>
    <row r="318" spans="1:1" x14ac:dyDescent="0.45">
      <c r="A318" s="1"/>
    </row>
    <row r="319" spans="1:1" x14ac:dyDescent="0.45">
      <c r="A319" s="1"/>
    </row>
    <row r="320" spans="1:1" x14ac:dyDescent="0.45">
      <c r="A320" s="1"/>
    </row>
    <row r="321" spans="1:1" x14ac:dyDescent="0.45">
      <c r="A321" s="1"/>
    </row>
    <row r="322" spans="1:1" x14ac:dyDescent="0.45">
      <c r="A322" s="1"/>
    </row>
    <row r="323" spans="1:1" x14ac:dyDescent="0.45">
      <c r="A323" s="1"/>
    </row>
    <row r="324" spans="1:1" x14ac:dyDescent="0.45">
      <c r="A324" s="1"/>
    </row>
    <row r="325" spans="1:1" x14ac:dyDescent="0.45">
      <c r="A325" s="1"/>
    </row>
    <row r="326" spans="1:1" x14ac:dyDescent="0.45">
      <c r="A326" s="1"/>
    </row>
    <row r="327" spans="1:1" x14ac:dyDescent="0.45">
      <c r="A327" s="1"/>
    </row>
    <row r="328" spans="1:1" x14ac:dyDescent="0.45">
      <c r="A328" s="1"/>
    </row>
    <row r="329" spans="1:1" x14ac:dyDescent="0.45">
      <c r="A329" s="1"/>
    </row>
    <row r="330" spans="1:1" x14ac:dyDescent="0.45">
      <c r="A330" s="1"/>
    </row>
    <row r="331" spans="1:1" x14ac:dyDescent="0.45">
      <c r="A331" s="1"/>
    </row>
    <row r="332" spans="1:1" x14ac:dyDescent="0.45">
      <c r="A332" s="1"/>
    </row>
    <row r="333" spans="1:1" x14ac:dyDescent="0.45">
      <c r="A333" s="1"/>
    </row>
    <row r="334" spans="1:1" x14ac:dyDescent="0.45">
      <c r="A334" s="1"/>
    </row>
    <row r="335" spans="1:1" x14ac:dyDescent="0.45">
      <c r="A335" s="1"/>
    </row>
    <row r="336" spans="1:1" x14ac:dyDescent="0.45">
      <c r="A336" s="1"/>
    </row>
    <row r="337" spans="1:1" x14ac:dyDescent="0.45">
      <c r="A337" s="1"/>
    </row>
    <row r="338" spans="1:1" x14ac:dyDescent="0.45">
      <c r="A338" s="1"/>
    </row>
    <row r="339" spans="1:1" x14ac:dyDescent="0.45">
      <c r="A339" s="1"/>
    </row>
    <row r="340" spans="1:1" x14ac:dyDescent="0.45">
      <c r="A340" s="1"/>
    </row>
    <row r="341" spans="1:1" x14ac:dyDescent="0.45">
      <c r="A341" s="1"/>
    </row>
    <row r="342" spans="1:1" x14ac:dyDescent="0.45">
      <c r="A342" s="1"/>
    </row>
    <row r="343" spans="1:1" x14ac:dyDescent="0.45">
      <c r="A343" s="1"/>
    </row>
    <row r="344" spans="1:1" x14ac:dyDescent="0.45">
      <c r="A344" s="1"/>
    </row>
    <row r="345" spans="1:1" x14ac:dyDescent="0.45">
      <c r="A345" s="1"/>
    </row>
    <row r="346" spans="1:1" x14ac:dyDescent="0.45">
      <c r="A346" s="1"/>
    </row>
    <row r="347" spans="1:1" x14ac:dyDescent="0.45">
      <c r="A347" s="1"/>
    </row>
    <row r="348" spans="1:1" x14ac:dyDescent="0.45">
      <c r="A348" s="1"/>
    </row>
    <row r="349" spans="1:1" x14ac:dyDescent="0.45">
      <c r="A349" s="1"/>
    </row>
    <row r="350" spans="1:1" x14ac:dyDescent="0.45">
      <c r="A350" s="1"/>
    </row>
    <row r="351" spans="1:1" x14ac:dyDescent="0.45">
      <c r="A351" s="1"/>
    </row>
    <row r="352" spans="1:1" x14ac:dyDescent="0.45">
      <c r="A352" s="1"/>
    </row>
    <row r="353" spans="1:1" x14ac:dyDescent="0.45">
      <c r="A353" s="1"/>
    </row>
    <row r="354" spans="1:1" x14ac:dyDescent="0.45">
      <c r="A354" s="1"/>
    </row>
    <row r="355" spans="1:1" x14ac:dyDescent="0.45">
      <c r="A355" s="1"/>
    </row>
    <row r="356" spans="1:1" x14ac:dyDescent="0.45">
      <c r="A356" s="1"/>
    </row>
    <row r="357" spans="1:1" x14ac:dyDescent="0.45">
      <c r="A357" s="1"/>
    </row>
    <row r="358" spans="1:1" x14ac:dyDescent="0.45">
      <c r="A358" s="1"/>
    </row>
    <row r="359" spans="1:1" x14ac:dyDescent="0.45">
      <c r="A359" s="1"/>
    </row>
    <row r="360" spans="1:1" x14ac:dyDescent="0.45">
      <c r="A360" s="1"/>
    </row>
    <row r="361" spans="1:1" x14ac:dyDescent="0.45">
      <c r="A361" s="1"/>
    </row>
    <row r="362" spans="1:1" x14ac:dyDescent="0.45">
      <c r="A362" s="1"/>
    </row>
    <row r="363" spans="1:1" x14ac:dyDescent="0.45">
      <c r="A363" s="1"/>
    </row>
    <row r="364" spans="1:1" x14ac:dyDescent="0.45">
      <c r="A36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>
      <selection activeCell="B27" sqref="B27"/>
    </sheetView>
  </sheetViews>
  <sheetFormatPr baseColWidth="10" defaultColWidth="9.06640625" defaultRowHeight="14.25" x14ac:dyDescent="0.45"/>
  <sheetData>
    <row r="1" spans="1:8" x14ac:dyDescent="0.45">
      <c r="A1" s="15" t="s">
        <v>35</v>
      </c>
      <c r="B1" s="15" t="s">
        <v>36</v>
      </c>
      <c r="C1" s="15" t="s">
        <v>37</v>
      </c>
      <c r="D1" s="15" t="s">
        <v>38</v>
      </c>
      <c r="E1" s="15" t="s">
        <v>39</v>
      </c>
      <c r="F1" s="15" t="s">
        <v>40</v>
      </c>
      <c r="G1" s="15" t="s">
        <v>41</v>
      </c>
      <c r="H1" s="15" t="s">
        <v>32</v>
      </c>
    </row>
    <row r="2" spans="1:8" x14ac:dyDescent="0.45">
      <c r="A2" t="s">
        <v>42</v>
      </c>
      <c r="B2" s="13">
        <v>86.4</v>
      </c>
      <c r="C2">
        <v>225</v>
      </c>
      <c r="D2">
        <v>275</v>
      </c>
      <c r="E2" t="s">
        <v>43</v>
      </c>
      <c r="F2" t="s">
        <v>44</v>
      </c>
      <c r="G2">
        <v>25</v>
      </c>
      <c r="H2" t="s">
        <v>45</v>
      </c>
    </row>
    <row r="3" spans="1:8" x14ac:dyDescent="0.45">
      <c r="A3" t="s">
        <v>46</v>
      </c>
      <c r="B3" s="14">
        <v>8.6399999999999999E-9</v>
      </c>
      <c r="C3">
        <v>9.0000000000000002E-6</v>
      </c>
      <c r="D3">
        <v>1.1E-5</v>
      </c>
      <c r="E3" t="s">
        <v>43</v>
      </c>
      <c r="F3" t="s">
        <v>44</v>
      </c>
      <c r="G3">
        <v>25</v>
      </c>
      <c r="H3" t="s">
        <v>47</v>
      </c>
    </row>
    <row r="4" spans="1:8" x14ac:dyDescent="0.45">
      <c r="A4" t="s">
        <v>48</v>
      </c>
      <c r="B4" s="13">
        <v>86.4</v>
      </c>
      <c r="C4">
        <v>22.5</v>
      </c>
      <c r="D4">
        <v>27.5</v>
      </c>
      <c r="E4" t="s">
        <v>43</v>
      </c>
      <c r="F4" t="s">
        <v>44</v>
      </c>
      <c r="G4">
        <v>25</v>
      </c>
      <c r="H4" t="s">
        <v>49</v>
      </c>
    </row>
    <row r="5" spans="1:8" x14ac:dyDescent="0.45">
      <c r="A5" t="s">
        <v>50</v>
      </c>
      <c r="B5" s="14">
        <v>8.6399999999999999E-9</v>
      </c>
      <c r="C5">
        <v>9.0000000000000002E-6</v>
      </c>
      <c r="D5">
        <v>1.1E-5</v>
      </c>
      <c r="E5" t="s">
        <v>43</v>
      </c>
      <c r="F5" t="s">
        <v>44</v>
      </c>
      <c r="G5">
        <v>25</v>
      </c>
      <c r="H5" t="s">
        <v>51</v>
      </c>
    </row>
    <row r="6" spans="1:8" x14ac:dyDescent="0.45">
      <c r="A6" t="s">
        <v>52</v>
      </c>
      <c r="B6" s="13">
        <v>86.4</v>
      </c>
      <c r="C6">
        <v>22.5</v>
      </c>
      <c r="D6">
        <v>27.5</v>
      </c>
      <c r="E6" t="s">
        <v>43</v>
      </c>
      <c r="F6" t="s">
        <v>44</v>
      </c>
      <c r="G6">
        <v>25</v>
      </c>
      <c r="H6" t="s">
        <v>53</v>
      </c>
    </row>
    <row r="7" spans="1:8" x14ac:dyDescent="0.45">
      <c r="A7" t="s">
        <v>54</v>
      </c>
      <c r="B7" s="13">
        <v>86.4</v>
      </c>
      <c r="C7">
        <v>22.5</v>
      </c>
      <c r="D7">
        <v>27.5</v>
      </c>
      <c r="E7" t="s">
        <v>43</v>
      </c>
      <c r="F7" t="s">
        <v>44</v>
      </c>
      <c r="G7">
        <v>25</v>
      </c>
      <c r="H7" t="s">
        <v>45</v>
      </c>
    </row>
    <row r="8" spans="1:8" x14ac:dyDescent="0.45">
      <c r="A8" t="s">
        <v>55</v>
      </c>
      <c r="B8" s="14">
        <v>8.6399999999999999E-9</v>
      </c>
      <c r="C8">
        <v>9.0000000000000017E-7</v>
      </c>
      <c r="D8">
        <v>1.1000000000000001E-6</v>
      </c>
      <c r="E8" t="s">
        <v>43</v>
      </c>
      <c r="F8" t="s">
        <v>44</v>
      </c>
      <c r="G8">
        <v>25</v>
      </c>
      <c r="H8" t="s">
        <v>47</v>
      </c>
    </row>
    <row r="9" spans="1:8" x14ac:dyDescent="0.45">
      <c r="A9" t="s">
        <v>56</v>
      </c>
      <c r="B9" s="13">
        <v>86.4</v>
      </c>
      <c r="C9">
        <v>2.25</v>
      </c>
      <c r="D9">
        <v>2.75</v>
      </c>
      <c r="E9" t="s">
        <v>43</v>
      </c>
      <c r="F9" t="s">
        <v>44</v>
      </c>
      <c r="G9">
        <v>25</v>
      </c>
      <c r="H9" t="s">
        <v>49</v>
      </c>
    </row>
    <row r="10" spans="1:8" x14ac:dyDescent="0.45">
      <c r="A10" t="s">
        <v>57</v>
      </c>
      <c r="B10" s="14">
        <v>8.6399999999999999E-9</v>
      </c>
      <c r="C10">
        <v>9.0000000000000017E-7</v>
      </c>
      <c r="D10">
        <v>1.1000000000000001E-6</v>
      </c>
      <c r="E10" t="s">
        <v>43</v>
      </c>
      <c r="F10" t="s">
        <v>44</v>
      </c>
      <c r="G10">
        <v>25</v>
      </c>
      <c r="H10" t="s">
        <v>51</v>
      </c>
    </row>
    <row r="11" spans="1:8" x14ac:dyDescent="0.45">
      <c r="A11" t="s">
        <v>58</v>
      </c>
      <c r="B11" s="13">
        <v>86.4</v>
      </c>
      <c r="C11">
        <v>2.25</v>
      </c>
      <c r="D11">
        <v>2.75</v>
      </c>
      <c r="E11" t="s">
        <v>43</v>
      </c>
      <c r="F11" t="s">
        <v>44</v>
      </c>
      <c r="G11">
        <v>25</v>
      </c>
      <c r="H11" t="s">
        <v>53</v>
      </c>
    </row>
    <row r="12" spans="1:8" x14ac:dyDescent="0.45">
      <c r="A12" t="s">
        <v>59</v>
      </c>
      <c r="B12">
        <v>0.15</v>
      </c>
      <c r="C12">
        <v>0.22500000000000001</v>
      </c>
      <c r="D12">
        <v>0.27500000000000002</v>
      </c>
      <c r="E12" t="s">
        <v>43</v>
      </c>
      <c r="F12" t="s">
        <v>60</v>
      </c>
      <c r="G12">
        <v>0</v>
      </c>
      <c r="H12" t="s">
        <v>45</v>
      </c>
    </row>
    <row r="13" spans="1:8" x14ac:dyDescent="0.45">
      <c r="A13" t="s">
        <v>61</v>
      </c>
      <c r="B13">
        <v>0.15</v>
      </c>
      <c r="C13">
        <v>0.22500000000000001</v>
      </c>
      <c r="D13">
        <v>0.27500000000000002</v>
      </c>
      <c r="E13" t="s">
        <v>43</v>
      </c>
      <c r="F13" t="s">
        <v>60</v>
      </c>
      <c r="G13">
        <v>0</v>
      </c>
      <c r="H13" t="s">
        <v>47</v>
      </c>
    </row>
    <row r="14" spans="1:8" x14ac:dyDescent="0.45">
      <c r="A14" t="s">
        <v>62</v>
      </c>
      <c r="B14">
        <v>0.15</v>
      </c>
      <c r="C14">
        <v>0.22500000000000001</v>
      </c>
      <c r="D14">
        <v>0.27500000000000002</v>
      </c>
      <c r="E14" t="s">
        <v>43</v>
      </c>
      <c r="F14" t="s">
        <v>60</v>
      </c>
      <c r="G14">
        <v>0</v>
      </c>
      <c r="H14" t="s">
        <v>49</v>
      </c>
    </row>
    <row r="15" spans="1:8" x14ac:dyDescent="0.45">
      <c r="A15" t="s">
        <v>63</v>
      </c>
      <c r="B15">
        <v>0.15</v>
      </c>
      <c r="C15">
        <v>0.22500000000000001</v>
      </c>
      <c r="D15">
        <v>0.27500000000000002</v>
      </c>
      <c r="E15" t="s">
        <v>43</v>
      </c>
      <c r="F15" t="s">
        <v>60</v>
      </c>
      <c r="G15">
        <v>0</v>
      </c>
      <c r="H15" t="s">
        <v>51</v>
      </c>
    </row>
    <row r="16" spans="1:8" x14ac:dyDescent="0.45">
      <c r="A16" t="s">
        <v>64</v>
      </c>
      <c r="B16">
        <v>0.15</v>
      </c>
      <c r="C16">
        <v>0.22500000000000001</v>
      </c>
      <c r="D16">
        <v>0.27500000000000002</v>
      </c>
      <c r="E16" t="s">
        <v>43</v>
      </c>
      <c r="F16" t="s">
        <v>60</v>
      </c>
      <c r="G16">
        <v>0</v>
      </c>
      <c r="H16" t="s">
        <v>53</v>
      </c>
    </row>
    <row r="17" spans="1:8" x14ac:dyDescent="0.45">
      <c r="A17" t="s">
        <v>65</v>
      </c>
      <c r="B17">
        <v>1.0000000000000001E-5</v>
      </c>
      <c r="C17">
        <v>9.0000000000000002E-6</v>
      </c>
      <c r="D17">
        <v>1.1E-5</v>
      </c>
      <c r="E17" t="s">
        <v>43</v>
      </c>
      <c r="F17" t="s">
        <v>60</v>
      </c>
      <c r="G17">
        <v>0</v>
      </c>
      <c r="H17" t="s">
        <v>45</v>
      </c>
    </row>
    <row r="18" spans="1:8" x14ac:dyDescent="0.45">
      <c r="A18" t="s">
        <v>66</v>
      </c>
      <c r="B18">
        <v>1.0000000000000001E-5</v>
      </c>
      <c r="C18">
        <v>9.0000000000000002E-6</v>
      </c>
      <c r="D18">
        <v>1.1E-5</v>
      </c>
      <c r="E18" t="s">
        <v>43</v>
      </c>
      <c r="F18" t="s">
        <v>60</v>
      </c>
      <c r="G18">
        <v>0</v>
      </c>
      <c r="H18" t="s">
        <v>47</v>
      </c>
    </row>
    <row r="19" spans="1:8" x14ac:dyDescent="0.45">
      <c r="A19" t="s">
        <v>67</v>
      </c>
      <c r="B19">
        <v>1.0000000000000001E-5</v>
      </c>
      <c r="C19">
        <v>9.0000000000000002E-6</v>
      </c>
      <c r="D19">
        <v>1.1E-5</v>
      </c>
      <c r="E19" t="s">
        <v>43</v>
      </c>
      <c r="F19" t="s">
        <v>60</v>
      </c>
      <c r="G19">
        <v>0</v>
      </c>
      <c r="H19" t="s">
        <v>49</v>
      </c>
    </row>
    <row r="20" spans="1:8" x14ac:dyDescent="0.45">
      <c r="A20" t="s">
        <v>68</v>
      </c>
      <c r="B20">
        <v>1.0000000000000001E-5</v>
      </c>
      <c r="C20">
        <v>9.0000000000000002E-6</v>
      </c>
      <c r="D20">
        <v>1.1E-5</v>
      </c>
      <c r="E20" t="s">
        <v>43</v>
      </c>
      <c r="F20" t="s">
        <v>60</v>
      </c>
      <c r="G20">
        <v>0</v>
      </c>
      <c r="H20" t="s">
        <v>51</v>
      </c>
    </row>
    <row r="21" spans="1:8" x14ac:dyDescent="0.45">
      <c r="A21" t="s">
        <v>69</v>
      </c>
      <c r="B21">
        <v>1.0000000000000001E-5</v>
      </c>
      <c r="C21">
        <v>9.0000000000000002E-6</v>
      </c>
      <c r="D21">
        <v>1.1E-5</v>
      </c>
      <c r="E21" t="s">
        <v>43</v>
      </c>
      <c r="F21" t="s">
        <v>60</v>
      </c>
      <c r="G21">
        <v>0</v>
      </c>
      <c r="H21" t="s">
        <v>53</v>
      </c>
    </row>
    <row r="22" spans="1:8" x14ac:dyDescent="0.45">
      <c r="A22" t="s">
        <v>70</v>
      </c>
      <c r="B22">
        <v>5.5555555555555556E-4</v>
      </c>
      <c r="C22">
        <v>3.1154231364886891E-4</v>
      </c>
      <c r="D22">
        <v>3.807739389041731E-4</v>
      </c>
      <c r="E22" t="s">
        <v>71</v>
      </c>
      <c r="F22" t="s">
        <v>60</v>
      </c>
      <c r="G22">
        <v>0</v>
      </c>
      <c r="H22" t="s">
        <v>45</v>
      </c>
    </row>
    <row r="23" spans="1:8" x14ac:dyDescent="0.45">
      <c r="A23" t="s">
        <v>72</v>
      </c>
      <c r="B23">
        <v>5.5555555555555556E-4</v>
      </c>
      <c r="C23">
        <v>3.1154231364886891E-5</v>
      </c>
      <c r="D23">
        <v>3.8077393890417307E-5</v>
      </c>
      <c r="E23" t="s">
        <v>71</v>
      </c>
      <c r="F23" t="s">
        <v>60</v>
      </c>
      <c r="G23">
        <v>0</v>
      </c>
      <c r="H23" t="s">
        <v>47</v>
      </c>
    </row>
    <row r="24" spans="1:8" x14ac:dyDescent="0.45">
      <c r="A24" t="s">
        <v>73</v>
      </c>
      <c r="B24">
        <v>5.5555555555555556E-4</v>
      </c>
      <c r="C24">
        <v>3.1154231364886891E-4</v>
      </c>
      <c r="D24">
        <v>3.807739389041731E-4</v>
      </c>
      <c r="E24" t="s">
        <v>71</v>
      </c>
      <c r="F24" t="s">
        <v>60</v>
      </c>
      <c r="G24">
        <v>0</v>
      </c>
      <c r="H24" t="s">
        <v>49</v>
      </c>
    </row>
    <row r="25" spans="1:8" x14ac:dyDescent="0.45">
      <c r="A25" t="s">
        <v>74</v>
      </c>
      <c r="B25">
        <v>5.5555555555555556E-4</v>
      </c>
      <c r="C25">
        <v>3.1154231364886891E-5</v>
      </c>
      <c r="D25">
        <v>3.8077393890417307E-5</v>
      </c>
      <c r="E25" t="s">
        <v>71</v>
      </c>
      <c r="F25" t="s">
        <v>60</v>
      </c>
      <c r="G25">
        <v>0</v>
      </c>
      <c r="H25" t="s">
        <v>51</v>
      </c>
    </row>
    <row r="26" spans="1:8" x14ac:dyDescent="0.45">
      <c r="A26" t="s">
        <v>75</v>
      </c>
      <c r="B26">
        <v>5.5555555555555556E-4</v>
      </c>
      <c r="C26">
        <v>3.1154231364886891E-4</v>
      </c>
      <c r="D26">
        <v>3.807739389041731E-4</v>
      </c>
      <c r="E26" t="s">
        <v>71</v>
      </c>
      <c r="F26" t="s">
        <v>60</v>
      </c>
      <c r="G26">
        <v>0</v>
      </c>
      <c r="H26" t="s">
        <v>53</v>
      </c>
    </row>
    <row r="27" spans="1:8" x14ac:dyDescent="0.45">
      <c r="A27" t="s">
        <v>76</v>
      </c>
      <c r="B27">
        <v>1</v>
      </c>
      <c r="C27">
        <v>3.1154231364886891E-4</v>
      </c>
      <c r="D27">
        <v>3.807739389041731E-4</v>
      </c>
      <c r="E27" t="s">
        <v>71</v>
      </c>
      <c r="F27" t="s">
        <v>60</v>
      </c>
      <c r="G27">
        <v>0</v>
      </c>
      <c r="H27" t="s">
        <v>77</v>
      </c>
    </row>
    <row r="28" spans="1:8" x14ac:dyDescent="0.45">
      <c r="A28" t="s">
        <v>78</v>
      </c>
      <c r="B28">
        <v>1</v>
      </c>
      <c r="C28">
        <v>3.1154231364886891E-4</v>
      </c>
      <c r="D28">
        <v>3.807739389041731E-4</v>
      </c>
      <c r="E28" t="s">
        <v>71</v>
      </c>
      <c r="F28" t="s">
        <v>60</v>
      </c>
      <c r="G28">
        <v>0</v>
      </c>
      <c r="H28" t="s">
        <v>77</v>
      </c>
    </row>
    <row r="29" spans="1:8" x14ac:dyDescent="0.45">
      <c r="A29" t="s">
        <v>79</v>
      </c>
      <c r="B29">
        <v>1</v>
      </c>
      <c r="C29">
        <v>3.1154231364886891E-4</v>
      </c>
      <c r="D29">
        <v>3.807739389041731E-4</v>
      </c>
      <c r="E29" t="s">
        <v>71</v>
      </c>
      <c r="F29" t="s">
        <v>60</v>
      </c>
      <c r="G29">
        <v>0</v>
      </c>
      <c r="H29" t="s">
        <v>77</v>
      </c>
    </row>
    <row r="30" spans="1:8" x14ac:dyDescent="0.45">
      <c r="A30" t="s">
        <v>80</v>
      </c>
      <c r="B30">
        <v>1</v>
      </c>
      <c r="C30">
        <v>3.1154231364886891E-4</v>
      </c>
      <c r="D30">
        <v>3.807739389041731E-4</v>
      </c>
      <c r="E30" t="s">
        <v>71</v>
      </c>
      <c r="F30" t="s">
        <v>60</v>
      </c>
      <c r="G30">
        <v>0</v>
      </c>
      <c r="H30" t="s">
        <v>77</v>
      </c>
    </row>
    <row r="31" spans="1:8" x14ac:dyDescent="0.45">
      <c r="A31" t="s">
        <v>81</v>
      </c>
      <c r="B31">
        <v>1</v>
      </c>
      <c r="C31">
        <v>3.1154231364886891E-4</v>
      </c>
      <c r="D31">
        <v>3.807739389041731E-4</v>
      </c>
      <c r="E31" t="s">
        <v>71</v>
      </c>
      <c r="F31" t="s">
        <v>60</v>
      </c>
      <c r="G31">
        <v>0</v>
      </c>
      <c r="H31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3"/>
  <sheetViews>
    <sheetView workbookViewId="0">
      <selection activeCell="C27" sqref="C27"/>
    </sheetView>
  </sheetViews>
  <sheetFormatPr baseColWidth="10" defaultRowHeight="14.25" x14ac:dyDescent="0.45"/>
  <sheetData>
    <row r="1" spans="1:12" x14ac:dyDescent="0.45">
      <c r="A1" s="2" t="s">
        <v>82</v>
      </c>
      <c r="B1" s="2" t="s">
        <v>70</v>
      </c>
      <c r="C1" s="2" t="s">
        <v>72</v>
      </c>
      <c r="D1" s="2" t="s">
        <v>73</v>
      </c>
      <c r="E1" s="2" t="s">
        <v>74</v>
      </c>
      <c r="F1" s="2" t="s">
        <v>75</v>
      </c>
    </row>
    <row r="2" spans="1:12" x14ac:dyDescent="0.45">
      <c r="A2" s="2">
        <v>0</v>
      </c>
      <c r="B2" s="13">
        <v>5.5555555555555556E-4</v>
      </c>
      <c r="C2" s="13">
        <v>5.5555555555555556E-4</v>
      </c>
      <c r="D2" s="13">
        <v>5.5555555555555556E-4</v>
      </c>
      <c r="E2" s="13">
        <v>5.5555555555555556E-4</v>
      </c>
      <c r="F2" s="13">
        <v>5.5555555555555556E-4</v>
      </c>
      <c r="G2" s="13"/>
      <c r="I2" s="13"/>
      <c r="J2" s="13"/>
      <c r="K2" s="13"/>
      <c r="L2" s="13"/>
    </row>
    <row r="3" spans="1:12" x14ac:dyDescent="0.45">
      <c r="A3" s="2">
        <v>3600000</v>
      </c>
      <c r="B3" s="13">
        <v>5.5555555555555556E-4</v>
      </c>
      <c r="C3" s="13">
        <v>5.5555555555555556E-4</v>
      </c>
      <c r="D3" s="13">
        <v>5.5555555555555556E-4</v>
      </c>
      <c r="E3" s="13">
        <v>5.5555555555555556E-4</v>
      </c>
      <c r="F3" s="13">
        <v>5.5555555555555556E-4</v>
      </c>
      <c r="G3" s="13"/>
      <c r="I3" s="13"/>
      <c r="J3" s="13"/>
      <c r="K3" s="13"/>
      <c r="L3" s="13"/>
    </row>
    <row r="4" spans="1:12" x14ac:dyDescent="0.45">
      <c r="A4" s="2">
        <v>800000000</v>
      </c>
      <c r="B4" s="13">
        <v>5.5555555555555556E-4</v>
      </c>
      <c r="C4" s="13">
        <v>5.5555555555555556E-4</v>
      </c>
      <c r="D4" s="13">
        <v>5.5555555555555556E-4</v>
      </c>
      <c r="E4" s="13">
        <v>5.5555555555555556E-4</v>
      </c>
      <c r="F4" s="13">
        <v>5.5555555555555556E-4</v>
      </c>
      <c r="G4" s="13"/>
    </row>
    <row r="5" spans="1:12" x14ac:dyDescent="0.45">
      <c r="B5" s="13"/>
      <c r="C5" s="13"/>
      <c r="D5" s="13"/>
      <c r="E5" s="13"/>
      <c r="F5" s="13"/>
      <c r="G5" s="13"/>
    </row>
    <row r="6" spans="1:12" x14ac:dyDescent="0.45">
      <c r="B6" s="1"/>
      <c r="C6" s="1"/>
      <c r="D6" s="1"/>
      <c r="E6" s="1"/>
      <c r="F6" s="1"/>
    </row>
    <row r="7" spans="1:12" x14ac:dyDescent="0.45">
      <c r="B7" s="1"/>
      <c r="C7" s="1"/>
      <c r="D7" s="1"/>
      <c r="E7" s="13"/>
      <c r="F7" s="13"/>
    </row>
    <row r="8" spans="1:12" x14ac:dyDescent="0.45">
      <c r="B8" s="13"/>
      <c r="C8" s="13"/>
      <c r="D8" s="13"/>
      <c r="E8" s="13"/>
      <c r="F8" s="13"/>
      <c r="G8" s="13"/>
    </row>
    <row r="9" spans="1:12" x14ac:dyDescent="0.45">
      <c r="B9" s="13"/>
      <c r="C9" s="13"/>
      <c r="D9" s="13"/>
      <c r="E9" s="13"/>
      <c r="F9" s="13"/>
      <c r="G9" s="13"/>
    </row>
    <row r="10" spans="1:12" x14ac:dyDescent="0.45">
      <c r="B10" s="13"/>
      <c r="C10" s="13"/>
      <c r="D10" s="13"/>
      <c r="E10" s="13"/>
      <c r="F10" s="13"/>
      <c r="G10" s="13"/>
    </row>
    <row r="11" spans="1:12" x14ac:dyDescent="0.45">
      <c r="B11" s="13"/>
      <c r="C11" s="13"/>
      <c r="D11" s="13"/>
      <c r="E11" s="13"/>
      <c r="F11" s="13"/>
      <c r="G11" s="13"/>
    </row>
    <row r="12" spans="1:12" x14ac:dyDescent="0.45">
      <c r="B12" s="13"/>
      <c r="C12" s="13"/>
      <c r="D12" s="13"/>
      <c r="E12" s="13"/>
      <c r="F12" s="13"/>
      <c r="G12" s="13"/>
    </row>
    <row r="13" spans="1:12" x14ac:dyDescent="0.45">
      <c r="B13" s="13"/>
      <c r="C13" s="13"/>
      <c r="D13" s="13"/>
      <c r="E13" s="13"/>
      <c r="F13" s="13"/>
      <c r="G13" s="13"/>
    </row>
    <row r="14" spans="1:12" x14ac:dyDescent="0.45">
      <c r="B14" s="13"/>
      <c r="C14" s="13"/>
      <c r="D14" s="13"/>
      <c r="E14" s="13"/>
      <c r="F14" s="13"/>
      <c r="G14" s="13"/>
    </row>
    <row r="15" spans="1:12" x14ac:dyDescent="0.45">
      <c r="B15" s="13"/>
      <c r="C15" s="13"/>
      <c r="D15" s="13"/>
      <c r="E15" s="13"/>
      <c r="F15" s="13"/>
      <c r="G15" s="13"/>
    </row>
    <row r="16" spans="1:12" x14ac:dyDescent="0.45">
      <c r="B16" s="13"/>
      <c r="C16" s="13"/>
      <c r="D16" s="13"/>
      <c r="E16" s="13"/>
      <c r="F16" s="13"/>
      <c r="G16" s="13"/>
    </row>
    <row r="17" spans="2:7" x14ac:dyDescent="0.45">
      <c r="B17" s="13"/>
      <c r="C17" s="13"/>
      <c r="D17" s="13"/>
      <c r="E17" s="13"/>
      <c r="F17" s="13"/>
      <c r="G17" s="13"/>
    </row>
    <row r="18" spans="2:7" x14ac:dyDescent="0.45">
      <c r="B18" s="13"/>
      <c r="C18" s="13"/>
      <c r="D18" s="13"/>
      <c r="E18" s="13"/>
      <c r="F18" s="13"/>
      <c r="G18" s="13"/>
    </row>
    <row r="19" spans="2:7" x14ac:dyDescent="0.45">
      <c r="B19" s="13"/>
      <c r="C19" s="13"/>
      <c r="D19" s="13"/>
      <c r="E19" s="13"/>
      <c r="F19" s="13"/>
      <c r="G19" s="13"/>
    </row>
    <row r="20" spans="2:7" x14ac:dyDescent="0.45">
      <c r="B20" s="13"/>
      <c r="C20" s="13"/>
      <c r="D20" s="13"/>
      <c r="E20" s="13"/>
      <c r="F20" s="13"/>
      <c r="G20" s="13"/>
    </row>
    <row r="21" spans="2:7" x14ac:dyDescent="0.45">
      <c r="B21" s="13"/>
      <c r="C21" s="13"/>
      <c r="D21" s="13"/>
      <c r="E21" s="13"/>
      <c r="F21" s="13"/>
      <c r="G21" s="13"/>
    </row>
    <row r="22" spans="2:7" x14ac:dyDescent="0.45">
      <c r="B22" s="13"/>
      <c r="C22" s="13"/>
      <c r="D22" s="13"/>
      <c r="E22" s="13"/>
      <c r="F22" s="13"/>
      <c r="G22" s="13"/>
    </row>
    <row r="23" spans="2:7" x14ac:dyDescent="0.45">
      <c r="B23" s="13"/>
      <c r="C23" s="13"/>
      <c r="D23" s="13"/>
      <c r="E23" s="13"/>
      <c r="F23" s="13"/>
      <c r="G23" s="13"/>
    </row>
    <row r="24" spans="2:7" x14ac:dyDescent="0.45">
      <c r="B24" s="13"/>
      <c r="C24" s="13"/>
      <c r="D24" s="13"/>
      <c r="E24" s="13"/>
      <c r="F24" s="13"/>
      <c r="G24" s="13"/>
    </row>
    <row r="25" spans="2:7" x14ac:dyDescent="0.45">
      <c r="B25" s="13"/>
      <c r="C25" s="13"/>
      <c r="D25" s="13"/>
      <c r="E25" s="13"/>
      <c r="F25" s="13"/>
      <c r="G25" s="13"/>
    </row>
    <row r="26" spans="2:7" x14ac:dyDescent="0.45">
      <c r="B26" s="13"/>
      <c r="C26" s="13"/>
      <c r="D26" s="13"/>
      <c r="E26" s="13"/>
      <c r="F26" s="13"/>
      <c r="G26" s="13"/>
    </row>
    <row r="27" spans="2:7" x14ac:dyDescent="0.45">
      <c r="B27" s="13"/>
      <c r="C27" s="13"/>
      <c r="D27" s="13"/>
      <c r="E27" s="13"/>
      <c r="F27" s="13"/>
      <c r="G27" s="13"/>
    </row>
    <row r="28" spans="2:7" x14ac:dyDescent="0.45">
      <c r="B28" s="13"/>
      <c r="C28" s="13"/>
      <c r="D28" s="13"/>
      <c r="E28" s="13"/>
      <c r="F28" s="13"/>
      <c r="G28" s="13"/>
    </row>
    <row r="29" spans="2:7" x14ac:dyDescent="0.45">
      <c r="B29" s="13"/>
      <c r="C29" s="13"/>
      <c r="D29" s="13"/>
      <c r="E29" s="13"/>
      <c r="F29" s="13"/>
      <c r="G29" s="13"/>
    </row>
    <row r="30" spans="2:7" x14ac:dyDescent="0.45">
      <c r="B30" s="13"/>
      <c r="C30" s="13"/>
      <c r="D30" s="13"/>
      <c r="E30" s="13"/>
      <c r="F30" s="13"/>
      <c r="G30" s="13"/>
    </row>
    <row r="31" spans="2:7" x14ac:dyDescent="0.45">
      <c r="B31" s="13"/>
      <c r="C31" s="13"/>
      <c r="D31" s="13"/>
      <c r="E31" s="13"/>
      <c r="F31" s="13"/>
      <c r="G31" s="13"/>
    </row>
    <row r="32" spans="2:7" x14ac:dyDescent="0.45">
      <c r="B32" s="13"/>
      <c r="C32" s="13"/>
      <c r="D32" s="13"/>
      <c r="E32" s="13"/>
      <c r="F32" s="13"/>
      <c r="G32" s="13"/>
    </row>
    <row r="33" spans="2:7" x14ac:dyDescent="0.45">
      <c r="B33" s="13"/>
      <c r="C33" s="13"/>
      <c r="D33" s="13"/>
      <c r="E33" s="13"/>
      <c r="F33" s="13"/>
      <c r="G33" s="13"/>
    </row>
    <row r="34" spans="2:7" x14ac:dyDescent="0.45">
      <c r="B34" s="13"/>
      <c r="C34" s="13"/>
      <c r="D34" s="13"/>
      <c r="E34" s="13"/>
      <c r="F34" s="13"/>
      <c r="G34" s="13"/>
    </row>
    <row r="35" spans="2:7" x14ac:dyDescent="0.45">
      <c r="B35" s="13"/>
      <c r="C35" s="13"/>
      <c r="D35" s="13"/>
      <c r="E35" s="13"/>
      <c r="F35" s="13"/>
      <c r="G35" s="13"/>
    </row>
    <row r="36" spans="2:7" x14ac:dyDescent="0.45">
      <c r="B36" s="13"/>
      <c r="C36" s="13"/>
      <c r="D36" s="13"/>
      <c r="E36" s="13"/>
      <c r="F36" s="13"/>
      <c r="G36" s="13"/>
    </row>
    <row r="37" spans="2:7" x14ac:dyDescent="0.45">
      <c r="B37" s="13"/>
      <c r="C37" s="13"/>
      <c r="D37" s="13"/>
      <c r="E37" s="13"/>
      <c r="F37" s="13"/>
      <c r="G37" s="13"/>
    </row>
    <row r="38" spans="2:7" x14ac:dyDescent="0.45">
      <c r="B38" s="13"/>
      <c r="C38" s="13"/>
      <c r="D38" s="13"/>
      <c r="E38" s="13"/>
      <c r="F38" s="13"/>
      <c r="G38" s="13"/>
    </row>
    <row r="39" spans="2:7" x14ac:dyDescent="0.45">
      <c r="B39" s="13"/>
      <c r="C39" s="13"/>
      <c r="D39" s="13"/>
      <c r="E39" s="13"/>
      <c r="F39" s="13"/>
      <c r="G39" s="13"/>
    </row>
    <row r="40" spans="2:7" x14ac:dyDescent="0.45">
      <c r="B40" s="13"/>
      <c r="C40" s="13"/>
      <c r="D40" s="13"/>
      <c r="E40" s="13"/>
      <c r="F40" s="13"/>
      <c r="G40" s="13"/>
    </row>
    <row r="41" spans="2:7" x14ac:dyDescent="0.45">
      <c r="B41" s="13"/>
      <c r="C41" s="13"/>
      <c r="D41" s="13"/>
      <c r="E41" s="13"/>
      <c r="F41" s="13"/>
      <c r="G41" s="13"/>
    </row>
    <row r="42" spans="2:7" x14ac:dyDescent="0.45">
      <c r="B42" s="13"/>
      <c r="C42" s="13"/>
      <c r="D42" s="13"/>
      <c r="E42" s="13"/>
      <c r="F42" s="13"/>
      <c r="G42" s="13"/>
    </row>
    <row r="43" spans="2:7" x14ac:dyDescent="0.45">
      <c r="B43" s="13"/>
      <c r="C43" s="13"/>
      <c r="D43" s="13"/>
      <c r="E43" s="13"/>
      <c r="F43" s="13"/>
      <c r="G43" s="13"/>
    </row>
    <row r="44" spans="2:7" x14ac:dyDescent="0.45">
      <c r="B44" s="13"/>
      <c r="C44" s="13"/>
      <c r="D44" s="13"/>
      <c r="E44" s="13"/>
      <c r="F44" s="13"/>
      <c r="G44" s="13"/>
    </row>
    <row r="45" spans="2:7" x14ac:dyDescent="0.45">
      <c r="B45" s="13"/>
      <c r="C45" s="13"/>
      <c r="D45" s="13"/>
      <c r="E45" s="13"/>
      <c r="F45" s="13"/>
      <c r="G45" s="13"/>
    </row>
    <row r="46" spans="2:7" x14ac:dyDescent="0.45">
      <c r="B46" s="13"/>
      <c r="C46" s="13"/>
      <c r="D46" s="13"/>
      <c r="E46" s="13"/>
      <c r="F46" s="13"/>
      <c r="G46" s="13"/>
    </row>
    <row r="47" spans="2:7" x14ac:dyDescent="0.45">
      <c r="B47" s="13"/>
      <c r="C47" s="13"/>
      <c r="D47" s="13"/>
      <c r="E47" s="13"/>
      <c r="F47" s="13"/>
      <c r="G47" s="13"/>
    </row>
    <row r="48" spans="2:7" x14ac:dyDescent="0.45">
      <c r="B48" s="13"/>
      <c r="C48" s="13"/>
      <c r="D48" s="13"/>
      <c r="E48" s="13"/>
      <c r="F48" s="13"/>
      <c r="G48" s="13"/>
    </row>
    <row r="49" spans="2:7" x14ac:dyDescent="0.45">
      <c r="B49" s="13"/>
      <c r="C49" s="13"/>
      <c r="D49" s="13"/>
      <c r="E49" s="13"/>
      <c r="F49" s="13"/>
      <c r="G49" s="13"/>
    </row>
    <row r="50" spans="2:7" x14ac:dyDescent="0.45">
      <c r="B50" s="13"/>
      <c r="C50" s="13"/>
      <c r="D50" s="13"/>
      <c r="E50" s="13"/>
      <c r="F50" s="13"/>
      <c r="G50" s="13"/>
    </row>
    <row r="51" spans="2:7" x14ac:dyDescent="0.45">
      <c r="B51" s="13"/>
      <c r="C51" s="13"/>
      <c r="D51" s="13"/>
      <c r="E51" s="13"/>
      <c r="F51" s="13"/>
      <c r="G51" s="13"/>
    </row>
    <row r="52" spans="2:7" x14ac:dyDescent="0.45">
      <c r="B52" s="13"/>
      <c r="C52" s="13"/>
      <c r="D52" s="13"/>
      <c r="E52" s="13"/>
      <c r="F52" s="13"/>
      <c r="G52" s="13"/>
    </row>
    <row r="53" spans="2:7" x14ac:dyDescent="0.45">
      <c r="B53" s="13"/>
      <c r="C53" s="13"/>
      <c r="D53" s="13"/>
      <c r="E53" s="13"/>
      <c r="F53" s="13"/>
      <c r="G53" s="13"/>
    </row>
    <row r="54" spans="2:7" x14ac:dyDescent="0.45">
      <c r="B54" s="13"/>
      <c r="C54" s="13"/>
      <c r="D54" s="13"/>
      <c r="E54" s="13"/>
      <c r="F54" s="13"/>
      <c r="G54" s="13"/>
    </row>
    <row r="55" spans="2:7" x14ac:dyDescent="0.45">
      <c r="B55" s="13"/>
      <c r="C55" s="13"/>
      <c r="D55" s="13"/>
      <c r="E55" s="13"/>
      <c r="F55" s="13"/>
      <c r="G55" s="13"/>
    </row>
    <row r="56" spans="2:7" x14ac:dyDescent="0.45">
      <c r="B56" s="13"/>
      <c r="C56" s="13"/>
      <c r="D56" s="13"/>
      <c r="E56" s="13"/>
      <c r="F56" s="13"/>
      <c r="G56" s="13"/>
    </row>
    <row r="57" spans="2:7" x14ac:dyDescent="0.45">
      <c r="B57" s="13"/>
      <c r="C57" s="13"/>
      <c r="D57" s="13"/>
      <c r="E57" s="13"/>
      <c r="F57" s="13"/>
      <c r="G57" s="13"/>
    </row>
    <row r="58" spans="2:7" x14ac:dyDescent="0.45">
      <c r="B58" s="13"/>
      <c r="C58" s="13"/>
      <c r="D58" s="13"/>
      <c r="E58" s="13"/>
      <c r="F58" s="13"/>
      <c r="G58" s="13"/>
    </row>
    <row r="59" spans="2:7" x14ac:dyDescent="0.45">
      <c r="B59" s="13"/>
      <c r="C59" s="13"/>
      <c r="D59" s="13"/>
      <c r="E59" s="13"/>
      <c r="F59" s="13"/>
      <c r="G59" s="13"/>
    </row>
    <row r="60" spans="2:7" x14ac:dyDescent="0.45">
      <c r="B60" s="13"/>
      <c r="C60" s="13"/>
      <c r="D60" s="13"/>
      <c r="E60" s="13"/>
      <c r="F60" s="13"/>
      <c r="G60" s="13"/>
    </row>
    <row r="61" spans="2:7" x14ac:dyDescent="0.45">
      <c r="B61" s="13"/>
      <c r="C61" s="13"/>
      <c r="D61" s="13"/>
      <c r="E61" s="13"/>
      <c r="F61" s="13"/>
      <c r="G61" s="13"/>
    </row>
    <row r="62" spans="2:7" x14ac:dyDescent="0.45">
      <c r="B62" s="13"/>
      <c r="C62" s="13"/>
      <c r="D62" s="13"/>
      <c r="E62" s="13"/>
      <c r="F62" s="13"/>
      <c r="G62" s="13"/>
    </row>
    <row r="63" spans="2:7" x14ac:dyDescent="0.45">
      <c r="B63" s="13"/>
      <c r="C63" s="13"/>
      <c r="D63" s="13"/>
      <c r="E63" s="13"/>
      <c r="F63" s="13"/>
      <c r="G63" s="13"/>
    </row>
    <row r="64" spans="2:7" x14ac:dyDescent="0.45">
      <c r="B64" s="13"/>
      <c r="C64" s="13"/>
      <c r="D64" s="13"/>
      <c r="E64" s="13"/>
      <c r="F64" s="13"/>
      <c r="G64" s="13"/>
    </row>
    <row r="65" spans="2:7" x14ac:dyDescent="0.45">
      <c r="B65" s="13"/>
      <c r="C65" s="13"/>
      <c r="D65" s="13"/>
      <c r="E65" s="13"/>
      <c r="F65" s="13"/>
      <c r="G65" s="13"/>
    </row>
    <row r="66" spans="2:7" x14ac:dyDescent="0.45">
      <c r="B66" s="13"/>
      <c r="C66" s="13"/>
      <c r="D66" s="13"/>
      <c r="E66" s="13"/>
      <c r="F66" s="13"/>
      <c r="G66" s="13"/>
    </row>
    <row r="67" spans="2:7" x14ac:dyDescent="0.45">
      <c r="B67" s="13"/>
      <c r="C67" s="13"/>
      <c r="D67" s="13"/>
      <c r="E67" s="13"/>
      <c r="F67" s="13"/>
      <c r="G67" s="13"/>
    </row>
    <row r="68" spans="2:7" x14ac:dyDescent="0.45">
      <c r="B68" s="13"/>
      <c r="C68" s="13"/>
      <c r="D68" s="13"/>
      <c r="E68" s="13"/>
      <c r="F68" s="13"/>
      <c r="G68" s="13"/>
    </row>
    <row r="69" spans="2:7" x14ac:dyDescent="0.45">
      <c r="B69" s="13"/>
      <c r="C69" s="13"/>
      <c r="D69" s="13"/>
      <c r="E69" s="13"/>
      <c r="F69" s="13"/>
      <c r="G69" s="13"/>
    </row>
    <row r="70" spans="2:7" x14ac:dyDescent="0.45">
      <c r="B70" s="13"/>
      <c r="C70" s="13"/>
      <c r="D70" s="13"/>
      <c r="E70" s="13"/>
      <c r="F70" s="13"/>
      <c r="G70" s="13"/>
    </row>
    <row r="71" spans="2:7" x14ac:dyDescent="0.45">
      <c r="B71" s="13"/>
      <c r="C71" s="13"/>
      <c r="D71" s="13"/>
      <c r="E71" s="13"/>
      <c r="F71" s="13"/>
      <c r="G71" s="13"/>
    </row>
    <row r="72" spans="2:7" x14ac:dyDescent="0.45">
      <c r="B72" s="13"/>
      <c r="C72" s="13"/>
      <c r="D72" s="13"/>
      <c r="E72" s="13"/>
      <c r="F72" s="13"/>
      <c r="G72" s="13"/>
    </row>
    <row r="73" spans="2:7" x14ac:dyDescent="0.45">
      <c r="B73" s="13"/>
      <c r="C73" s="13"/>
      <c r="D73" s="13"/>
      <c r="E73" s="13"/>
      <c r="F73" s="13"/>
      <c r="G73" s="13"/>
    </row>
    <row r="74" spans="2:7" x14ac:dyDescent="0.45">
      <c r="B74" s="13"/>
      <c r="C74" s="13"/>
      <c r="D74" s="13"/>
      <c r="E74" s="13"/>
      <c r="F74" s="13"/>
      <c r="G74" s="13"/>
    </row>
    <row r="75" spans="2:7" x14ac:dyDescent="0.45">
      <c r="B75" s="13"/>
      <c r="C75" s="13"/>
      <c r="D75" s="13"/>
      <c r="E75" s="13"/>
      <c r="F75" s="13"/>
      <c r="G75" s="13"/>
    </row>
    <row r="76" spans="2:7" x14ac:dyDescent="0.45">
      <c r="B76" s="13"/>
      <c r="C76" s="13"/>
      <c r="D76" s="13"/>
      <c r="E76" s="13"/>
      <c r="F76" s="13"/>
      <c r="G76" s="13"/>
    </row>
    <row r="77" spans="2:7" x14ac:dyDescent="0.45">
      <c r="B77" s="13"/>
      <c r="C77" s="13"/>
      <c r="D77" s="13"/>
      <c r="E77" s="13"/>
      <c r="F77" s="13"/>
      <c r="G77" s="13"/>
    </row>
    <row r="78" spans="2:7" x14ac:dyDescent="0.45">
      <c r="B78" s="13"/>
      <c r="C78" s="13"/>
      <c r="D78" s="13"/>
      <c r="E78" s="13"/>
      <c r="F78" s="13"/>
      <c r="G78" s="13"/>
    </row>
    <row r="79" spans="2:7" x14ac:dyDescent="0.45">
      <c r="B79" s="13"/>
      <c r="C79" s="13"/>
      <c r="D79" s="13"/>
      <c r="E79" s="13"/>
      <c r="F79" s="13"/>
      <c r="G79" s="13"/>
    </row>
    <row r="80" spans="2:7" x14ac:dyDescent="0.45">
      <c r="B80" s="13"/>
      <c r="C80" s="13"/>
      <c r="D80" s="13"/>
      <c r="E80" s="13"/>
      <c r="F80" s="13"/>
      <c r="G80" s="13"/>
    </row>
    <row r="81" spans="2:7" x14ac:dyDescent="0.45">
      <c r="B81" s="13"/>
      <c r="C81" s="13"/>
      <c r="D81" s="13"/>
      <c r="E81" s="13"/>
      <c r="F81" s="13"/>
      <c r="G81" s="13"/>
    </row>
    <row r="82" spans="2:7" x14ac:dyDescent="0.45">
      <c r="B82" s="13"/>
      <c r="C82" s="13"/>
      <c r="D82" s="13"/>
      <c r="E82" s="13"/>
      <c r="F82" s="13"/>
      <c r="G82" s="13"/>
    </row>
    <row r="83" spans="2:7" x14ac:dyDescent="0.45">
      <c r="B83" s="13"/>
      <c r="C83" s="13"/>
      <c r="D83" s="13"/>
      <c r="E83" s="13"/>
      <c r="F83" s="13"/>
      <c r="G83" s="13"/>
    </row>
    <row r="84" spans="2:7" x14ac:dyDescent="0.45">
      <c r="B84" s="13"/>
      <c r="C84" s="13"/>
      <c r="D84" s="13"/>
      <c r="E84" s="13"/>
      <c r="F84" s="13"/>
      <c r="G84" s="13"/>
    </row>
    <row r="85" spans="2:7" x14ac:dyDescent="0.45">
      <c r="B85" s="13"/>
      <c r="C85" s="13"/>
      <c r="D85" s="13"/>
      <c r="E85" s="13"/>
      <c r="F85" s="13"/>
      <c r="G85" s="13"/>
    </row>
    <row r="86" spans="2:7" x14ac:dyDescent="0.45">
      <c r="B86" s="13"/>
      <c r="C86" s="13"/>
      <c r="D86" s="13"/>
      <c r="E86" s="13"/>
      <c r="F86" s="13"/>
      <c r="G86" s="13"/>
    </row>
    <row r="87" spans="2:7" x14ac:dyDescent="0.45">
      <c r="B87" s="13"/>
      <c r="C87" s="13"/>
      <c r="D87" s="13"/>
      <c r="E87" s="13"/>
      <c r="F87" s="13"/>
      <c r="G87" s="13"/>
    </row>
    <row r="88" spans="2:7" x14ac:dyDescent="0.45">
      <c r="B88" s="13"/>
      <c r="C88" s="13"/>
      <c r="D88" s="13"/>
      <c r="E88" s="13"/>
      <c r="F88" s="13"/>
      <c r="G88" s="13"/>
    </row>
    <row r="89" spans="2:7" x14ac:dyDescent="0.45">
      <c r="B89" s="13"/>
      <c r="C89" s="13"/>
      <c r="D89" s="13"/>
      <c r="E89" s="13"/>
      <c r="F89" s="13"/>
      <c r="G89" s="13"/>
    </row>
    <row r="90" spans="2:7" x14ac:dyDescent="0.45">
      <c r="B90" s="13"/>
      <c r="C90" s="13"/>
      <c r="D90" s="13"/>
      <c r="E90" s="13"/>
      <c r="F90" s="13"/>
      <c r="G90" s="13"/>
    </row>
    <row r="91" spans="2:7" x14ac:dyDescent="0.45">
      <c r="B91" s="13"/>
      <c r="C91" s="13"/>
      <c r="D91" s="13"/>
      <c r="E91" s="13"/>
      <c r="F91" s="13"/>
      <c r="G91" s="13"/>
    </row>
    <row r="92" spans="2:7" x14ac:dyDescent="0.45">
      <c r="B92" s="13"/>
      <c r="C92" s="13"/>
      <c r="D92" s="13"/>
      <c r="E92" s="13"/>
      <c r="F92" s="13"/>
      <c r="G92" s="13"/>
    </row>
    <row r="93" spans="2:7" x14ac:dyDescent="0.45">
      <c r="B93" s="13"/>
      <c r="C93" s="13"/>
      <c r="D93" s="13"/>
      <c r="E93" s="13"/>
      <c r="F93" s="13"/>
      <c r="G93" s="13"/>
    </row>
    <row r="94" spans="2:7" x14ac:dyDescent="0.45">
      <c r="B94" s="13"/>
      <c r="C94" s="13"/>
      <c r="D94" s="13"/>
      <c r="E94" s="13"/>
      <c r="F94" s="13"/>
      <c r="G94" s="13"/>
    </row>
    <row r="95" spans="2:7" x14ac:dyDescent="0.45">
      <c r="B95" s="13"/>
      <c r="C95" s="13"/>
      <c r="D95" s="13"/>
      <c r="E95" s="13"/>
      <c r="F95" s="13"/>
      <c r="G95" s="13"/>
    </row>
    <row r="96" spans="2:7" x14ac:dyDescent="0.45">
      <c r="B96" s="13"/>
      <c r="C96" s="13"/>
      <c r="D96" s="13"/>
      <c r="E96" s="13"/>
      <c r="F96" s="13"/>
      <c r="G96" s="13"/>
    </row>
    <row r="97" spans="2:7" x14ac:dyDescent="0.45">
      <c r="B97" s="13"/>
      <c r="C97" s="13"/>
      <c r="D97" s="13"/>
      <c r="E97" s="13"/>
      <c r="F97" s="13"/>
      <c r="G97" s="13"/>
    </row>
    <row r="98" spans="2:7" x14ac:dyDescent="0.45">
      <c r="B98" s="13"/>
      <c r="C98" s="13"/>
      <c r="D98" s="13"/>
      <c r="E98" s="13"/>
      <c r="F98" s="13"/>
      <c r="G98" s="13"/>
    </row>
    <row r="99" spans="2:7" x14ac:dyDescent="0.45">
      <c r="B99" s="13"/>
      <c r="C99" s="13"/>
      <c r="D99" s="13"/>
      <c r="E99" s="13"/>
      <c r="F99" s="13"/>
      <c r="G99" s="13"/>
    </row>
    <row r="100" spans="2:7" x14ac:dyDescent="0.45">
      <c r="B100" s="13"/>
      <c r="C100" s="13"/>
      <c r="D100" s="13"/>
      <c r="E100" s="13"/>
      <c r="F100" s="13"/>
      <c r="G100" s="13"/>
    </row>
    <row r="101" spans="2:7" x14ac:dyDescent="0.45">
      <c r="B101" s="13"/>
      <c r="C101" s="13"/>
      <c r="D101" s="13"/>
      <c r="E101" s="13"/>
      <c r="F101" s="13"/>
      <c r="G101" s="13"/>
    </row>
    <row r="102" spans="2:7" x14ac:dyDescent="0.45">
      <c r="B102" s="13"/>
      <c r="C102" s="13"/>
      <c r="D102" s="13"/>
      <c r="E102" s="13"/>
      <c r="F102" s="13"/>
      <c r="G102" s="13"/>
    </row>
    <row r="103" spans="2:7" x14ac:dyDescent="0.45">
      <c r="B103" s="13"/>
      <c r="C103" s="13"/>
      <c r="D103" s="13"/>
      <c r="E103" s="13"/>
      <c r="F103" s="13"/>
      <c r="G103" s="13"/>
    </row>
    <row r="104" spans="2:7" x14ac:dyDescent="0.45">
      <c r="B104" s="13"/>
      <c r="C104" s="13"/>
      <c r="D104" s="13"/>
      <c r="E104" s="13"/>
      <c r="F104" s="13"/>
      <c r="G104" s="13"/>
    </row>
    <row r="105" spans="2:7" x14ac:dyDescent="0.45">
      <c r="B105" s="13"/>
      <c r="C105" s="13"/>
      <c r="D105" s="13"/>
      <c r="E105" s="13"/>
      <c r="F105" s="13"/>
      <c r="G105" s="13"/>
    </row>
    <row r="106" spans="2:7" x14ac:dyDescent="0.45">
      <c r="B106" s="13"/>
      <c r="C106" s="13"/>
      <c r="D106" s="13"/>
      <c r="E106" s="13"/>
      <c r="F106" s="13"/>
      <c r="G106" s="13"/>
    </row>
    <row r="107" spans="2:7" x14ac:dyDescent="0.45">
      <c r="B107" s="13"/>
      <c r="C107" s="13"/>
      <c r="D107" s="13"/>
      <c r="E107" s="13"/>
      <c r="F107" s="13"/>
      <c r="G107" s="13"/>
    </row>
    <row r="108" spans="2:7" x14ac:dyDescent="0.45">
      <c r="B108" s="13"/>
      <c r="C108" s="13"/>
      <c r="D108" s="13"/>
      <c r="E108" s="13"/>
      <c r="F108" s="13"/>
      <c r="G108" s="13"/>
    </row>
    <row r="109" spans="2:7" x14ac:dyDescent="0.45">
      <c r="B109" s="13"/>
      <c r="C109" s="13"/>
      <c r="D109" s="13"/>
      <c r="E109" s="13"/>
      <c r="F109" s="13"/>
      <c r="G109" s="13"/>
    </row>
    <row r="110" spans="2:7" x14ac:dyDescent="0.45">
      <c r="B110" s="13"/>
      <c r="C110" s="13"/>
      <c r="D110" s="13"/>
      <c r="E110" s="13"/>
      <c r="F110" s="13"/>
      <c r="G110" s="13"/>
    </row>
    <row r="111" spans="2:7" x14ac:dyDescent="0.45">
      <c r="B111" s="13"/>
      <c r="C111" s="13"/>
      <c r="D111" s="13"/>
      <c r="E111" s="13"/>
      <c r="F111" s="13"/>
      <c r="G111" s="13"/>
    </row>
    <row r="112" spans="2:7" x14ac:dyDescent="0.45">
      <c r="B112" s="13"/>
      <c r="C112" s="13"/>
      <c r="D112" s="13"/>
      <c r="E112" s="13"/>
      <c r="F112" s="13"/>
      <c r="G112" s="13"/>
    </row>
    <row r="113" spans="2:7" x14ac:dyDescent="0.45">
      <c r="B113" s="13"/>
      <c r="C113" s="13"/>
      <c r="D113" s="13"/>
      <c r="E113" s="13"/>
      <c r="F113" s="13"/>
      <c r="G113" s="13"/>
    </row>
    <row r="114" spans="2:7" x14ac:dyDescent="0.45">
      <c r="B114" s="13"/>
      <c r="C114" s="13"/>
      <c r="D114" s="13"/>
      <c r="E114" s="13"/>
      <c r="F114" s="13"/>
      <c r="G114" s="13"/>
    </row>
    <row r="115" spans="2:7" x14ac:dyDescent="0.45">
      <c r="B115" s="13"/>
      <c r="C115" s="13"/>
      <c r="D115" s="13"/>
      <c r="E115" s="13"/>
      <c r="F115" s="13"/>
      <c r="G115" s="13"/>
    </row>
    <row r="116" spans="2:7" x14ac:dyDescent="0.45">
      <c r="B116" s="13"/>
      <c r="C116" s="13"/>
      <c r="D116" s="13"/>
      <c r="E116" s="13"/>
      <c r="F116" s="13"/>
      <c r="G116" s="13"/>
    </row>
    <row r="117" spans="2:7" x14ac:dyDescent="0.45">
      <c r="B117" s="13"/>
      <c r="C117" s="13"/>
      <c r="D117" s="13"/>
      <c r="E117" s="13"/>
      <c r="F117" s="13"/>
      <c r="G117" s="13"/>
    </row>
    <row r="118" spans="2:7" x14ac:dyDescent="0.45">
      <c r="B118" s="13"/>
      <c r="C118" s="13"/>
      <c r="D118" s="13"/>
      <c r="E118" s="13"/>
      <c r="F118" s="13"/>
      <c r="G118" s="13"/>
    </row>
    <row r="119" spans="2:7" x14ac:dyDescent="0.45">
      <c r="B119" s="13"/>
      <c r="C119" s="13"/>
      <c r="D119" s="13"/>
      <c r="E119" s="13"/>
      <c r="F119" s="13"/>
      <c r="G119" s="13"/>
    </row>
    <row r="120" spans="2:7" x14ac:dyDescent="0.45">
      <c r="B120" s="13"/>
      <c r="C120" s="13"/>
      <c r="D120" s="13"/>
      <c r="E120" s="13"/>
      <c r="F120" s="13"/>
      <c r="G120" s="13"/>
    </row>
    <row r="121" spans="2:7" x14ac:dyDescent="0.45">
      <c r="B121" s="13"/>
      <c r="C121" s="13"/>
      <c r="D121" s="13"/>
      <c r="E121" s="13"/>
      <c r="F121" s="13"/>
      <c r="G121" s="13"/>
    </row>
    <row r="122" spans="2:7" x14ac:dyDescent="0.45">
      <c r="B122" s="13"/>
      <c r="C122" s="13"/>
      <c r="D122" s="13"/>
      <c r="E122" s="13"/>
      <c r="F122" s="13"/>
      <c r="G122" s="13"/>
    </row>
    <row r="123" spans="2:7" x14ac:dyDescent="0.45">
      <c r="B123" s="13"/>
      <c r="C123" s="13"/>
      <c r="D123" s="13"/>
      <c r="E123" s="13"/>
      <c r="F123" s="13"/>
      <c r="G123" s="13"/>
    </row>
    <row r="124" spans="2:7" x14ac:dyDescent="0.45">
      <c r="B124" s="13"/>
      <c r="C124" s="13"/>
      <c r="D124" s="13"/>
      <c r="E124" s="13"/>
      <c r="F124" s="13"/>
      <c r="G124" s="13"/>
    </row>
    <row r="125" spans="2:7" x14ac:dyDescent="0.45">
      <c r="B125" s="13"/>
      <c r="C125" s="13"/>
      <c r="D125" s="13"/>
      <c r="E125" s="13"/>
      <c r="F125" s="13"/>
      <c r="G125" s="13"/>
    </row>
    <row r="126" spans="2:7" x14ac:dyDescent="0.45">
      <c r="B126" s="13"/>
      <c r="C126" s="13"/>
      <c r="D126" s="13"/>
      <c r="E126" s="13"/>
      <c r="F126" s="13"/>
      <c r="G126" s="13"/>
    </row>
    <row r="127" spans="2:7" x14ac:dyDescent="0.45">
      <c r="B127" s="13"/>
      <c r="C127" s="13"/>
      <c r="D127" s="13"/>
      <c r="E127" s="13"/>
      <c r="F127" s="13"/>
      <c r="G127" s="13"/>
    </row>
    <row r="128" spans="2:7" x14ac:dyDescent="0.45">
      <c r="B128" s="13"/>
      <c r="C128" s="13"/>
      <c r="D128" s="13"/>
      <c r="E128" s="13"/>
      <c r="F128" s="13"/>
      <c r="G128" s="13"/>
    </row>
    <row r="129" spans="2:7" x14ac:dyDescent="0.45">
      <c r="B129" s="13"/>
      <c r="C129" s="13"/>
      <c r="D129" s="13"/>
      <c r="E129" s="13"/>
      <c r="F129" s="13"/>
      <c r="G129" s="13"/>
    </row>
    <row r="130" spans="2:7" x14ac:dyDescent="0.45">
      <c r="B130" s="13"/>
      <c r="C130" s="13"/>
      <c r="D130" s="13"/>
      <c r="E130" s="13"/>
      <c r="F130" s="13"/>
      <c r="G130" s="13"/>
    </row>
    <row r="131" spans="2:7" x14ac:dyDescent="0.45">
      <c r="B131" s="13"/>
      <c r="C131" s="13"/>
      <c r="D131" s="13"/>
      <c r="E131" s="13"/>
      <c r="F131" s="13"/>
      <c r="G131" s="13"/>
    </row>
    <row r="132" spans="2:7" x14ac:dyDescent="0.45">
      <c r="B132" s="13"/>
      <c r="C132" s="13"/>
      <c r="D132" s="13"/>
      <c r="E132" s="13"/>
      <c r="F132" s="13"/>
      <c r="G132" s="13"/>
    </row>
    <row r="133" spans="2:7" x14ac:dyDescent="0.45">
      <c r="B133" s="13"/>
      <c r="C133" s="13"/>
      <c r="D133" s="13"/>
      <c r="E133" s="13"/>
      <c r="F133" s="13"/>
      <c r="G133" s="13"/>
    </row>
    <row r="134" spans="2:7" x14ac:dyDescent="0.45">
      <c r="B134" s="13"/>
      <c r="C134" s="13"/>
      <c r="D134" s="13"/>
      <c r="E134" s="13"/>
      <c r="F134" s="13"/>
      <c r="G134" s="13"/>
    </row>
    <row r="135" spans="2:7" x14ac:dyDescent="0.45">
      <c r="B135" s="13"/>
      <c r="C135" s="13"/>
      <c r="D135" s="13"/>
      <c r="E135" s="13"/>
      <c r="F135" s="13"/>
      <c r="G135" s="13"/>
    </row>
    <row r="136" spans="2:7" x14ac:dyDescent="0.45">
      <c r="B136" s="13"/>
      <c r="C136" s="13"/>
      <c r="D136" s="13"/>
      <c r="E136" s="13"/>
      <c r="F136" s="13"/>
      <c r="G136" s="13"/>
    </row>
    <row r="137" spans="2:7" x14ac:dyDescent="0.45">
      <c r="B137" s="13"/>
      <c r="C137" s="13"/>
      <c r="D137" s="13"/>
      <c r="E137" s="13"/>
      <c r="F137" s="13"/>
      <c r="G137" s="13"/>
    </row>
    <row r="138" spans="2:7" x14ac:dyDescent="0.45">
      <c r="B138" s="13"/>
      <c r="C138" s="13"/>
      <c r="D138" s="13"/>
      <c r="E138" s="13"/>
      <c r="F138" s="13"/>
      <c r="G138" s="13"/>
    </row>
    <row r="139" spans="2:7" x14ac:dyDescent="0.45">
      <c r="B139" s="13"/>
      <c r="C139" s="13"/>
      <c r="D139" s="13"/>
      <c r="E139" s="13"/>
      <c r="F139" s="13"/>
      <c r="G139" s="13"/>
    </row>
    <row r="140" spans="2:7" x14ac:dyDescent="0.45">
      <c r="B140" s="13"/>
      <c r="C140" s="13"/>
      <c r="D140" s="13"/>
      <c r="E140" s="13"/>
      <c r="F140" s="13"/>
      <c r="G140" s="13"/>
    </row>
    <row r="141" spans="2:7" x14ac:dyDescent="0.45">
      <c r="B141" s="13"/>
      <c r="C141" s="13"/>
      <c r="D141" s="13"/>
      <c r="E141" s="13"/>
      <c r="F141" s="13"/>
      <c r="G141" s="13"/>
    </row>
    <row r="142" spans="2:7" x14ac:dyDescent="0.45">
      <c r="B142" s="13"/>
      <c r="C142" s="13"/>
      <c r="D142" s="13"/>
      <c r="E142" s="13"/>
      <c r="F142" s="13"/>
      <c r="G142" s="13"/>
    </row>
    <row r="143" spans="2:7" x14ac:dyDescent="0.45">
      <c r="B143" s="13"/>
      <c r="C143" s="13"/>
      <c r="D143" s="13"/>
      <c r="E143" s="13"/>
      <c r="F143" s="13"/>
      <c r="G143" s="13"/>
    </row>
    <row r="144" spans="2:7" x14ac:dyDescent="0.45">
      <c r="B144" s="13"/>
      <c r="C144" s="13"/>
      <c r="D144" s="13"/>
      <c r="E144" s="13"/>
      <c r="F144" s="13"/>
      <c r="G144" s="13"/>
    </row>
    <row r="145" spans="2:7" x14ac:dyDescent="0.45">
      <c r="B145" s="13"/>
      <c r="C145" s="13"/>
      <c r="D145" s="13"/>
      <c r="E145" s="13"/>
      <c r="F145" s="13"/>
      <c r="G145" s="13"/>
    </row>
    <row r="146" spans="2:7" x14ac:dyDescent="0.45">
      <c r="B146" s="13"/>
      <c r="C146" s="13"/>
      <c r="D146" s="13"/>
      <c r="E146" s="13"/>
      <c r="F146" s="13"/>
      <c r="G146" s="13"/>
    </row>
    <row r="147" spans="2:7" x14ac:dyDescent="0.45">
      <c r="B147" s="13"/>
      <c r="C147" s="13"/>
      <c r="D147" s="13"/>
      <c r="E147" s="13"/>
      <c r="F147" s="13"/>
      <c r="G147" s="13"/>
    </row>
    <row r="148" spans="2:7" x14ac:dyDescent="0.45">
      <c r="B148" s="13"/>
      <c r="C148" s="13"/>
      <c r="D148" s="13"/>
      <c r="E148" s="13"/>
      <c r="F148" s="13"/>
      <c r="G148" s="13"/>
    </row>
    <row r="149" spans="2:7" x14ac:dyDescent="0.45">
      <c r="B149" s="13"/>
      <c r="C149" s="13"/>
      <c r="D149" s="13"/>
      <c r="E149" s="13"/>
      <c r="F149" s="13"/>
      <c r="G149" s="13"/>
    </row>
    <row r="150" spans="2:7" x14ac:dyDescent="0.45">
      <c r="B150" s="13"/>
      <c r="C150" s="13"/>
      <c r="D150" s="13"/>
      <c r="E150" s="13"/>
      <c r="F150" s="13"/>
      <c r="G150" s="13"/>
    </row>
    <row r="151" spans="2:7" x14ac:dyDescent="0.45">
      <c r="B151" s="13"/>
      <c r="C151" s="13"/>
      <c r="D151" s="13"/>
      <c r="E151" s="13"/>
      <c r="F151" s="13"/>
      <c r="G151" s="13"/>
    </row>
    <row r="152" spans="2:7" x14ac:dyDescent="0.45">
      <c r="B152" s="13"/>
      <c r="C152" s="13"/>
      <c r="D152" s="13"/>
      <c r="E152" s="13"/>
      <c r="F152" s="13"/>
      <c r="G152" s="13"/>
    </row>
    <row r="153" spans="2:7" x14ac:dyDescent="0.45">
      <c r="B153" s="13"/>
      <c r="C153" s="13"/>
      <c r="D153" s="13"/>
      <c r="E153" s="13"/>
      <c r="F153" s="13"/>
      <c r="G153" s="13"/>
    </row>
    <row r="154" spans="2:7" x14ac:dyDescent="0.45">
      <c r="B154" s="13"/>
      <c r="C154" s="13"/>
      <c r="D154" s="13"/>
      <c r="E154" s="13"/>
      <c r="F154" s="13"/>
      <c r="G154" s="13"/>
    </row>
    <row r="155" spans="2:7" x14ac:dyDescent="0.45">
      <c r="B155" s="13"/>
      <c r="C155" s="13"/>
      <c r="D155" s="13"/>
      <c r="E155" s="13"/>
      <c r="F155" s="13"/>
      <c r="G155" s="13"/>
    </row>
    <row r="156" spans="2:7" x14ac:dyDescent="0.45">
      <c r="B156" s="13"/>
      <c r="C156" s="13"/>
      <c r="D156" s="13"/>
      <c r="E156" s="13"/>
      <c r="F156" s="13"/>
      <c r="G156" s="13"/>
    </row>
    <row r="157" spans="2:7" x14ac:dyDescent="0.45">
      <c r="B157" s="13"/>
      <c r="C157" s="13"/>
      <c r="D157" s="13"/>
      <c r="E157" s="13"/>
      <c r="F157" s="13"/>
      <c r="G157" s="13"/>
    </row>
    <row r="158" spans="2:7" x14ac:dyDescent="0.45">
      <c r="B158" s="13"/>
      <c r="C158" s="13"/>
      <c r="D158" s="13"/>
      <c r="E158" s="13"/>
      <c r="F158" s="13"/>
      <c r="G158" s="13"/>
    </row>
    <row r="159" spans="2:7" x14ac:dyDescent="0.45">
      <c r="B159" s="13"/>
      <c r="C159" s="13"/>
      <c r="D159" s="13"/>
      <c r="E159" s="13"/>
      <c r="F159" s="13"/>
      <c r="G159" s="13"/>
    </row>
    <row r="160" spans="2:7" x14ac:dyDescent="0.45">
      <c r="B160" s="13"/>
      <c r="C160" s="13"/>
      <c r="D160" s="13"/>
      <c r="E160" s="13"/>
      <c r="F160" s="13"/>
      <c r="G160" s="13"/>
    </row>
    <row r="161" spans="2:7" x14ac:dyDescent="0.45">
      <c r="B161" s="13"/>
      <c r="C161" s="13"/>
      <c r="D161" s="13"/>
      <c r="E161" s="13"/>
      <c r="F161" s="13"/>
      <c r="G161" s="13"/>
    </row>
    <row r="162" spans="2:7" x14ac:dyDescent="0.45">
      <c r="B162" s="13"/>
      <c r="C162" s="13"/>
      <c r="D162" s="13"/>
      <c r="E162" s="13"/>
      <c r="F162" s="13"/>
      <c r="G162" s="13"/>
    </row>
    <row r="163" spans="2:7" x14ac:dyDescent="0.45">
      <c r="B163" s="13"/>
      <c r="C163" s="13"/>
      <c r="D163" s="13"/>
      <c r="E163" s="13"/>
      <c r="F163" s="13"/>
      <c r="G163" s="13"/>
    </row>
    <row r="164" spans="2:7" x14ac:dyDescent="0.45">
      <c r="B164" s="13"/>
      <c r="C164" s="13"/>
      <c r="D164" s="13"/>
      <c r="E164" s="13"/>
      <c r="F164" s="13"/>
      <c r="G164" s="13"/>
    </row>
    <row r="165" spans="2:7" x14ac:dyDescent="0.45">
      <c r="B165" s="13"/>
      <c r="C165" s="13"/>
      <c r="D165" s="13"/>
      <c r="E165" s="13"/>
      <c r="F165" s="13"/>
      <c r="G165" s="13"/>
    </row>
    <row r="166" spans="2:7" x14ac:dyDescent="0.45">
      <c r="B166" s="13"/>
      <c r="C166" s="13"/>
      <c r="D166" s="13"/>
      <c r="E166" s="13"/>
      <c r="F166" s="13"/>
      <c r="G166" s="13"/>
    </row>
    <row r="167" spans="2:7" x14ac:dyDescent="0.45">
      <c r="B167" s="13"/>
      <c r="C167" s="13"/>
      <c r="D167" s="13"/>
      <c r="E167" s="13"/>
      <c r="F167" s="13"/>
      <c r="G167" s="13"/>
    </row>
    <row r="168" spans="2:7" x14ac:dyDescent="0.45">
      <c r="B168" s="13"/>
      <c r="C168" s="13"/>
      <c r="D168" s="13"/>
      <c r="E168" s="13"/>
      <c r="F168" s="13"/>
      <c r="G168" s="13"/>
    </row>
    <row r="169" spans="2:7" x14ac:dyDescent="0.45">
      <c r="B169" s="13"/>
      <c r="C169" s="13"/>
      <c r="D169" s="13"/>
      <c r="E169" s="13"/>
      <c r="F169" s="13"/>
      <c r="G169" s="13"/>
    </row>
    <row r="170" spans="2:7" x14ac:dyDescent="0.45">
      <c r="B170" s="13"/>
      <c r="C170" s="13"/>
      <c r="D170" s="13"/>
      <c r="E170" s="13"/>
      <c r="F170" s="13"/>
      <c r="G170" s="13"/>
    </row>
    <row r="171" spans="2:7" x14ac:dyDescent="0.45">
      <c r="B171" s="13"/>
      <c r="C171" s="13"/>
      <c r="D171" s="13"/>
      <c r="E171" s="13"/>
      <c r="F171" s="13"/>
      <c r="G171" s="13"/>
    </row>
    <row r="172" spans="2:7" x14ac:dyDescent="0.45">
      <c r="B172" s="13"/>
      <c r="C172" s="13"/>
      <c r="D172" s="13"/>
      <c r="E172" s="13"/>
      <c r="F172" s="13"/>
      <c r="G172" s="13"/>
    </row>
    <row r="173" spans="2:7" x14ac:dyDescent="0.45">
      <c r="B173" s="13"/>
      <c r="C173" s="13"/>
      <c r="D173" s="13"/>
      <c r="E173" s="13"/>
      <c r="F173" s="13"/>
      <c r="G173" s="13"/>
    </row>
    <row r="174" spans="2:7" x14ac:dyDescent="0.45">
      <c r="B174" s="13"/>
      <c r="C174" s="13"/>
      <c r="D174" s="13"/>
      <c r="E174" s="13"/>
      <c r="F174" s="13"/>
      <c r="G174" s="13"/>
    </row>
    <row r="175" spans="2:7" x14ac:dyDescent="0.45">
      <c r="B175" s="13"/>
      <c r="C175" s="13"/>
      <c r="D175" s="13"/>
      <c r="E175" s="13"/>
      <c r="F175" s="13"/>
      <c r="G175" s="13"/>
    </row>
    <row r="176" spans="2:7" x14ac:dyDescent="0.45">
      <c r="B176" s="13"/>
      <c r="C176" s="13"/>
      <c r="D176" s="13"/>
      <c r="E176" s="13"/>
      <c r="F176" s="13"/>
      <c r="G176" s="13"/>
    </row>
    <row r="177" spans="2:7" x14ac:dyDescent="0.45">
      <c r="B177" s="13"/>
      <c r="C177" s="13"/>
      <c r="D177" s="13"/>
      <c r="E177" s="13"/>
      <c r="F177" s="13"/>
      <c r="G177" s="13"/>
    </row>
    <row r="178" spans="2:7" x14ac:dyDescent="0.45">
      <c r="B178" s="13"/>
      <c r="C178" s="13"/>
      <c r="D178" s="13"/>
      <c r="E178" s="13"/>
      <c r="F178" s="13"/>
      <c r="G178" s="13"/>
    </row>
    <row r="179" spans="2:7" x14ac:dyDescent="0.45">
      <c r="B179" s="13"/>
      <c r="C179" s="13"/>
      <c r="D179" s="13"/>
      <c r="E179" s="13"/>
      <c r="F179" s="13"/>
      <c r="G179" s="13"/>
    </row>
    <row r="180" spans="2:7" x14ac:dyDescent="0.45">
      <c r="B180" s="13"/>
      <c r="C180" s="13"/>
      <c r="D180" s="13"/>
      <c r="E180" s="13"/>
      <c r="F180" s="13"/>
      <c r="G180" s="13"/>
    </row>
    <row r="181" spans="2:7" x14ac:dyDescent="0.45">
      <c r="B181" s="13"/>
      <c r="C181" s="13"/>
      <c r="D181" s="13"/>
      <c r="E181" s="13"/>
      <c r="F181" s="13"/>
      <c r="G181" s="13"/>
    </row>
    <row r="182" spans="2:7" x14ac:dyDescent="0.45">
      <c r="B182" s="13"/>
      <c r="C182" s="13"/>
      <c r="D182" s="13"/>
      <c r="E182" s="13"/>
      <c r="F182" s="13"/>
      <c r="G182" s="13"/>
    </row>
    <row r="183" spans="2:7" x14ac:dyDescent="0.45">
      <c r="B183" s="13"/>
      <c r="C183" s="13"/>
      <c r="D183" s="13"/>
      <c r="E183" s="13"/>
      <c r="F183" s="13"/>
      <c r="G183" s="13"/>
    </row>
    <row r="184" spans="2:7" x14ac:dyDescent="0.45">
      <c r="B184" s="13"/>
      <c r="C184" s="13"/>
      <c r="D184" s="13"/>
      <c r="E184" s="13"/>
      <c r="F184" s="13"/>
      <c r="G184" s="13"/>
    </row>
    <row r="185" spans="2:7" x14ac:dyDescent="0.45">
      <c r="B185" s="13"/>
      <c r="C185" s="13"/>
      <c r="D185" s="13"/>
      <c r="E185" s="13"/>
      <c r="F185" s="13"/>
      <c r="G185" s="13"/>
    </row>
    <row r="186" spans="2:7" x14ac:dyDescent="0.45">
      <c r="B186" s="13"/>
      <c r="C186" s="13"/>
      <c r="D186" s="13"/>
      <c r="E186" s="13"/>
      <c r="F186" s="13"/>
      <c r="G186" s="13"/>
    </row>
    <row r="187" spans="2:7" x14ac:dyDescent="0.45">
      <c r="B187" s="13"/>
      <c r="C187" s="13"/>
      <c r="D187" s="13"/>
      <c r="E187" s="13"/>
      <c r="F187" s="13"/>
      <c r="G187" s="13"/>
    </row>
    <row r="188" spans="2:7" x14ac:dyDescent="0.45">
      <c r="B188" s="13"/>
      <c r="C188" s="13"/>
      <c r="D188" s="13"/>
      <c r="E188" s="13"/>
      <c r="F188" s="13"/>
      <c r="G188" s="13"/>
    </row>
    <row r="189" spans="2:7" x14ac:dyDescent="0.45">
      <c r="B189" s="13"/>
      <c r="C189" s="13"/>
      <c r="D189" s="13"/>
      <c r="E189" s="13"/>
      <c r="F189" s="13"/>
      <c r="G189" s="13"/>
    </row>
    <row r="190" spans="2:7" x14ac:dyDescent="0.45">
      <c r="B190" s="13"/>
      <c r="C190" s="13"/>
      <c r="D190" s="13"/>
      <c r="E190" s="13"/>
      <c r="F190" s="13"/>
      <c r="G190" s="13"/>
    </row>
    <row r="191" spans="2:7" x14ac:dyDescent="0.45">
      <c r="B191" s="13"/>
      <c r="C191" s="13"/>
      <c r="D191" s="13"/>
      <c r="E191" s="13"/>
      <c r="F191" s="13"/>
      <c r="G191" s="13"/>
    </row>
    <row r="192" spans="2:7" x14ac:dyDescent="0.45">
      <c r="B192" s="13"/>
      <c r="C192" s="13"/>
      <c r="D192" s="13"/>
      <c r="E192" s="13"/>
      <c r="F192" s="13"/>
      <c r="G192" s="13"/>
    </row>
    <row r="193" spans="2:7" x14ac:dyDescent="0.45">
      <c r="B193" s="13"/>
      <c r="C193" s="13"/>
      <c r="D193" s="13"/>
      <c r="E193" s="13"/>
      <c r="F193" s="13"/>
      <c r="G193" s="13"/>
    </row>
    <row r="194" spans="2:7" x14ac:dyDescent="0.45">
      <c r="B194" s="13"/>
      <c r="C194" s="13"/>
      <c r="D194" s="13"/>
      <c r="E194" s="13"/>
      <c r="F194" s="13"/>
      <c r="G194" s="13"/>
    </row>
    <row r="195" spans="2:7" x14ac:dyDescent="0.45">
      <c r="B195" s="13"/>
      <c r="C195" s="13"/>
      <c r="D195" s="13"/>
      <c r="E195" s="13"/>
      <c r="F195" s="13"/>
      <c r="G195" s="13"/>
    </row>
    <row r="196" spans="2:7" x14ac:dyDescent="0.45">
      <c r="B196" s="13"/>
      <c r="C196" s="13"/>
      <c r="D196" s="13"/>
      <c r="E196" s="13"/>
      <c r="F196" s="13"/>
      <c r="G196" s="13"/>
    </row>
    <row r="197" spans="2:7" x14ac:dyDescent="0.45">
      <c r="B197" s="13"/>
      <c r="C197" s="13"/>
      <c r="D197" s="13"/>
      <c r="E197" s="13"/>
      <c r="F197" s="13"/>
      <c r="G197" s="13"/>
    </row>
    <row r="198" spans="2:7" x14ac:dyDescent="0.45">
      <c r="B198" s="13"/>
      <c r="C198" s="13"/>
      <c r="D198" s="13"/>
      <c r="E198" s="13"/>
      <c r="F198" s="13"/>
      <c r="G198" s="13"/>
    </row>
    <row r="199" spans="2:7" x14ac:dyDescent="0.45">
      <c r="B199" s="13"/>
      <c r="C199" s="13"/>
      <c r="D199" s="13"/>
      <c r="E199" s="13"/>
      <c r="F199" s="13"/>
      <c r="G199" s="13"/>
    </row>
    <row r="200" spans="2:7" x14ac:dyDescent="0.45">
      <c r="B200" s="13"/>
      <c r="C200" s="13"/>
      <c r="D200" s="13"/>
      <c r="E200" s="13"/>
      <c r="F200" s="13"/>
      <c r="G200" s="13"/>
    </row>
    <row r="201" spans="2:7" x14ac:dyDescent="0.45">
      <c r="B201" s="13"/>
      <c r="C201" s="13"/>
      <c r="D201" s="13"/>
      <c r="E201" s="13"/>
      <c r="F201" s="13"/>
      <c r="G201" s="13"/>
    </row>
    <row r="202" spans="2:7" x14ac:dyDescent="0.45">
      <c r="B202" s="13"/>
      <c r="C202" s="13"/>
      <c r="D202" s="13"/>
      <c r="E202" s="13"/>
      <c r="F202" s="13"/>
      <c r="G202" s="13"/>
    </row>
    <row r="203" spans="2:7" x14ac:dyDescent="0.45">
      <c r="B203" s="13"/>
      <c r="C203" s="13"/>
      <c r="D203" s="13"/>
      <c r="E203" s="13"/>
      <c r="F203" s="13"/>
      <c r="G203" s="13"/>
    </row>
    <row r="204" spans="2:7" x14ac:dyDescent="0.45">
      <c r="B204" s="13"/>
      <c r="C204" s="13"/>
      <c r="D204" s="13"/>
      <c r="E204" s="13"/>
      <c r="F204" s="13"/>
      <c r="G204" s="13"/>
    </row>
    <row r="205" spans="2:7" x14ac:dyDescent="0.45">
      <c r="B205" s="13"/>
      <c r="C205" s="13"/>
      <c r="D205" s="13"/>
      <c r="E205" s="13"/>
      <c r="F205" s="13"/>
      <c r="G205" s="13"/>
    </row>
    <row r="206" spans="2:7" x14ac:dyDescent="0.45">
      <c r="B206" s="13"/>
      <c r="C206" s="13"/>
      <c r="D206" s="13"/>
      <c r="E206" s="13"/>
      <c r="F206" s="13"/>
      <c r="G206" s="13"/>
    </row>
    <row r="207" spans="2:7" x14ac:dyDescent="0.45">
      <c r="B207" s="13"/>
      <c r="C207" s="13"/>
      <c r="D207" s="13"/>
      <c r="E207" s="13"/>
      <c r="F207" s="13"/>
      <c r="G207" s="13"/>
    </row>
    <row r="208" spans="2:7" x14ac:dyDescent="0.45">
      <c r="B208" s="13"/>
      <c r="C208" s="13"/>
      <c r="D208" s="13"/>
      <c r="E208" s="13"/>
      <c r="F208" s="13"/>
      <c r="G208" s="13"/>
    </row>
    <row r="209" spans="2:7" x14ac:dyDescent="0.45">
      <c r="B209" s="13"/>
      <c r="C209" s="13"/>
      <c r="D209" s="13"/>
      <c r="E209" s="13"/>
      <c r="F209" s="13"/>
      <c r="G209" s="13"/>
    </row>
    <row r="210" spans="2:7" x14ac:dyDescent="0.45">
      <c r="B210" s="13"/>
      <c r="C210" s="13"/>
      <c r="D210" s="13"/>
      <c r="E210" s="13"/>
      <c r="F210" s="13"/>
      <c r="G210" s="13"/>
    </row>
    <row r="211" spans="2:7" x14ac:dyDescent="0.45">
      <c r="B211" s="13"/>
      <c r="C211" s="13"/>
      <c r="D211" s="13"/>
      <c r="E211" s="13"/>
      <c r="F211" s="13"/>
      <c r="G211" s="13"/>
    </row>
    <row r="212" spans="2:7" x14ac:dyDescent="0.45">
      <c r="C212" s="13"/>
      <c r="D212" s="13"/>
      <c r="E212" s="13"/>
      <c r="F212" s="13"/>
      <c r="G212" s="13"/>
    </row>
    <row r="213" spans="2:7" x14ac:dyDescent="0.45">
      <c r="C213" s="13"/>
      <c r="D213" s="13"/>
      <c r="E213" s="13"/>
      <c r="F213" s="13"/>
      <c r="G213" s="13"/>
    </row>
    <row r="214" spans="2:7" x14ac:dyDescent="0.45">
      <c r="C214" s="13"/>
      <c r="D214" s="13"/>
      <c r="E214" s="13"/>
      <c r="F214" s="13"/>
      <c r="G214" s="13"/>
    </row>
    <row r="215" spans="2:7" x14ac:dyDescent="0.45">
      <c r="C215" s="13"/>
      <c r="D215" s="13"/>
      <c r="E215" s="13"/>
      <c r="F215" s="13"/>
      <c r="G215" s="13"/>
    </row>
    <row r="216" spans="2:7" x14ac:dyDescent="0.45">
      <c r="C216" s="13"/>
      <c r="D216" s="13"/>
      <c r="E216" s="13"/>
      <c r="F216" s="13"/>
      <c r="G216" s="13"/>
    </row>
    <row r="217" spans="2:7" x14ac:dyDescent="0.45">
      <c r="C217" s="13"/>
      <c r="D217" s="13"/>
      <c r="E217" s="13"/>
      <c r="F217" s="13"/>
      <c r="G217" s="13"/>
    </row>
    <row r="218" spans="2:7" x14ac:dyDescent="0.45">
      <c r="C218" s="13"/>
      <c r="D218" s="13"/>
      <c r="E218" s="13"/>
      <c r="F218" s="13"/>
      <c r="G218" s="13"/>
    </row>
    <row r="219" spans="2:7" x14ac:dyDescent="0.45">
      <c r="C219" s="13"/>
      <c r="D219" s="13"/>
      <c r="E219" s="13"/>
      <c r="F219" s="13"/>
      <c r="G219" s="13"/>
    </row>
    <row r="220" spans="2:7" x14ac:dyDescent="0.45">
      <c r="C220" s="13"/>
      <c r="D220" s="13"/>
      <c r="E220" s="13"/>
      <c r="F220" s="13"/>
      <c r="G220" s="13"/>
    </row>
    <row r="221" spans="2:7" x14ac:dyDescent="0.45">
      <c r="C221" s="13"/>
      <c r="D221" s="13"/>
      <c r="E221" s="13"/>
      <c r="F221" s="13"/>
      <c r="G221" s="13"/>
    </row>
    <row r="222" spans="2:7" x14ac:dyDescent="0.45">
      <c r="C222" s="13"/>
      <c r="D222" s="13"/>
      <c r="E222" s="13"/>
      <c r="F222" s="13"/>
      <c r="G222" s="13"/>
    </row>
    <row r="223" spans="2:7" x14ac:dyDescent="0.45">
      <c r="C223" s="13"/>
      <c r="D223" s="13"/>
      <c r="E223" s="13"/>
      <c r="F223" s="13"/>
      <c r="G223" s="13"/>
    </row>
    <row r="224" spans="2:7" x14ac:dyDescent="0.45">
      <c r="C224" s="13"/>
      <c r="D224" s="13"/>
      <c r="E224" s="13"/>
      <c r="F224" s="13"/>
      <c r="G224" s="13"/>
    </row>
    <row r="225" spans="3:7" x14ac:dyDescent="0.45">
      <c r="C225" s="13"/>
      <c r="D225" s="13"/>
      <c r="E225" s="13"/>
      <c r="F225" s="13"/>
      <c r="G225" s="13"/>
    </row>
    <row r="226" spans="3:7" x14ac:dyDescent="0.45">
      <c r="C226" s="13"/>
      <c r="D226" s="13"/>
      <c r="E226" s="13"/>
      <c r="F226" s="13"/>
      <c r="G226" s="13"/>
    </row>
    <row r="227" spans="3:7" x14ac:dyDescent="0.45">
      <c r="C227" s="13"/>
      <c r="D227" s="13"/>
      <c r="E227" s="13"/>
      <c r="F227" s="13"/>
      <c r="G227" s="13"/>
    </row>
    <row r="228" spans="3:7" x14ac:dyDescent="0.45">
      <c r="C228" s="13"/>
      <c r="D228" s="13"/>
      <c r="E228" s="13"/>
      <c r="F228" s="13"/>
      <c r="G228" s="13"/>
    </row>
    <row r="229" spans="3:7" x14ac:dyDescent="0.45">
      <c r="C229" s="13"/>
      <c r="D229" s="13"/>
      <c r="E229" s="13"/>
      <c r="F229" s="13"/>
      <c r="G229" s="13"/>
    </row>
    <row r="230" spans="3:7" x14ac:dyDescent="0.45">
      <c r="C230" s="13"/>
      <c r="D230" s="13"/>
      <c r="E230" s="13"/>
      <c r="F230" s="13"/>
      <c r="G230" s="13"/>
    </row>
    <row r="231" spans="3:7" x14ac:dyDescent="0.45">
      <c r="C231" s="13"/>
      <c r="D231" s="13"/>
      <c r="E231" s="13"/>
      <c r="F231" s="13"/>
      <c r="G231" s="13"/>
    </row>
    <row r="232" spans="3:7" x14ac:dyDescent="0.45">
      <c r="C232" s="13"/>
      <c r="D232" s="13"/>
      <c r="E232" s="13"/>
      <c r="F232" s="13"/>
      <c r="G232" s="13"/>
    </row>
    <row r="233" spans="3:7" x14ac:dyDescent="0.45">
      <c r="C233" s="13"/>
      <c r="D233" s="13"/>
      <c r="E233" s="13"/>
      <c r="F233" s="13"/>
      <c r="G233" s="13"/>
    </row>
    <row r="234" spans="3:7" x14ac:dyDescent="0.45">
      <c r="C234" s="13"/>
      <c r="D234" s="13"/>
      <c r="E234" s="13"/>
      <c r="F234" s="13"/>
      <c r="G234" s="13"/>
    </row>
    <row r="235" spans="3:7" x14ac:dyDescent="0.45">
      <c r="C235" s="13"/>
      <c r="D235" s="13"/>
      <c r="E235" s="13"/>
      <c r="F235" s="13"/>
      <c r="G235" s="13"/>
    </row>
    <row r="236" spans="3:7" x14ac:dyDescent="0.45">
      <c r="C236" s="13"/>
      <c r="D236" s="13"/>
      <c r="E236" s="13"/>
      <c r="F236" s="13"/>
      <c r="G236" s="13"/>
    </row>
    <row r="237" spans="3:7" x14ac:dyDescent="0.45">
      <c r="C237" s="13"/>
      <c r="D237" s="13"/>
      <c r="E237" s="13"/>
      <c r="F237" s="13"/>
      <c r="G237" s="13"/>
    </row>
    <row r="238" spans="3:7" x14ac:dyDescent="0.45">
      <c r="C238" s="13"/>
      <c r="D238" s="13"/>
      <c r="E238" s="13"/>
      <c r="F238" s="13"/>
      <c r="G238" s="13"/>
    </row>
    <row r="239" spans="3:7" x14ac:dyDescent="0.45">
      <c r="C239" s="13"/>
      <c r="D239" s="13"/>
      <c r="E239" s="13"/>
      <c r="F239" s="13"/>
      <c r="G239" s="13"/>
    </row>
    <row r="240" spans="3:7" x14ac:dyDescent="0.45">
      <c r="C240" s="13"/>
      <c r="D240" s="13"/>
      <c r="E240" s="13"/>
      <c r="F240" s="13"/>
      <c r="G240" s="13"/>
    </row>
    <row r="241" spans="3:7" x14ac:dyDescent="0.45">
      <c r="C241" s="13"/>
      <c r="D241" s="13"/>
      <c r="E241" s="13"/>
      <c r="F241" s="13"/>
      <c r="G241" s="13"/>
    </row>
    <row r="242" spans="3:7" x14ac:dyDescent="0.45">
      <c r="C242" s="13"/>
      <c r="D242" s="13"/>
      <c r="E242" s="13"/>
      <c r="F242" s="13"/>
      <c r="G242" s="13"/>
    </row>
    <row r="243" spans="3:7" x14ac:dyDescent="0.45">
      <c r="C243" s="13"/>
      <c r="D243" s="13"/>
      <c r="E243" s="13"/>
      <c r="F243" s="13"/>
      <c r="G243" s="13"/>
    </row>
    <row r="244" spans="3:7" x14ac:dyDescent="0.45">
      <c r="C244" s="13"/>
      <c r="D244" s="13"/>
      <c r="E244" s="13"/>
      <c r="F244" s="13"/>
      <c r="G244" s="13"/>
    </row>
    <row r="245" spans="3:7" x14ac:dyDescent="0.45">
      <c r="C245" s="13"/>
      <c r="D245" s="13"/>
      <c r="E245" s="13"/>
      <c r="F245" s="13"/>
      <c r="G245" s="13"/>
    </row>
    <row r="246" spans="3:7" x14ac:dyDescent="0.45">
      <c r="C246" s="13"/>
      <c r="D246" s="13"/>
      <c r="E246" s="13"/>
      <c r="F246" s="13"/>
      <c r="G246" s="13"/>
    </row>
    <row r="247" spans="3:7" x14ac:dyDescent="0.45">
      <c r="C247" s="13"/>
      <c r="D247" s="13"/>
      <c r="E247" s="13"/>
      <c r="F247" s="13"/>
      <c r="G247" s="13"/>
    </row>
    <row r="248" spans="3:7" x14ac:dyDescent="0.45">
      <c r="C248" s="13"/>
      <c r="D248" s="13"/>
      <c r="E248" s="13"/>
      <c r="F248" s="13"/>
      <c r="G248" s="13"/>
    </row>
    <row r="249" spans="3:7" x14ac:dyDescent="0.45">
      <c r="C249" s="13"/>
      <c r="D249" s="13"/>
      <c r="E249" s="13"/>
      <c r="F249" s="13"/>
      <c r="G249" s="13"/>
    </row>
    <row r="250" spans="3:7" x14ac:dyDescent="0.45">
      <c r="C250" s="13"/>
      <c r="D250" s="13"/>
      <c r="E250" s="13"/>
      <c r="F250" s="13"/>
      <c r="G250" s="13"/>
    </row>
    <row r="251" spans="3:7" x14ac:dyDescent="0.45">
      <c r="C251" s="13"/>
      <c r="D251" s="13"/>
      <c r="E251" s="13"/>
      <c r="F251" s="13"/>
      <c r="G251" s="13"/>
    </row>
    <row r="252" spans="3:7" x14ac:dyDescent="0.45">
      <c r="C252" s="13"/>
      <c r="D252" s="13"/>
      <c r="E252" s="13"/>
      <c r="F252" s="13"/>
      <c r="G252" s="13"/>
    </row>
    <row r="253" spans="3:7" x14ac:dyDescent="0.45">
      <c r="C253" s="13"/>
      <c r="D253" s="13"/>
      <c r="E253" s="13"/>
      <c r="F253" s="13"/>
      <c r="G253" s="13"/>
    </row>
    <row r="254" spans="3:7" x14ac:dyDescent="0.45">
      <c r="C254" s="13"/>
      <c r="D254" s="13"/>
      <c r="E254" s="13"/>
      <c r="F254" s="13"/>
      <c r="G254" s="13"/>
    </row>
    <row r="255" spans="3:7" x14ac:dyDescent="0.45">
      <c r="C255" s="13"/>
      <c r="D255" s="13"/>
      <c r="E255" s="13"/>
      <c r="F255" s="13"/>
      <c r="G255" s="13"/>
    </row>
    <row r="256" spans="3:7" x14ac:dyDescent="0.45">
      <c r="C256" s="13"/>
      <c r="D256" s="13"/>
      <c r="E256" s="13"/>
      <c r="F256" s="13"/>
      <c r="G256" s="13"/>
    </row>
    <row r="257" spans="3:7" x14ac:dyDescent="0.45">
      <c r="C257" s="13"/>
      <c r="D257" s="13"/>
      <c r="E257" s="13"/>
      <c r="F257" s="13"/>
      <c r="G257" s="13"/>
    </row>
    <row r="258" spans="3:7" x14ac:dyDescent="0.45">
      <c r="C258" s="13"/>
      <c r="D258" s="13"/>
      <c r="E258" s="13"/>
      <c r="F258" s="13"/>
      <c r="G258" s="13"/>
    </row>
    <row r="259" spans="3:7" x14ac:dyDescent="0.45">
      <c r="C259" s="13"/>
      <c r="D259" s="13"/>
      <c r="E259" s="13"/>
      <c r="F259" s="13"/>
      <c r="G259" s="13"/>
    </row>
    <row r="260" spans="3:7" x14ac:dyDescent="0.45">
      <c r="C260" s="13"/>
      <c r="D260" s="13"/>
      <c r="E260" s="13"/>
      <c r="F260" s="13"/>
      <c r="G260" s="13"/>
    </row>
    <row r="261" spans="3:7" x14ac:dyDescent="0.45">
      <c r="C261" s="13"/>
      <c r="D261" s="13"/>
      <c r="E261" s="13"/>
      <c r="F261" s="13"/>
      <c r="G261" s="13"/>
    </row>
    <row r="262" spans="3:7" x14ac:dyDescent="0.45">
      <c r="C262" s="13"/>
      <c r="D262" s="13"/>
      <c r="E262" s="13"/>
      <c r="F262" s="13"/>
      <c r="G262" s="13"/>
    </row>
    <row r="263" spans="3:7" x14ac:dyDescent="0.45">
      <c r="C263" s="13"/>
      <c r="D263" s="13"/>
      <c r="E263" s="13"/>
      <c r="F263" s="13"/>
      <c r="G263" s="13"/>
    </row>
    <row r="264" spans="3:7" x14ac:dyDescent="0.45">
      <c r="C264" s="13"/>
      <c r="D264" s="13"/>
      <c r="E264" s="13"/>
      <c r="F264" s="13"/>
      <c r="G264" s="13"/>
    </row>
    <row r="265" spans="3:7" x14ac:dyDescent="0.45">
      <c r="C265" s="13"/>
      <c r="D265" s="13"/>
      <c r="E265" s="13"/>
      <c r="F265" s="13"/>
      <c r="G265" s="13"/>
    </row>
    <row r="266" spans="3:7" x14ac:dyDescent="0.45">
      <c r="C266" s="13"/>
      <c r="D266" s="13"/>
      <c r="E266" s="13"/>
      <c r="F266" s="13"/>
      <c r="G266" s="13"/>
    </row>
    <row r="267" spans="3:7" x14ac:dyDescent="0.45">
      <c r="C267" s="13"/>
      <c r="D267" s="13"/>
      <c r="E267" s="13"/>
      <c r="F267" s="13"/>
      <c r="G267" s="13"/>
    </row>
    <row r="268" spans="3:7" x14ac:dyDescent="0.45">
      <c r="C268" s="13"/>
      <c r="D268" s="13"/>
      <c r="E268" s="13"/>
      <c r="F268" s="13"/>
      <c r="G268" s="13"/>
    </row>
    <row r="269" spans="3:7" x14ac:dyDescent="0.45">
      <c r="C269" s="13"/>
      <c r="D269" s="13"/>
      <c r="E269" s="13"/>
      <c r="F269" s="13"/>
      <c r="G269" s="13"/>
    </row>
    <row r="270" spans="3:7" x14ac:dyDescent="0.45">
      <c r="C270" s="13"/>
      <c r="D270" s="13"/>
      <c r="E270" s="13"/>
      <c r="F270" s="13"/>
      <c r="G270" s="13"/>
    </row>
    <row r="271" spans="3:7" x14ac:dyDescent="0.45">
      <c r="C271" s="13"/>
      <c r="D271" s="13"/>
      <c r="E271" s="13"/>
      <c r="F271" s="13"/>
      <c r="G271" s="13"/>
    </row>
    <row r="272" spans="3:7" x14ac:dyDescent="0.45">
      <c r="C272" s="13"/>
      <c r="D272" s="13"/>
      <c r="E272" s="13"/>
      <c r="F272" s="13"/>
      <c r="G272" s="13"/>
    </row>
    <row r="273" spans="3:7" x14ac:dyDescent="0.45">
      <c r="C273" s="13"/>
      <c r="D273" s="13"/>
      <c r="E273" s="13"/>
      <c r="F273" s="13"/>
      <c r="G273" s="13"/>
    </row>
    <row r="274" spans="3:7" x14ac:dyDescent="0.45">
      <c r="C274" s="13"/>
      <c r="D274" s="13"/>
      <c r="E274" s="13"/>
      <c r="F274" s="13"/>
      <c r="G274" s="13"/>
    </row>
    <row r="275" spans="3:7" x14ac:dyDescent="0.45">
      <c r="C275" s="13"/>
      <c r="D275" s="13"/>
      <c r="E275" s="13"/>
      <c r="F275" s="13"/>
      <c r="G275" s="13"/>
    </row>
    <row r="276" spans="3:7" x14ac:dyDescent="0.45">
      <c r="C276" s="13"/>
      <c r="D276" s="13"/>
      <c r="E276" s="13"/>
      <c r="F276" s="13"/>
      <c r="G276" s="13"/>
    </row>
    <row r="277" spans="3:7" x14ac:dyDescent="0.45">
      <c r="C277" s="13"/>
      <c r="D277" s="13"/>
      <c r="E277" s="13"/>
      <c r="F277" s="13"/>
      <c r="G277" s="13"/>
    </row>
    <row r="278" spans="3:7" x14ac:dyDescent="0.45">
      <c r="C278" s="13"/>
      <c r="D278" s="13"/>
      <c r="E278" s="13"/>
      <c r="F278" s="13"/>
      <c r="G278" s="13"/>
    </row>
    <row r="279" spans="3:7" x14ac:dyDescent="0.45">
      <c r="C279" s="13"/>
      <c r="D279" s="13"/>
      <c r="E279" s="13"/>
      <c r="F279" s="13"/>
      <c r="G279" s="13"/>
    </row>
    <row r="280" spans="3:7" x14ac:dyDescent="0.45">
      <c r="C280" s="13"/>
      <c r="D280" s="13"/>
      <c r="E280" s="13"/>
      <c r="F280" s="13"/>
      <c r="G280" s="13"/>
    </row>
    <row r="281" spans="3:7" x14ac:dyDescent="0.45">
      <c r="C281" s="13"/>
      <c r="D281" s="13"/>
      <c r="E281" s="13"/>
      <c r="F281" s="13"/>
      <c r="G281" s="13"/>
    </row>
    <row r="282" spans="3:7" x14ac:dyDescent="0.45">
      <c r="C282" s="13"/>
      <c r="D282" s="13"/>
      <c r="E282" s="13"/>
      <c r="F282" s="13"/>
      <c r="G282" s="13"/>
    </row>
    <row r="283" spans="3:7" x14ac:dyDescent="0.45">
      <c r="C283" s="13"/>
      <c r="D283" s="13"/>
      <c r="E283" s="13"/>
      <c r="F283" s="13"/>
      <c r="G283" s="13"/>
    </row>
    <row r="284" spans="3:7" x14ac:dyDescent="0.45">
      <c r="C284" s="13"/>
      <c r="D284" s="13"/>
      <c r="E284" s="13"/>
      <c r="F284" s="13"/>
      <c r="G284" s="13"/>
    </row>
    <row r="285" spans="3:7" x14ac:dyDescent="0.45">
      <c r="C285" s="13"/>
      <c r="D285" s="13"/>
      <c r="E285" s="13"/>
      <c r="F285" s="13"/>
      <c r="G285" s="13"/>
    </row>
    <row r="286" spans="3:7" x14ac:dyDescent="0.45">
      <c r="C286" s="13"/>
      <c r="D286" s="13"/>
      <c r="E286" s="13"/>
      <c r="F286" s="13"/>
      <c r="G286" s="13"/>
    </row>
    <row r="287" spans="3:7" x14ac:dyDescent="0.45">
      <c r="C287" s="13"/>
      <c r="D287" s="13"/>
      <c r="E287" s="13"/>
      <c r="F287" s="13"/>
      <c r="G287" s="13"/>
    </row>
    <row r="288" spans="3:7" x14ac:dyDescent="0.45">
      <c r="C288" s="13"/>
      <c r="D288" s="13"/>
      <c r="E288" s="13"/>
      <c r="F288" s="13"/>
      <c r="G288" s="13"/>
    </row>
    <row r="289" spans="3:7" x14ac:dyDescent="0.45">
      <c r="C289" s="13"/>
      <c r="D289" s="13"/>
      <c r="E289" s="13"/>
      <c r="F289" s="13"/>
      <c r="G289" s="13"/>
    </row>
    <row r="290" spans="3:7" x14ac:dyDescent="0.45">
      <c r="C290" s="13"/>
      <c r="D290" s="13"/>
      <c r="E290" s="13"/>
      <c r="F290" s="13"/>
      <c r="G290" s="13"/>
    </row>
    <row r="291" spans="3:7" x14ac:dyDescent="0.45">
      <c r="C291" s="13"/>
      <c r="D291" s="13"/>
      <c r="E291" s="13"/>
      <c r="F291" s="13"/>
      <c r="G291" s="13"/>
    </row>
    <row r="292" spans="3:7" x14ac:dyDescent="0.45">
      <c r="C292" s="13"/>
      <c r="D292" s="13"/>
      <c r="E292" s="13"/>
      <c r="F292" s="13"/>
      <c r="G292" s="13"/>
    </row>
    <row r="293" spans="3:7" x14ac:dyDescent="0.45">
      <c r="C293" s="13"/>
      <c r="D293" s="13"/>
      <c r="E293" s="13"/>
      <c r="F293" s="13"/>
      <c r="G293" s="13"/>
    </row>
    <row r="294" spans="3:7" x14ac:dyDescent="0.45">
      <c r="C294" s="13"/>
      <c r="D294" s="13"/>
      <c r="E294" s="13"/>
      <c r="F294" s="13"/>
      <c r="G294" s="13"/>
    </row>
    <row r="295" spans="3:7" x14ac:dyDescent="0.45">
      <c r="C295" s="13"/>
      <c r="D295" s="13"/>
      <c r="E295" s="13"/>
      <c r="F295" s="13"/>
      <c r="G295" s="13"/>
    </row>
    <row r="296" spans="3:7" x14ac:dyDescent="0.45">
      <c r="C296" s="13"/>
      <c r="D296" s="13"/>
      <c r="E296" s="13"/>
      <c r="F296" s="13"/>
      <c r="G296" s="13"/>
    </row>
    <row r="297" spans="3:7" x14ac:dyDescent="0.45">
      <c r="C297" s="13"/>
      <c r="D297" s="13"/>
      <c r="E297" s="13"/>
      <c r="F297" s="13"/>
      <c r="G297" s="13"/>
    </row>
    <row r="298" spans="3:7" x14ac:dyDescent="0.45">
      <c r="C298" s="13"/>
      <c r="D298" s="13"/>
      <c r="E298" s="13"/>
      <c r="F298" s="13"/>
      <c r="G298" s="13"/>
    </row>
    <row r="299" spans="3:7" x14ac:dyDescent="0.45">
      <c r="C299" s="13"/>
      <c r="D299" s="13"/>
      <c r="E299" s="13"/>
      <c r="F299" s="13"/>
      <c r="G299" s="13"/>
    </row>
    <row r="300" spans="3:7" x14ac:dyDescent="0.45">
      <c r="C300" s="13"/>
      <c r="D300" s="13"/>
      <c r="E300" s="13"/>
      <c r="F300" s="13"/>
      <c r="G300" s="13"/>
    </row>
    <row r="301" spans="3:7" x14ac:dyDescent="0.45">
      <c r="C301" s="13"/>
      <c r="D301" s="13"/>
      <c r="E301" s="13"/>
      <c r="F301" s="13"/>
      <c r="G301" s="13"/>
    </row>
    <row r="302" spans="3:7" x14ac:dyDescent="0.45">
      <c r="C302" s="13"/>
      <c r="D302" s="13"/>
      <c r="E302" s="13"/>
      <c r="F302" s="13"/>
      <c r="G302" s="13"/>
    </row>
    <row r="303" spans="3:7" x14ac:dyDescent="0.45">
      <c r="C303" s="13"/>
      <c r="D303" s="13"/>
      <c r="E303" s="13"/>
      <c r="F303" s="13"/>
      <c r="G303" s="13"/>
    </row>
    <row r="304" spans="3:7" x14ac:dyDescent="0.45">
      <c r="C304" s="13"/>
      <c r="D304" s="13"/>
      <c r="E304" s="13"/>
      <c r="F304" s="13"/>
      <c r="G304" s="13"/>
    </row>
    <row r="305" spans="3:7" x14ac:dyDescent="0.45">
      <c r="C305" s="13"/>
      <c r="D305" s="13"/>
      <c r="E305" s="13"/>
      <c r="F305" s="13"/>
      <c r="G305" s="13"/>
    </row>
    <row r="306" spans="3:7" x14ac:dyDescent="0.45">
      <c r="C306" s="13"/>
      <c r="D306" s="13"/>
      <c r="E306" s="13"/>
      <c r="F306" s="13"/>
      <c r="G306" s="13"/>
    </row>
    <row r="307" spans="3:7" x14ac:dyDescent="0.45">
      <c r="C307" s="13"/>
      <c r="D307" s="13"/>
      <c r="E307" s="13"/>
      <c r="F307" s="13"/>
      <c r="G307" s="13"/>
    </row>
    <row r="308" spans="3:7" x14ac:dyDescent="0.45">
      <c r="C308" s="13"/>
      <c r="D308" s="13"/>
      <c r="E308" s="13"/>
      <c r="F308" s="13"/>
      <c r="G308" s="13"/>
    </row>
    <row r="309" spans="3:7" x14ac:dyDescent="0.45">
      <c r="C309" s="13"/>
      <c r="D309" s="13"/>
      <c r="E309" s="13"/>
      <c r="F309" s="13"/>
      <c r="G309" s="13"/>
    </row>
    <row r="310" spans="3:7" x14ac:dyDescent="0.45">
      <c r="C310" s="13"/>
      <c r="D310" s="13"/>
      <c r="E310" s="13"/>
      <c r="F310" s="13"/>
      <c r="G310" s="13"/>
    </row>
    <row r="311" spans="3:7" x14ac:dyDescent="0.45">
      <c r="C311" s="13"/>
      <c r="D311" s="13"/>
      <c r="E311" s="13"/>
      <c r="F311" s="13"/>
      <c r="G311" s="13"/>
    </row>
    <row r="312" spans="3:7" x14ac:dyDescent="0.45">
      <c r="C312" s="13"/>
      <c r="D312" s="13"/>
      <c r="E312" s="13"/>
      <c r="F312" s="13"/>
      <c r="G312" s="13"/>
    </row>
    <row r="313" spans="3:7" x14ac:dyDescent="0.45">
      <c r="C313" s="13"/>
      <c r="D313" s="13"/>
      <c r="E313" s="13"/>
      <c r="F313" s="13"/>
      <c r="G313" s="13"/>
    </row>
    <row r="314" spans="3:7" x14ac:dyDescent="0.45">
      <c r="C314" s="13"/>
      <c r="D314" s="13"/>
      <c r="E314" s="13"/>
      <c r="F314" s="13"/>
      <c r="G314" s="13"/>
    </row>
    <row r="315" spans="3:7" x14ac:dyDescent="0.45">
      <c r="C315" s="13"/>
      <c r="D315" s="13"/>
      <c r="E315" s="13"/>
      <c r="F315" s="13"/>
      <c r="G315" s="13"/>
    </row>
    <row r="316" spans="3:7" x14ac:dyDescent="0.45">
      <c r="C316" s="13"/>
      <c r="D316" s="13"/>
      <c r="E316" s="13"/>
      <c r="F316" s="13"/>
      <c r="G316" s="13"/>
    </row>
    <row r="317" spans="3:7" x14ac:dyDescent="0.45">
      <c r="C317" s="13"/>
      <c r="D317" s="13"/>
      <c r="E317" s="13"/>
      <c r="F317" s="13"/>
      <c r="G317" s="13"/>
    </row>
    <row r="318" spans="3:7" x14ac:dyDescent="0.45">
      <c r="C318" s="13"/>
      <c r="D318" s="13"/>
      <c r="E318" s="13"/>
      <c r="F318" s="13"/>
      <c r="G318" s="13"/>
    </row>
    <row r="319" spans="3:7" x14ac:dyDescent="0.45">
      <c r="C319" s="13"/>
      <c r="D319" s="13"/>
      <c r="E319" s="13"/>
      <c r="F319" s="13"/>
      <c r="G319" s="13"/>
    </row>
    <row r="320" spans="3:7" x14ac:dyDescent="0.45">
      <c r="C320" s="13"/>
      <c r="D320" s="13"/>
      <c r="E320" s="13"/>
      <c r="F320" s="13"/>
      <c r="G320" s="13"/>
    </row>
    <row r="321" spans="3:7" x14ac:dyDescent="0.45">
      <c r="C321" s="13"/>
      <c r="D321" s="13"/>
      <c r="E321" s="13"/>
      <c r="F321" s="13"/>
      <c r="G321" s="13"/>
    </row>
    <row r="322" spans="3:7" x14ac:dyDescent="0.45">
      <c r="C322" s="13"/>
      <c r="D322" s="13"/>
      <c r="E322" s="13"/>
      <c r="F322" s="13"/>
      <c r="G322" s="13"/>
    </row>
    <row r="323" spans="3:7" x14ac:dyDescent="0.45">
      <c r="C323" s="13"/>
      <c r="D323" s="13"/>
      <c r="E323" s="13"/>
      <c r="F323" s="13"/>
      <c r="G323" s="13"/>
    </row>
    <row r="324" spans="3:7" x14ac:dyDescent="0.45">
      <c r="C324" s="13"/>
      <c r="D324" s="13"/>
      <c r="E324" s="13"/>
      <c r="F324" s="13"/>
      <c r="G324" s="13"/>
    </row>
    <row r="325" spans="3:7" x14ac:dyDescent="0.45">
      <c r="C325" s="13"/>
      <c r="D325" s="13"/>
      <c r="E325" s="13"/>
      <c r="F325" s="13"/>
      <c r="G325" s="13"/>
    </row>
    <row r="326" spans="3:7" x14ac:dyDescent="0.45">
      <c r="C326" s="13"/>
      <c r="D326" s="13"/>
      <c r="E326" s="13"/>
      <c r="F326" s="13"/>
      <c r="G326" s="13"/>
    </row>
    <row r="327" spans="3:7" x14ac:dyDescent="0.45">
      <c r="C327" s="13"/>
      <c r="D327" s="13"/>
      <c r="E327" s="13"/>
      <c r="F327" s="13"/>
      <c r="G327" s="13"/>
    </row>
    <row r="328" spans="3:7" x14ac:dyDescent="0.45">
      <c r="C328" s="13"/>
      <c r="D328" s="13"/>
      <c r="E328" s="13"/>
      <c r="F328" s="13"/>
      <c r="G328" s="13"/>
    </row>
    <row r="329" spans="3:7" x14ac:dyDescent="0.45">
      <c r="C329" s="13"/>
      <c r="D329" s="13"/>
      <c r="E329" s="13"/>
      <c r="F329" s="13"/>
      <c r="G329" s="13"/>
    </row>
    <row r="330" spans="3:7" x14ac:dyDescent="0.45">
      <c r="C330" s="13"/>
      <c r="D330" s="13"/>
      <c r="E330" s="13"/>
      <c r="F330" s="13"/>
      <c r="G330" s="13"/>
    </row>
    <row r="331" spans="3:7" x14ac:dyDescent="0.45">
      <c r="C331" s="13"/>
      <c r="D331" s="13"/>
      <c r="E331" s="13"/>
      <c r="F331" s="13"/>
      <c r="G331" s="13"/>
    </row>
    <row r="332" spans="3:7" x14ac:dyDescent="0.45">
      <c r="C332" s="13"/>
      <c r="D332" s="13"/>
      <c r="E332" s="13"/>
      <c r="F332" s="13"/>
      <c r="G332" s="13"/>
    </row>
    <row r="333" spans="3:7" x14ac:dyDescent="0.45">
      <c r="C333" s="13"/>
      <c r="D333" s="13"/>
      <c r="E333" s="13"/>
      <c r="F333" s="13"/>
      <c r="G333" s="13"/>
    </row>
    <row r="334" spans="3:7" x14ac:dyDescent="0.45">
      <c r="C334" s="13"/>
      <c r="D334" s="13"/>
      <c r="E334" s="13"/>
      <c r="F334" s="13"/>
      <c r="G334" s="13"/>
    </row>
    <row r="335" spans="3:7" x14ac:dyDescent="0.45">
      <c r="C335" s="13"/>
      <c r="D335" s="13"/>
      <c r="E335" s="13"/>
      <c r="F335" s="13"/>
      <c r="G335" s="13"/>
    </row>
    <row r="336" spans="3:7" x14ac:dyDescent="0.45">
      <c r="C336" s="13"/>
      <c r="D336" s="13"/>
      <c r="E336" s="13"/>
      <c r="F336" s="13"/>
      <c r="G336" s="13"/>
    </row>
    <row r="337" spans="3:7" x14ac:dyDescent="0.45">
      <c r="C337" s="13"/>
      <c r="D337" s="13"/>
      <c r="E337" s="13"/>
      <c r="F337" s="13"/>
      <c r="G337" s="13"/>
    </row>
    <row r="338" spans="3:7" x14ac:dyDescent="0.45">
      <c r="C338" s="13"/>
      <c r="D338" s="13"/>
      <c r="E338" s="13"/>
      <c r="F338" s="13"/>
      <c r="G338" s="13"/>
    </row>
    <row r="339" spans="3:7" x14ac:dyDescent="0.45">
      <c r="C339" s="13"/>
      <c r="D339" s="13"/>
      <c r="E339" s="13"/>
      <c r="F339" s="13"/>
      <c r="G339" s="13"/>
    </row>
    <row r="340" spans="3:7" x14ac:dyDescent="0.45">
      <c r="C340" s="13"/>
      <c r="D340" s="13"/>
      <c r="E340" s="13"/>
      <c r="F340" s="13"/>
      <c r="G340" s="13"/>
    </row>
    <row r="341" spans="3:7" x14ac:dyDescent="0.45">
      <c r="C341" s="13"/>
      <c r="D341" s="13"/>
      <c r="E341" s="13"/>
      <c r="F341" s="13"/>
      <c r="G341" s="13"/>
    </row>
    <row r="342" spans="3:7" x14ac:dyDescent="0.45">
      <c r="C342" s="13"/>
      <c r="D342" s="13"/>
      <c r="E342" s="13"/>
      <c r="F342" s="13"/>
      <c r="G342" s="13"/>
    </row>
    <row r="343" spans="3:7" x14ac:dyDescent="0.45">
      <c r="C343" s="13"/>
      <c r="D343" s="13"/>
      <c r="E343" s="13"/>
      <c r="F343" s="13"/>
      <c r="G343" s="13"/>
    </row>
    <row r="344" spans="3:7" x14ac:dyDescent="0.45">
      <c r="C344" s="13"/>
      <c r="D344" s="13"/>
      <c r="E344" s="13"/>
      <c r="F344" s="13"/>
      <c r="G344" s="13"/>
    </row>
    <row r="345" spans="3:7" x14ac:dyDescent="0.45">
      <c r="C345" s="13"/>
      <c r="D345" s="13"/>
      <c r="E345" s="13"/>
      <c r="F345" s="13"/>
      <c r="G345" s="13"/>
    </row>
    <row r="346" spans="3:7" x14ac:dyDescent="0.45">
      <c r="C346" s="13"/>
      <c r="D346" s="13"/>
      <c r="E346" s="13"/>
      <c r="F346" s="13"/>
      <c r="G346" s="13"/>
    </row>
    <row r="347" spans="3:7" x14ac:dyDescent="0.45">
      <c r="C347" s="13"/>
      <c r="D347" s="13"/>
      <c r="E347" s="13"/>
      <c r="F347" s="13"/>
      <c r="G347" s="13"/>
    </row>
    <row r="348" spans="3:7" x14ac:dyDescent="0.45">
      <c r="C348" s="13"/>
      <c r="D348" s="13"/>
      <c r="E348" s="13"/>
      <c r="F348" s="13"/>
      <c r="G348" s="13"/>
    </row>
    <row r="349" spans="3:7" x14ac:dyDescent="0.45">
      <c r="C349" s="13"/>
      <c r="D349" s="13"/>
      <c r="E349" s="13"/>
      <c r="F349" s="13"/>
      <c r="G349" s="13"/>
    </row>
    <row r="350" spans="3:7" x14ac:dyDescent="0.45">
      <c r="C350" s="13"/>
      <c r="D350" s="13"/>
      <c r="E350" s="13"/>
      <c r="F350" s="13"/>
      <c r="G350" s="13"/>
    </row>
    <row r="351" spans="3:7" x14ac:dyDescent="0.45">
      <c r="C351" s="13"/>
      <c r="D351" s="13"/>
      <c r="E351" s="13"/>
      <c r="F351" s="13"/>
      <c r="G351" s="13"/>
    </row>
    <row r="352" spans="3:7" x14ac:dyDescent="0.45">
      <c r="C352" s="13"/>
      <c r="D352" s="13"/>
      <c r="E352" s="13"/>
      <c r="F352" s="13"/>
      <c r="G352" s="13"/>
    </row>
    <row r="353" spans="3:7" x14ac:dyDescent="0.45">
      <c r="C353" s="13"/>
      <c r="D353" s="13"/>
      <c r="E353" s="13"/>
      <c r="F353" s="13"/>
      <c r="G353" s="13"/>
    </row>
    <row r="354" spans="3:7" x14ac:dyDescent="0.45">
      <c r="C354" s="13"/>
      <c r="D354" s="13"/>
      <c r="E354" s="13"/>
      <c r="F354" s="13"/>
      <c r="G354" s="13"/>
    </row>
    <row r="355" spans="3:7" x14ac:dyDescent="0.45">
      <c r="C355" s="13"/>
      <c r="D355" s="13"/>
      <c r="E355" s="13"/>
      <c r="F355" s="13"/>
      <c r="G355" s="13"/>
    </row>
    <row r="356" spans="3:7" x14ac:dyDescent="0.45">
      <c r="C356" s="13"/>
      <c r="D356" s="13"/>
      <c r="E356" s="13"/>
      <c r="F356" s="13"/>
      <c r="G356" s="13"/>
    </row>
    <row r="357" spans="3:7" x14ac:dyDescent="0.45">
      <c r="C357" s="13"/>
      <c r="D357" s="13"/>
      <c r="E357" s="13"/>
      <c r="F357" s="13"/>
      <c r="G357" s="13"/>
    </row>
    <row r="358" spans="3:7" x14ac:dyDescent="0.45">
      <c r="C358" s="13"/>
      <c r="D358" s="13"/>
      <c r="E358" s="13"/>
      <c r="F358" s="13"/>
      <c r="G358" s="13"/>
    </row>
    <row r="359" spans="3:7" x14ac:dyDescent="0.45">
      <c r="C359" s="13"/>
      <c r="D359" s="13"/>
      <c r="E359" s="13"/>
      <c r="F359" s="13"/>
      <c r="G359" s="13"/>
    </row>
    <row r="360" spans="3:7" x14ac:dyDescent="0.45">
      <c r="C360" s="13"/>
      <c r="D360" s="13"/>
      <c r="E360" s="13"/>
      <c r="F360" s="13"/>
      <c r="G360" s="13"/>
    </row>
    <row r="361" spans="3:7" x14ac:dyDescent="0.45">
      <c r="C361" s="13"/>
      <c r="D361" s="13"/>
      <c r="E361" s="13"/>
      <c r="F361" s="13"/>
      <c r="G361" s="13"/>
    </row>
    <row r="362" spans="3:7" x14ac:dyDescent="0.45">
      <c r="C362" s="13"/>
      <c r="D362" s="13"/>
      <c r="E362" s="13"/>
      <c r="F362" s="13"/>
      <c r="G362" s="13"/>
    </row>
    <row r="363" spans="3:7" x14ac:dyDescent="0.45">
      <c r="C363" s="13"/>
      <c r="D363" s="13"/>
      <c r="E363" s="13"/>
      <c r="F363" s="13"/>
      <c r="G363" s="13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10"/>
  <sheetViews>
    <sheetView topLeftCell="A774" workbookViewId="0">
      <selection activeCell="A783" sqref="A783"/>
    </sheetView>
  </sheetViews>
  <sheetFormatPr baseColWidth="10" defaultRowHeight="14.25" x14ac:dyDescent="0.45"/>
  <cols>
    <col min="1" max="1" width="37" style="12" bestFit="1" customWidth="1"/>
  </cols>
  <sheetData>
    <row r="1" spans="1:6" x14ac:dyDescent="0.45">
      <c r="A1" t="s">
        <v>83</v>
      </c>
      <c r="B1" t="s">
        <v>84</v>
      </c>
      <c r="C1" t="s">
        <v>85</v>
      </c>
      <c r="D1" t="s">
        <v>86</v>
      </c>
      <c r="E1" t="s">
        <v>87</v>
      </c>
    </row>
    <row r="2" spans="1:6" x14ac:dyDescent="0.45">
      <c r="A2" t="s">
        <v>408</v>
      </c>
      <c r="B2" t="s">
        <v>88</v>
      </c>
      <c r="C2">
        <v>0</v>
      </c>
      <c r="D2">
        <v>100</v>
      </c>
      <c r="E2">
        <v>82</v>
      </c>
      <c r="F2" s="12"/>
    </row>
    <row r="3" spans="1:6" x14ac:dyDescent="0.45">
      <c r="A3" t="s">
        <v>409</v>
      </c>
      <c r="B3" t="s">
        <v>88</v>
      </c>
      <c r="C3">
        <v>0</v>
      </c>
      <c r="D3">
        <v>100</v>
      </c>
      <c r="E3">
        <v>99</v>
      </c>
      <c r="F3" s="12"/>
    </row>
    <row r="4" spans="1:6" x14ac:dyDescent="0.45">
      <c r="A4" t="s">
        <v>410</v>
      </c>
      <c r="B4" t="s">
        <v>88</v>
      </c>
      <c r="C4">
        <v>0</v>
      </c>
      <c r="D4">
        <v>100</v>
      </c>
      <c r="E4">
        <v>116</v>
      </c>
      <c r="F4" s="12"/>
    </row>
    <row r="5" spans="1:6" x14ac:dyDescent="0.45">
      <c r="A5" t="s">
        <v>411</v>
      </c>
      <c r="B5" t="s">
        <v>88</v>
      </c>
      <c r="C5">
        <v>0</v>
      </c>
      <c r="D5">
        <v>100</v>
      </c>
      <c r="E5">
        <v>132</v>
      </c>
      <c r="F5" s="12"/>
    </row>
    <row r="6" spans="1:6" x14ac:dyDescent="0.45">
      <c r="A6" t="s">
        <v>412</v>
      </c>
      <c r="B6" t="s">
        <v>88</v>
      </c>
      <c r="C6">
        <v>0</v>
      </c>
      <c r="D6">
        <v>100</v>
      </c>
      <c r="E6">
        <v>149</v>
      </c>
      <c r="F6" s="12"/>
    </row>
    <row r="7" spans="1:6" x14ac:dyDescent="0.45">
      <c r="A7" t="s">
        <v>413</v>
      </c>
      <c r="B7" t="s">
        <v>88</v>
      </c>
      <c r="C7">
        <v>0</v>
      </c>
      <c r="D7">
        <v>100</v>
      </c>
      <c r="E7">
        <v>166</v>
      </c>
      <c r="F7" s="12"/>
    </row>
    <row r="8" spans="1:6" x14ac:dyDescent="0.45">
      <c r="A8" t="s">
        <v>414</v>
      </c>
      <c r="B8" t="s">
        <v>88</v>
      </c>
      <c r="C8">
        <v>0</v>
      </c>
      <c r="D8">
        <v>100</v>
      </c>
      <c r="E8">
        <v>182</v>
      </c>
      <c r="F8" s="12"/>
    </row>
    <row r="9" spans="1:6" x14ac:dyDescent="0.45">
      <c r="A9" t="s">
        <v>415</v>
      </c>
      <c r="B9" t="s">
        <v>88</v>
      </c>
      <c r="C9">
        <v>0</v>
      </c>
      <c r="D9">
        <v>100</v>
      </c>
      <c r="E9">
        <v>199</v>
      </c>
      <c r="F9" s="12"/>
    </row>
    <row r="10" spans="1:6" x14ac:dyDescent="0.45">
      <c r="A10" t="s">
        <v>416</v>
      </c>
      <c r="B10" t="s">
        <v>88</v>
      </c>
      <c r="C10">
        <v>1</v>
      </c>
      <c r="D10">
        <v>100</v>
      </c>
      <c r="E10">
        <v>82</v>
      </c>
      <c r="F10" s="12"/>
    </row>
    <row r="11" spans="1:6" x14ac:dyDescent="0.45">
      <c r="A11" t="s">
        <v>417</v>
      </c>
      <c r="B11" t="s">
        <v>88</v>
      </c>
      <c r="C11">
        <v>1</v>
      </c>
      <c r="D11">
        <v>100</v>
      </c>
      <c r="E11">
        <v>99</v>
      </c>
      <c r="F11" s="12"/>
    </row>
    <row r="12" spans="1:6" x14ac:dyDescent="0.45">
      <c r="A12" t="s">
        <v>418</v>
      </c>
      <c r="B12" t="s">
        <v>88</v>
      </c>
      <c r="C12">
        <v>1</v>
      </c>
      <c r="D12">
        <v>100</v>
      </c>
      <c r="E12">
        <v>116</v>
      </c>
      <c r="F12" s="12"/>
    </row>
    <row r="13" spans="1:6" x14ac:dyDescent="0.45">
      <c r="A13" t="s">
        <v>419</v>
      </c>
      <c r="B13" t="s">
        <v>88</v>
      </c>
      <c r="C13">
        <v>1</v>
      </c>
      <c r="D13">
        <v>100</v>
      </c>
      <c r="E13">
        <v>132</v>
      </c>
      <c r="F13" s="12"/>
    </row>
    <row r="14" spans="1:6" x14ac:dyDescent="0.45">
      <c r="A14" t="s">
        <v>420</v>
      </c>
      <c r="B14" t="s">
        <v>88</v>
      </c>
      <c r="C14">
        <v>1</v>
      </c>
      <c r="D14">
        <v>100</v>
      </c>
      <c r="E14">
        <v>149</v>
      </c>
      <c r="F14" s="12"/>
    </row>
    <row r="15" spans="1:6" x14ac:dyDescent="0.45">
      <c r="A15" t="s">
        <v>421</v>
      </c>
      <c r="B15" t="s">
        <v>88</v>
      </c>
      <c r="C15">
        <v>1</v>
      </c>
      <c r="D15">
        <v>100</v>
      </c>
      <c r="E15">
        <v>166</v>
      </c>
      <c r="F15" s="12"/>
    </row>
    <row r="16" spans="1:6" x14ac:dyDescent="0.45">
      <c r="A16" t="s">
        <v>422</v>
      </c>
      <c r="B16" t="s">
        <v>88</v>
      </c>
      <c r="C16">
        <v>1</v>
      </c>
      <c r="D16">
        <v>100</v>
      </c>
      <c r="E16">
        <v>182</v>
      </c>
      <c r="F16" s="12"/>
    </row>
    <row r="17" spans="1:6" x14ac:dyDescent="0.45">
      <c r="A17" t="s">
        <v>423</v>
      </c>
      <c r="B17" t="s">
        <v>88</v>
      </c>
      <c r="C17">
        <v>1</v>
      </c>
      <c r="D17">
        <v>100</v>
      </c>
      <c r="E17">
        <v>199</v>
      </c>
      <c r="F17" s="12"/>
    </row>
    <row r="18" spans="1:6" x14ac:dyDescent="0.45">
      <c r="A18" t="s">
        <v>424</v>
      </c>
      <c r="B18" t="s">
        <v>88</v>
      </c>
      <c r="C18">
        <v>2</v>
      </c>
      <c r="D18">
        <v>100</v>
      </c>
      <c r="E18">
        <v>82</v>
      </c>
      <c r="F18" s="12"/>
    </row>
    <row r="19" spans="1:6" x14ac:dyDescent="0.45">
      <c r="A19" t="s">
        <v>425</v>
      </c>
      <c r="B19" t="s">
        <v>88</v>
      </c>
      <c r="C19">
        <v>2</v>
      </c>
      <c r="D19">
        <v>100</v>
      </c>
      <c r="E19">
        <v>99</v>
      </c>
      <c r="F19" s="12"/>
    </row>
    <row r="20" spans="1:6" x14ac:dyDescent="0.45">
      <c r="A20" t="s">
        <v>426</v>
      </c>
      <c r="B20" t="s">
        <v>88</v>
      </c>
      <c r="C20">
        <v>2</v>
      </c>
      <c r="D20">
        <v>100</v>
      </c>
      <c r="E20">
        <v>116</v>
      </c>
      <c r="F20" s="12"/>
    </row>
    <row r="21" spans="1:6" x14ac:dyDescent="0.45">
      <c r="A21" t="s">
        <v>427</v>
      </c>
      <c r="B21" t="s">
        <v>88</v>
      </c>
      <c r="C21">
        <v>2</v>
      </c>
      <c r="D21">
        <v>100</v>
      </c>
      <c r="E21">
        <v>132</v>
      </c>
      <c r="F21" s="12"/>
    </row>
    <row r="22" spans="1:6" x14ac:dyDescent="0.45">
      <c r="A22" t="s">
        <v>428</v>
      </c>
      <c r="B22" t="s">
        <v>88</v>
      </c>
      <c r="C22">
        <v>2</v>
      </c>
      <c r="D22">
        <v>100</v>
      </c>
      <c r="E22">
        <v>149</v>
      </c>
      <c r="F22" s="12"/>
    </row>
    <row r="23" spans="1:6" x14ac:dyDescent="0.45">
      <c r="A23" t="s">
        <v>429</v>
      </c>
      <c r="B23" t="s">
        <v>88</v>
      </c>
      <c r="C23">
        <v>2</v>
      </c>
      <c r="D23">
        <v>100</v>
      </c>
      <c r="E23">
        <v>166</v>
      </c>
      <c r="F23" s="12"/>
    </row>
    <row r="24" spans="1:6" x14ac:dyDescent="0.45">
      <c r="A24" t="s">
        <v>430</v>
      </c>
      <c r="B24" t="s">
        <v>88</v>
      </c>
      <c r="C24">
        <v>2</v>
      </c>
      <c r="D24">
        <v>100</v>
      </c>
      <c r="E24">
        <v>182</v>
      </c>
      <c r="F24" s="12"/>
    </row>
    <row r="25" spans="1:6" x14ac:dyDescent="0.45">
      <c r="A25" t="s">
        <v>431</v>
      </c>
      <c r="B25" t="s">
        <v>88</v>
      </c>
      <c r="C25">
        <v>2</v>
      </c>
      <c r="D25">
        <v>100</v>
      </c>
      <c r="E25">
        <v>199</v>
      </c>
      <c r="F25" s="12"/>
    </row>
    <row r="26" spans="1:6" x14ac:dyDescent="0.45">
      <c r="A26" t="s">
        <v>432</v>
      </c>
      <c r="B26" t="s">
        <v>88</v>
      </c>
      <c r="C26">
        <v>3</v>
      </c>
      <c r="D26">
        <v>100</v>
      </c>
      <c r="E26">
        <v>82</v>
      </c>
      <c r="F26" s="12"/>
    </row>
    <row r="27" spans="1:6" x14ac:dyDescent="0.45">
      <c r="A27" t="s">
        <v>433</v>
      </c>
      <c r="B27" t="s">
        <v>88</v>
      </c>
      <c r="C27">
        <v>3</v>
      </c>
      <c r="D27">
        <v>100</v>
      </c>
      <c r="E27">
        <v>99</v>
      </c>
      <c r="F27" s="12"/>
    </row>
    <row r="28" spans="1:6" x14ac:dyDescent="0.45">
      <c r="A28" t="s">
        <v>434</v>
      </c>
      <c r="B28" t="s">
        <v>88</v>
      </c>
      <c r="C28">
        <v>3</v>
      </c>
      <c r="D28">
        <v>100</v>
      </c>
      <c r="E28">
        <v>116</v>
      </c>
      <c r="F28" s="12"/>
    </row>
    <row r="29" spans="1:6" x14ac:dyDescent="0.45">
      <c r="A29" t="s">
        <v>435</v>
      </c>
      <c r="B29" t="s">
        <v>88</v>
      </c>
      <c r="C29">
        <v>3</v>
      </c>
      <c r="D29">
        <v>100</v>
      </c>
      <c r="E29">
        <v>132</v>
      </c>
      <c r="F29" s="12"/>
    </row>
    <row r="30" spans="1:6" x14ac:dyDescent="0.45">
      <c r="A30" t="s">
        <v>436</v>
      </c>
      <c r="B30" t="s">
        <v>88</v>
      </c>
      <c r="C30">
        <v>3</v>
      </c>
      <c r="D30">
        <v>100</v>
      </c>
      <c r="E30">
        <v>149</v>
      </c>
      <c r="F30" s="12"/>
    </row>
    <row r="31" spans="1:6" x14ac:dyDescent="0.45">
      <c r="A31" t="s">
        <v>437</v>
      </c>
      <c r="B31" t="s">
        <v>88</v>
      </c>
      <c r="C31">
        <v>3</v>
      </c>
      <c r="D31">
        <v>100</v>
      </c>
      <c r="E31">
        <v>166</v>
      </c>
      <c r="F31" s="12"/>
    </row>
    <row r="32" spans="1:6" x14ac:dyDescent="0.45">
      <c r="A32" t="s">
        <v>438</v>
      </c>
      <c r="B32" t="s">
        <v>88</v>
      </c>
      <c r="C32">
        <v>3</v>
      </c>
      <c r="D32">
        <v>100</v>
      </c>
      <c r="E32">
        <v>182</v>
      </c>
      <c r="F32" s="12"/>
    </row>
    <row r="33" spans="1:6" x14ac:dyDescent="0.45">
      <c r="A33" t="s">
        <v>439</v>
      </c>
      <c r="B33" t="s">
        <v>88</v>
      </c>
      <c r="C33">
        <v>3</v>
      </c>
      <c r="D33">
        <v>100</v>
      </c>
      <c r="E33">
        <v>199</v>
      </c>
      <c r="F33" s="12"/>
    </row>
    <row r="34" spans="1:6" x14ac:dyDescent="0.45">
      <c r="A34" t="s">
        <v>440</v>
      </c>
      <c r="B34" t="s">
        <v>88</v>
      </c>
      <c r="C34">
        <v>4</v>
      </c>
      <c r="D34">
        <v>100</v>
      </c>
      <c r="E34">
        <v>82</v>
      </c>
      <c r="F34" s="12"/>
    </row>
    <row r="35" spans="1:6" x14ac:dyDescent="0.45">
      <c r="A35" t="s">
        <v>441</v>
      </c>
      <c r="B35" t="s">
        <v>88</v>
      </c>
      <c r="C35">
        <v>4</v>
      </c>
      <c r="D35">
        <v>100</v>
      </c>
      <c r="E35">
        <v>99</v>
      </c>
      <c r="F35" s="12"/>
    </row>
    <row r="36" spans="1:6" x14ac:dyDescent="0.45">
      <c r="A36" t="s">
        <v>442</v>
      </c>
      <c r="B36" t="s">
        <v>88</v>
      </c>
      <c r="C36">
        <v>4</v>
      </c>
      <c r="D36">
        <v>100</v>
      </c>
      <c r="E36">
        <v>116</v>
      </c>
      <c r="F36" s="12"/>
    </row>
    <row r="37" spans="1:6" x14ac:dyDescent="0.45">
      <c r="A37" t="s">
        <v>443</v>
      </c>
      <c r="B37" t="s">
        <v>88</v>
      </c>
      <c r="C37">
        <v>4</v>
      </c>
      <c r="D37">
        <v>100</v>
      </c>
      <c r="E37">
        <v>132</v>
      </c>
      <c r="F37" s="12"/>
    </row>
    <row r="38" spans="1:6" x14ac:dyDescent="0.45">
      <c r="A38" t="s">
        <v>444</v>
      </c>
      <c r="B38" t="s">
        <v>88</v>
      </c>
      <c r="C38">
        <v>4</v>
      </c>
      <c r="D38">
        <v>100</v>
      </c>
      <c r="E38">
        <v>149</v>
      </c>
      <c r="F38" s="12"/>
    </row>
    <row r="39" spans="1:6" x14ac:dyDescent="0.45">
      <c r="A39" t="s">
        <v>445</v>
      </c>
      <c r="B39" t="s">
        <v>88</v>
      </c>
      <c r="C39">
        <v>4</v>
      </c>
      <c r="D39">
        <v>100</v>
      </c>
      <c r="E39">
        <v>166</v>
      </c>
      <c r="F39" s="12"/>
    </row>
    <row r="40" spans="1:6" x14ac:dyDescent="0.45">
      <c r="A40" t="s">
        <v>446</v>
      </c>
      <c r="B40" t="s">
        <v>88</v>
      </c>
      <c r="C40">
        <v>4</v>
      </c>
      <c r="D40">
        <v>100</v>
      </c>
      <c r="E40">
        <v>182</v>
      </c>
      <c r="F40" s="12"/>
    </row>
    <row r="41" spans="1:6" x14ac:dyDescent="0.45">
      <c r="A41" t="s">
        <v>447</v>
      </c>
      <c r="B41" t="s">
        <v>88</v>
      </c>
      <c r="C41">
        <v>4</v>
      </c>
      <c r="D41">
        <v>100</v>
      </c>
      <c r="E41">
        <v>199</v>
      </c>
      <c r="F41" s="12"/>
    </row>
    <row r="42" spans="1:6" x14ac:dyDescent="0.45">
      <c r="A42" t="s">
        <v>448</v>
      </c>
      <c r="B42" t="s">
        <v>88</v>
      </c>
      <c r="C42">
        <v>5</v>
      </c>
      <c r="D42">
        <v>100</v>
      </c>
      <c r="E42">
        <v>66</v>
      </c>
      <c r="F42" s="12"/>
    </row>
    <row r="43" spans="1:6" x14ac:dyDescent="0.45">
      <c r="A43" t="s">
        <v>449</v>
      </c>
      <c r="B43" t="s">
        <v>88</v>
      </c>
      <c r="C43">
        <v>5</v>
      </c>
      <c r="D43">
        <v>100</v>
      </c>
      <c r="E43">
        <v>82</v>
      </c>
      <c r="F43" s="12"/>
    </row>
    <row r="44" spans="1:6" x14ac:dyDescent="0.45">
      <c r="A44" t="s">
        <v>450</v>
      </c>
      <c r="B44" t="s">
        <v>88</v>
      </c>
      <c r="C44">
        <v>5</v>
      </c>
      <c r="D44">
        <v>100</v>
      </c>
      <c r="E44">
        <v>99</v>
      </c>
      <c r="F44" s="12"/>
    </row>
    <row r="45" spans="1:6" x14ac:dyDescent="0.45">
      <c r="A45" t="s">
        <v>451</v>
      </c>
      <c r="B45" t="s">
        <v>88</v>
      </c>
      <c r="C45">
        <v>5</v>
      </c>
      <c r="D45">
        <v>100</v>
      </c>
      <c r="E45">
        <v>116</v>
      </c>
      <c r="F45" s="12"/>
    </row>
    <row r="46" spans="1:6" x14ac:dyDescent="0.45">
      <c r="A46" t="s">
        <v>452</v>
      </c>
      <c r="B46" t="s">
        <v>88</v>
      </c>
      <c r="C46">
        <v>5</v>
      </c>
      <c r="D46">
        <v>100</v>
      </c>
      <c r="E46">
        <v>132</v>
      </c>
      <c r="F46" s="12"/>
    </row>
    <row r="47" spans="1:6" x14ac:dyDescent="0.45">
      <c r="A47" t="s">
        <v>453</v>
      </c>
      <c r="B47" t="s">
        <v>88</v>
      </c>
      <c r="C47">
        <v>5</v>
      </c>
      <c r="D47">
        <v>100</v>
      </c>
      <c r="E47">
        <v>149</v>
      </c>
      <c r="F47" s="12"/>
    </row>
    <row r="48" spans="1:6" x14ac:dyDescent="0.45">
      <c r="A48" t="s">
        <v>454</v>
      </c>
      <c r="B48" t="s">
        <v>88</v>
      </c>
      <c r="C48">
        <v>5</v>
      </c>
      <c r="D48">
        <v>100</v>
      </c>
      <c r="E48">
        <v>166</v>
      </c>
      <c r="F48" s="12"/>
    </row>
    <row r="49" spans="1:6" x14ac:dyDescent="0.45">
      <c r="A49" t="s">
        <v>455</v>
      </c>
      <c r="B49" t="s">
        <v>88</v>
      </c>
      <c r="C49">
        <v>5</v>
      </c>
      <c r="D49">
        <v>100</v>
      </c>
      <c r="E49">
        <v>182</v>
      </c>
      <c r="F49" s="12"/>
    </row>
    <row r="50" spans="1:6" x14ac:dyDescent="0.45">
      <c r="A50" t="s">
        <v>456</v>
      </c>
      <c r="B50" t="s">
        <v>88</v>
      </c>
      <c r="C50">
        <v>5</v>
      </c>
      <c r="D50">
        <v>100</v>
      </c>
      <c r="E50">
        <v>199</v>
      </c>
      <c r="F50" s="12"/>
    </row>
    <row r="51" spans="1:6" x14ac:dyDescent="0.45">
      <c r="A51" t="s">
        <v>457</v>
      </c>
      <c r="B51" t="s">
        <v>88</v>
      </c>
      <c r="C51">
        <v>6</v>
      </c>
      <c r="D51">
        <v>100</v>
      </c>
      <c r="E51">
        <v>66</v>
      </c>
      <c r="F51" s="12"/>
    </row>
    <row r="52" spans="1:6" x14ac:dyDescent="0.45">
      <c r="A52" t="s">
        <v>458</v>
      </c>
      <c r="B52" t="s">
        <v>88</v>
      </c>
      <c r="C52">
        <v>6</v>
      </c>
      <c r="D52">
        <v>100</v>
      </c>
      <c r="E52">
        <v>82</v>
      </c>
      <c r="F52" s="12"/>
    </row>
    <row r="53" spans="1:6" x14ac:dyDescent="0.45">
      <c r="A53" t="s">
        <v>459</v>
      </c>
      <c r="B53" t="s">
        <v>88</v>
      </c>
      <c r="C53">
        <v>6</v>
      </c>
      <c r="D53">
        <v>100</v>
      </c>
      <c r="E53">
        <v>99</v>
      </c>
      <c r="F53" s="12"/>
    </row>
    <row r="54" spans="1:6" x14ac:dyDescent="0.45">
      <c r="A54" t="s">
        <v>460</v>
      </c>
      <c r="B54" t="s">
        <v>88</v>
      </c>
      <c r="C54">
        <v>6</v>
      </c>
      <c r="D54">
        <v>100</v>
      </c>
      <c r="E54">
        <v>116</v>
      </c>
      <c r="F54" s="12"/>
    </row>
    <row r="55" spans="1:6" x14ac:dyDescent="0.45">
      <c r="A55" t="s">
        <v>461</v>
      </c>
      <c r="B55" t="s">
        <v>88</v>
      </c>
      <c r="C55">
        <v>6</v>
      </c>
      <c r="D55">
        <v>100</v>
      </c>
      <c r="E55">
        <v>132</v>
      </c>
      <c r="F55" s="12"/>
    </row>
    <row r="56" spans="1:6" x14ac:dyDescent="0.45">
      <c r="A56" t="s">
        <v>462</v>
      </c>
      <c r="B56" t="s">
        <v>88</v>
      </c>
      <c r="C56">
        <v>6</v>
      </c>
      <c r="D56">
        <v>100</v>
      </c>
      <c r="E56">
        <v>149</v>
      </c>
      <c r="F56" s="12"/>
    </row>
    <row r="57" spans="1:6" x14ac:dyDescent="0.45">
      <c r="A57" t="s">
        <v>463</v>
      </c>
      <c r="B57" t="s">
        <v>88</v>
      </c>
      <c r="C57">
        <v>6</v>
      </c>
      <c r="D57">
        <v>100</v>
      </c>
      <c r="E57">
        <v>166</v>
      </c>
      <c r="F57" s="12"/>
    </row>
    <row r="58" spans="1:6" x14ac:dyDescent="0.45">
      <c r="A58" t="s">
        <v>464</v>
      </c>
      <c r="B58" t="s">
        <v>88</v>
      </c>
      <c r="C58">
        <v>6</v>
      </c>
      <c r="D58">
        <v>100</v>
      </c>
      <c r="E58">
        <v>182</v>
      </c>
      <c r="F58" s="12"/>
    </row>
    <row r="59" spans="1:6" x14ac:dyDescent="0.45">
      <c r="A59" t="s">
        <v>465</v>
      </c>
      <c r="B59" t="s">
        <v>88</v>
      </c>
      <c r="C59">
        <v>6</v>
      </c>
      <c r="D59">
        <v>100</v>
      </c>
      <c r="E59">
        <v>199</v>
      </c>
      <c r="F59" s="12"/>
    </row>
    <row r="60" spans="1:6" x14ac:dyDescent="0.45">
      <c r="A60" t="s">
        <v>466</v>
      </c>
      <c r="B60" t="s">
        <v>88</v>
      </c>
      <c r="C60">
        <v>7</v>
      </c>
      <c r="D60">
        <v>100</v>
      </c>
      <c r="E60">
        <v>66</v>
      </c>
      <c r="F60" s="12"/>
    </row>
    <row r="61" spans="1:6" x14ac:dyDescent="0.45">
      <c r="A61" t="s">
        <v>467</v>
      </c>
      <c r="B61" t="s">
        <v>88</v>
      </c>
      <c r="C61">
        <v>7</v>
      </c>
      <c r="D61">
        <v>100</v>
      </c>
      <c r="E61">
        <v>82</v>
      </c>
      <c r="F61" s="12"/>
    </row>
    <row r="62" spans="1:6" x14ac:dyDescent="0.45">
      <c r="A62" t="s">
        <v>468</v>
      </c>
      <c r="B62" t="s">
        <v>88</v>
      </c>
      <c r="C62">
        <v>7</v>
      </c>
      <c r="D62">
        <v>100</v>
      </c>
      <c r="E62">
        <v>99</v>
      </c>
      <c r="F62" s="12"/>
    </row>
    <row r="63" spans="1:6" x14ac:dyDescent="0.45">
      <c r="A63" t="s">
        <v>469</v>
      </c>
      <c r="B63" t="s">
        <v>88</v>
      </c>
      <c r="C63">
        <v>7</v>
      </c>
      <c r="D63">
        <v>100</v>
      </c>
      <c r="E63">
        <v>116</v>
      </c>
      <c r="F63" s="12"/>
    </row>
    <row r="64" spans="1:6" x14ac:dyDescent="0.45">
      <c r="A64" t="s">
        <v>470</v>
      </c>
      <c r="B64" t="s">
        <v>88</v>
      </c>
      <c r="C64">
        <v>7</v>
      </c>
      <c r="D64">
        <v>100</v>
      </c>
      <c r="E64">
        <v>132</v>
      </c>
      <c r="F64" s="12"/>
    </row>
    <row r="65" spans="1:6" x14ac:dyDescent="0.45">
      <c r="A65" t="s">
        <v>471</v>
      </c>
      <c r="B65" t="s">
        <v>88</v>
      </c>
      <c r="C65">
        <v>7</v>
      </c>
      <c r="D65">
        <v>100</v>
      </c>
      <c r="E65">
        <v>149</v>
      </c>
      <c r="F65" s="12"/>
    </row>
    <row r="66" spans="1:6" x14ac:dyDescent="0.45">
      <c r="A66" t="s">
        <v>472</v>
      </c>
      <c r="B66" t="s">
        <v>88</v>
      </c>
      <c r="C66">
        <v>7</v>
      </c>
      <c r="D66">
        <v>100</v>
      </c>
      <c r="E66">
        <v>166</v>
      </c>
      <c r="F66" s="12"/>
    </row>
    <row r="67" spans="1:6" x14ac:dyDescent="0.45">
      <c r="A67" t="s">
        <v>473</v>
      </c>
      <c r="B67" t="s">
        <v>88</v>
      </c>
      <c r="C67">
        <v>7</v>
      </c>
      <c r="D67">
        <v>100</v>
      </c>
      <c r="E67">
        <v>182</v>
      </c>
      <c r="F67" s="12"/>
    </row>
    <row r="68" spans="1:6" x14ac:dyDescent="0.45">
      <c r="A68" t="s">
        <v>474</v>
      </c>
      <c r="B68" t="s">
        <v>88</v>
      </c>
      <c r="C68">
        <v>7</v>
      </c>
      <c r="D68">
        <v>100</v>
      </c>
      <c r="E68">
        <v>199</v>
      </c>
      <c r="F68" s="12"/>
    </row>
    <row r="69" spans="1:6" x14ac:dyDescent="0.45">
      <c r="A69" t="s">
        <v>475</v>
      </c>
      <c r="B69" t="s">
        <v>88</v>
      </c>
      <c r="C69">
        <v>8</v>
      </c>
      <c r="D69">
        <v>100</v>
      </c>
      <c r="E69">
        <v>66</v>
      </c>
      <c r="F69" s="12"/>
    </row>
    <row r="70" spans="1:6" x14ac:dyDescent="0.45">
      <c r="A70" t="s">
        <v>476</v>
      </c>
      <c r="B70" t="s">
        <v>88</v>
      </c>
      <c r="C70">
        <v>8</v>
      </c>
      <c r="D70">
        <v>100</v>
      </c>
      <c r="E70">
        <v>82</v>
      </c>
      <c r="F70" s="12"/>
    </row>
    <row r="71" spans="1:6" x14ac:dyDescent="0.45">
      <c r="A71" t="s">
        <v>477</v>
      </c>
      <c r="B71" t="s">
        <v>88</v>
      </c>
      <c r="C71">
        <v>8</v>
      </c>
      <c r="D71">
        <v>100</v>
      </c>
      <c r="E71">
        <v>99</v>
      </c>
      <c r="F71" s="12"/>
    </row>
    <row r="72" spans="1:6" x14ac:dyDescent="0.45">
      <c r="A72" t="s">
        <v>478</v>
      </c>
      <c r="B72" t="s">
        <v>88</v>
      </c>
      <c r="C72">
        <v>8</v>
      </c>
      <c r="D72">
        <v>100</v>
      </c>
      <c r="E72">
        <v>116</v>
      </c>
      <c r="F72" s="12"/>
    </row>
    <row r="73" spans="1:6" x14ac:dyDescent="0.45">
      <c r="A73" t="s">
        <v>479</v>
      </c>
      <c r="B73" t="s">
        <v>88</v>
      </c>
      <c r="C73">
        <v>8</v>
      </c>
      <c r="D73">
        <v>100</v>
      </c>
      <c r="E73">
        <v>132</v>
      </c>
      <c r="F73" s="12"/>
    </row>
    <row r="74" spans="1:6" x14ac:dyDescent="0.45">
      <c r="A74" t="s">
        <v>480</v>
      </c>
      <c r="B74" t="s">
        <v>88</v>
      </c>
      <c r="C74">
        <v>8</v>
      </c>
      <c r="D74">
        <v>100</v>
      </c>
      <c r="E74">
        <v>149</v>
      </c>
      <c r="F74" s="12"/>
    </row>
    <row r="75" spans="1:6" x14ac:dyDescent="0.45">
      <c r="A75" t="s">
        <v>481</v>
      </c>
      <c r="B75" t="s">
        <v>88</v>
      </c>
      <c r="C75">
        <v>8</v>
      </c>
      <c r="D75">
        <v>100</v>
      </c>
      <c r="E75">
        <v>166</v>
      </c>
      <c r="F75" s="12"/>
    </row>
    <row r="76" spans="1:6" x14ac:dyDescent="0.45">
      <c r="A76" t="s">
        <v>482</v>
      </c>
      <c r="B76" t="s">
        <v>88</v>
      </c>
      <c r="C76">
        <v>8</v>
      </c>
      <c r="D76">
        <v>100</v>
      </c>
      <c r="E76">
        <v>182</v>
      </c>
      <c r="F76" s="12"/>
    </row>
    <row r="77" spans="1:6" x14ac:dyDescent="0.45">
      <c r="A77" t="s">
        <v>483</v>
      </c>
      <c r="B77" t="s">
        <v>88</v>
      </c>
      <c r="C77">
        <v>8</v>
      </c>
      <c r="D77">
        <v>100</v>
      </c>
      <c r="E77">
        <v>199</v>
      </c>
      <c r="F77" s="12"/>
    </row>
    <row r="78" spans="1:6" x14ac:dyDescent="0.45">
      <c r="A78" t="s">
        <v>484</v>
      </c>
      <c r="B78" t="s">
        <v>88</v>
      </c>
      <c r="C78">
        <v>9</v>
      </c>
      <c r="D78">
        <v>100</v>
      </c>
      <c r="E78">
        <v>66</v>
      </c>
      <c r="F78" s="12"/>
    </row>
    <row r="79" spans="1:6" x14ac:dyDescent="0.45">
      <c r="A79" t="s">
        <v>485</v>
      </c>
      <c r="B79" t="s">
        <v>88</v>
      </c>
      <c r="C79">
        <v>9</v>
      </c>
      <c r="D79">
        <v>100</v>
      </c>
      <c r="E79">
        <v>82</v>
      </c>
      <c r="F79" s="12"/>
    </row>
    <row r="80" spans="1:6" x14ac:dyDescent="0.45">
      <c r="A80" t="s">
        <v>486</v>
      </c>
      <c r="B80" t="s">
        <v>88</v>
      </c>
      <c r="C80">
        <v>9</v>
      </c>
      <c r="D80">
        <v>100</v>
      </c>
      <c r="E80">
        <v>99</v>
      </c>
      <c r="F80" s="12"/>
    </row>
    <row r="81" spans="1:6" x14ac:dyDescent="0.45">
      <c r="A81" t="s">
        <v>487</v>
      </c>
      <c r="B81" t="s">
        <v>88</v>
      </c>
      <c r="C81">
        <v>9</v>
      </c>
      <c r="D81">
        <v>100</v>
      </c>
      <c r="E81">
        <v>116</v>
      </c>
      <c r="F81" s="12"/>
    </row>
    <row r="82" spans="1:6" x14ac:dyDescent="0.45">
      <c r="A82" t="s">
        <v>488</v>
      </c>
      <c r="B82" t="s">
        <v>88</v>
      </c>
      <c r="C82">
        <v>9</v>
      </c>
      <c r="D82">
        <v>100</v>
      </c>
      <c r="E82">
        <v>132</v>
      </c>
      <c r="F82" s="12"/>
    </row>
    <row r="83" spans="1:6" x14ac:dyDescent="0.45">
      <c r="A83" t="s">
        <v>489</v>
      </c>
      <c r="B83" t="s">
        <v>88</v>
      </c>
      <c r="C83">
        <v>9</v>
      </c>
      <c r="D83">
        <v>100</v>
      </c>
      <c r="E83">
        <v>149</v>
      </c>
      <c r="F83" s="12"/>
    </row>
    <row r="84" spans="1:6" x14ac:dyDescent="0.45">
      <c r="A84" t="s">
        <v>490</v>
      </c>
      <c r="B84" t="s">
        <v>88</v>
      </c>
      <c r="C84">
        <v>9</v>
      </c>
      <c r="D84">
        <v>100</v>
      </c>
      <c r="E84">
        <v>166</v>
      </c>
      <c r="F84" s="12"/>
    </row>
    <row r="85" spans="1:6" x14ac:dyDescent="0.45">
      <c r="A85" t="s">
        <v>491</v>
      </c>
      <c r="B85" t="s">
        <v>88</v>
      </c>
      <c r="C85">
        <v>9</v>
      </c>
      <c r="D85">
        <v>100</v>
      </c>
      <c r="E85">
        <v>182</v>
      </c>
      <c r="F85" s="12"/>
    </row>
    <row r="86" spans="1:6" x14ac:dyDescent="0.45">
      <c r="A86" t="s">
        <v>492</v>
      </c>
      <c r="B86" t="s">
        <v>88</v>
      </c>
      <c r="C86">
        <v>9</v>
      </c>
      <c r="D86">
        <v>100</v>
      </c>
      <c r="E86">
        <v>199</v>
      </c>
      <c r="F86" s="12"/>
    </row>
    <row r="87" spans="1:6" x14ac:dyDescent="0.45">
      <c r="A87" t="s">
        <v>493</v>
      </c>
      <c r="B87" t="s">
        <v>88</v>
      </c>
      <c r="C87">
        <v>10</v>
      </c>
      <c r="D87">
        <v>100</v>
      </c>
      <c r="E87">
        <v>32</v>
      </c>
      <c r="F87" s="12"/>
    </row>
    <row r="88" spans="1:6" x14ac:dyDescent="0.45">
      <c r="A88" t="s">
        <v>494</v>
      </c>
      <c r="B88" t="s">
        <v>88</v>
      </c>
      <c r="C88">
        <v>10</v>
      </c>
      <c r="D88">
        <v>100</v>
      </c>
      <c r="E88">
        <v>49</v>
      </c>
      <c r="F88" s="12"/>
    </row>
    <row r="89" spans="1:6" x14ac:dyDescent="0.45">
      <c r="A89" t="s">
        <v>495</v>
      </c>
      <c r="B89" t="s">
        <v>88</v>
      </c>
      <c r="C89">
        <v>10</v>
      </c>
      <c r="D89">
        <v>100</v>
      </c>
      <c r="E89">
        <v>66</v>
      </c>
      <c r="F89" s="12"/>
    </row>
    <row r="90" spans="1:6" x14ac:dyDescent="0.45">
      <c r="A90" t="s">
        <v>496</v>
      </c>
      <c r="B90" t="s">
        <v>88</v>
      </c>
      <c r="C90">
        <v>10</v>
      </c>
      <c r="D90">
        <v>100</v>
      </c>
      <c r="E90">
        <v>82</v>
      </c>
      <c r="F90" s="12"/>
    </row>
    <row r="91" spans="1:6" x14ac:dyDescent="0.45">
      <c r="A91" t="s">
        <v>497</v>
      </c>
      <c r="B91" t="s">
        <v>88</v>
      </c>
      <c r="C91">
        <v>10</v>
      </c>
      <c r="D91">
        <v>100</v>
      </c>
      <c r="E91">
        <v>99</v>
      </c>
      <c r="F91" s="12"/>
    </row>
    <row r="92" spans="1:6" x14ac:dyDescent="0.45">
      <c r="A92" t="s">
        <v>498</v>
      </c>
      <c r="B92" t="s">
        <v>88</v>
      </c>
      <c r="C92">
        <v>10</v>
      </c>
      <c r="D92">
        <v>100</v>
      </c>
      <c r="E92">
        <v>116</v>
      </c>
      <c r="F92" s="12"/>
    </row>
    <row r="93" spans="1:6" x14ac:dyDescent="0.45">
      <c r="A93" t="s">
        <v>499</v>
      </c>
      <c r="B93" t="s">
        <v>88</v>
      </c>
      <c r="C93">
        <v>10</v>
      </c>
      <c r="D93">
        <v>100</v>
      </c>
      <c r="E93">
        <v>132</v>
      </c>
      <c r="F93" s="12"/>
    </row>
    <row r="94" spans="1:6" x14ac:dyDescent="0.45">
      <c r="A94" t="s">
        <v>500</v>
      </c>
      <c r="B94" t="s">
        <v>88</v>
      </c>
      <c r="C94">
        <v>10</v>
      </c>
      <c r="D94">
        <v>100</v>
      </c>
      <c r="E94">
        <v>149</v>
      </c>
      <c r="F94" s="12"/>
    </row>
    <row r="95" spans="1:6" x14ac:dyDescent="0.45">
      <c r="A95" t="s">
        <v>501</v>
      </c>
      <c r="B95" t="s">
        <v>88</v>
      </c>
      <c r="C95">
        <v>10</v>
      </c>
      <c r="D95">
        <v>100</v>
      </c>
      <c r="E95">
        <v>166</v>
      </c>
      <c r="F95" s="12"/>
    </row>
    <row r="96" spans="1:6" x14ac:dyDescent="0.45">
      <c r="A96" t="s">
        <v>502</v>
      </c>
      <c r="B96" t="s">
        <v>88</v>
      </c>
      <c r="C96">
        <v>10</v>
      </c>
      <c r="D96">
        <v>100</v>
      </c>
      <c r="E96">
        <v>182</v>
      </c>
      <c r="F96" s="12"/>
    </row>
    <row r="97" spans="1:6" x14ac:dyDescent="0.45">
      <c r="A97" t="s">
        <v>503</v>
      </c>
      <c r="B97" t="s">
        <v>88</v>
      </c>
      <c r="C97">
        <v>10</v>
      </c>
      <c r="D97">
        <v>100</v>
      </c>
      <c r="E97">
        <v>199</v>
      </c>
      <c r="F97" s="12"/>
    </row>
    <row r="98" spans="1:6" x14ac:dyDescent="0.45">
      <c r="A98" t="s">
        <v>504</v>
      </c>
      <c r="B98" t="s">
        <v>88</v>
      </c>
      <c r="C98">
        <v>11</v>
      </c>
      <c r="D98">
        <v>100</v>
      </c>
      <c r="E98">
        <v>32</v>
      </c>
      <c r="F98" s="12"/>
    </row>
    <row r="99" spans="1:6" x14ac:dyDescent="0.45">
      <c r="A99" t="s">
        <v>505</v>
      </c>
      <c r="B99" t="s">
        <v>88</v>
      </c>
      <c r="C99">
        <v>11</v>
      </c>
      <c r="D99">
        <v>100</v>
      </c>
      <c r="E99">
        <v>49</v>
      </c>
      <c r="F99" s="12"/>
    </row>
    <row r="100" spans="1:6" x14ac:dyDescent="0.45">
      <c r="A100" t="s">
        <v>506</v>
      </c>
      <c r="B100" t="s">
        <v>88</v>
      </c>
      <c r="C100">
        <v>11</v>
      </c>
      <c r="D100">
        <v>100</v>
      </c>
      <c r="E100">
        <v>66</v>
      </c>
      <c r="F100" s="12"/>
    </row>
    <row r="101" spans="1:6" x14ac:dyDescent="0.45">
      <c r="A101" t="s">
        <v>507</v>
      </c>
      <c r="B101" t="s">
        <v>88</v>
      </c>
      <c r="C101">
        <v>11</v>
      </c>
      <c r="D101">
        <v>100</v>
      </c>
      <c r="E101">
        <v>82</v>
      </c>
      <c r="F101" s="12"/>
    </row>
    <row r="102" spans="1:6" x14ac:dyDescent="0.45">
      <c r="A102" t="s">
        <v>508</v>
      </c>
      <c r="B102" t="s">
        <v>88</v>
      </c>
      <c r="C102">
        <v>11</v>
      </c>
      <c r="D102">
        <v>100</v>
      </c>
      <c r="E102">
        <v>99</v>
      </c>
      <c r="F102" s="12"/>
    </row>
    <row r="103" spans="1:6" x14ac:dyDescent="0.45">
      <c r="A103" t="s">
        <v>509</v>
      </c>
      <c r="B103" t="s">
        <v>88</v>
      </c>
      <c r="C103">
        <v>11</v>
      </c>
      <c r="D103">
        <v>100</v>
      </c>
      <c r="E103">
        <v>116</v>
      </c>
      <c r="F103" s="12"/>
    </row>
    <row r="104" spans="1:6" x14ac:dyDescent="0.45">
      <c r="A104" t="s">
        <v>510</v>
      </c>
      <c r="B104" t="s">
        <v>88</v>
      </c>
      <c r="C104">
        <v>11</v>
      </c>
      <c r="D104">
        <v>100</v>
      </c>
      <c r="E104">
        <v>132</v>
      </c>
      <c r="F104" s="12"/>
    </row>
    <row r="105" spans="1:6" x14ac:dyDescent="0.45">
      <c r="A105" t="s">
        <v>511</v>
      </c>
      <c r="B105" t="s">
        <v>88</v>
      </c>
      <c r="C105">
        <v>11</v>
      </c>
      <c r="D105">
        <v>100</v>
      </c>
      <c r="E105">
        <v>149</v>
      </c>
      <c r="F105" s="12"/>
    </row>
    <row r="106" spans="1:6" x14ac:dyDescent="0.45">
      <c r="A106" t="s">
        <v>512</v>
      </c>
      <c r="B106" t="s">
        <v>88</v>
      </c>
      <c r="C106">
        <v>11</v>
      </c>
      <c r="D106">
        <v>100</v>
      </c>
      <c r="E106">
        <v>166</v>
      </c>
      <c r="F106" s="12"/>
    </row>
    <row r="107" spans="1:6" x14ac:dyDescent="0.45">
      <c r="A107" t="s">
        <v>513</v>
      </c>
      <c r="B107" t="s">
        <v>88</v>
      </c>
      <c r="C107">
        <v>11</v>
      </c>
      <c r="D107">
        <v>100</v>
      </c>
      <c r="E107">
        <v>182</v>
      </c>
      <c r="F107" s="12"/>
    </row>
    <row r="108" spans="1:6" x14ac:dyDescent="0.45">
      <c r="A108" t="s">
        <v>514</v>
      </c>
      <c r="B108" t="s">
        <v>88</v>
      </c>
      <c r="C108">
        <v>11</v>
      </c>
      <c r="D108">
        <v>100</v>
      </c>
      <c r="E108">
        <v>199</v>
      </c>
      <c r="F108" s="12"/>
    </row>
    <row r="109" spans="1:6" x14ac:dyDescent="0.45">
      <c r="A109" t="s">
        <v>515</v>
      </c>
      <c r="B109" t="s">
        <v>88</v>
      </c>
      <c r="C109">
        <v>12</v>
      </c>
      <c r="D109">
        <v>100</v>
      </c>
      <c r="E109">
        <v>32</v>
      </c>
      <c r="F109" s="12"/>
    </row>
    <row r="110" spans="1:6" x14ac:dyDescent="0.45">
      <c r="A110" t="s">
        <v>516</v>
      </c>
      <c r="B110" t="s">
        <v>88</v>
      </c>
      <c r="C110">
        <v>12</v>
      </c>
      <c r="D110">
        <v>100</v>
      </c>
      <c r="E110">
        <v>49</v>
      </c>
      <c r="F110" s="12"/>
    </row>
    <row r="111" spans="1:6" x14ac:dyDescent="0.45">
      <c r="A111" t="s">
        <v>517</v>
      </c>
      <c r="B111" t="s">
        <v>88</v>
      </c>
      <c r="C111">
        <v>12</v>
      </c>
      <c r="D111">
        <v>100</v>
      </c>
      <c r="E111">
        <v>66</v>
      </c>
      <c r="F111" s="12"/>
    </row>
    <row r="112" spans="1:6" x14ac:dyDescent="0.45">
      <c r="A112" t="s">
        <v>518</v>
      </c>
      <c r="B112" t="s">
        <v>88</v>
      </c>
      <c r="C112">
        <v>12</v>
      </c>
      <c r="D112">
        <v>100</v>
      </c>
      <c r="E112">
        <v>82</v>
      </c>
      <c r="F112" s="12"/>
    </row>
    <row r="113" spans="1:6" x14ac:dyDescent="0.45">
      <c r="A113" t="s">
        <v>519</v>
      </c>
      <c r="B113" t="s">
        <v>88</v>
      </c>
      <c r="C113">
        <v>12</v>
      </c>
      <c r="D113">
        <v>100</v>
      </c>
      <c r="E113">
        <v>99</v>
      </c>
      <c r="F113" s="12"/>
    </row>
    <row r="114" spans="1:6" x14ac:dyDescent="0.45">
      <c r="A114" t="s">
        <v>520</v>
      </c>
      <c r="B114" t="s">
        <v>88</v>
      </c>
      <c r="C114">
        <v>12</v>
      </c>
      <c r="D114">
        <v>100</v>
      </c>
      <c r="E114">
        <v>116</v>
      </c>
      <c r="F114" s="12"/>
    </row>
    <row r="115" spans="1:6" x14ac:dyDescent="0.45">
      <c r="A115" t="s">
        <v>521</v>
      </c>
      <c r="B115" t="s">
        <v>88</v>
      </c>
      <c r="C115">
        <v>12</v>
      </c>
      <c r="D115">
        <v>100</v>
      </c>
      <c r="E115">
        <v>132</v>
      </c>
      <c r="F115" s="12"/>
    </row>
    <row r="116" spans="1:6" x14ac:dyDescent="0.45">
      <c r="A116" t="s">
        <v>522</v>
      </c>
      <c r="B116" t="s">
        <v>88</v>
      </c>
      <c r="C116">
        <v>12</v>
      </c>
      <c r="D116">
        <v>100</v>
      </c>
      <c r="E116">
        <v>149</v>
      </c>
      <c r="F116" s="12"/>
    </row>
    <row r="117" spans="1:6" x14ac:dyDescent="0.45">
      <c r="A117" t="s">
        <v>523</v>
      </c>
      <c r="B117" t="s">
        <v>88</v>
      </c>
      <c r="C117">
        <v>12</v>
      </c>
      <c r="D117">
        <v>100</v>
      </c>
      <c r="E117">
        <v>166</v>
      </c>
      <c r="F117" s="12"/>
    </row>
    <row r="118" spans="1:6" x14ac:dyDescent="0.45">
      <c r="A118" t="s">
        <v>524</v>
      </c>
      <c r="B118" t="s">
        <v>88</v>
      </c>
      <c r="C118">
        <v>12</v>
      </c>
      <c r="D118">
        <v>100</v>
      </c>
      <c r="E118">
        <v>182</v>
      </c>
      <c r="F118" s="12"/>
    </row>
    <row r="119" spans="1:6" x14ac:dyDescent="0.45">
      <c r="A119" t="s">
        <v>525</v>
      </c>
      <c r="B119" t="s">
        <v>88</v>
      </c>
      <c r="C119">
        <v>12</v>
      </c>
      <c r="D119">
        <v>100</v>
      </c>
      <c r="E119">
        <v>199</v>
      </c>
      <c r="F119" s="12"/>
    </row>
    <row r="120" spans="1:6" x14ac:dyDescent="0.45">
      <c r="A120" t="s">
        <v>526</v>
      </c>
      <c r="B120" t="s">
        <v>88</v>
      </c>
      <c r="C120">
        <v>13</v>
      </c>
      <c r="D120">
        <v>100</v>
      </c>
      <c r="E120">
        <v>32</v>
      </c>
      <c r="F120" s="12"/>
    </row>
    <row r="121" spans="1:6" x14ac:dyDescent="0.45">
      <c r="A121" t="s">
        <v>527</v>
      </c>
      <c r="B121" t="s">
        <v>88</v>
      </c>
      <c r="C121">
        <v>13</v>
      </c>
      <c r="D121">
        <v>100</v>
      </c>
      <c r="E121">
        <v>49</v>
      </c>
      <c r="F121" s="12"/>
    </row>
    <row r="122" spans="1:6" x14ac:dyDescent="0.45">
      <c r="A122" t="s">
        <v>528</v>
      </c>
      <c r="B122" t="s">
        <v>88</v>
      </c>
      <c r="C122">
        <v>13</v>
      </c>
      <c r="D122">
        <v>100</v>
      </c>
      <c r="E122">
        <v>66</v>
      </c>
      <c r="F122" s="12"/>
    </row>
    <row r="123" spans="1:6" x14ac:dyDescent="0.45">
      <c r="A123" t="s">
        <v>529</v>
      </c>
      <c r="B123" t="s">
        <v>88</v>
      </c>
      <c r="C123">
        <v>13</v>
      </c>
      <c r="D123">
        <v>100</v>
      </c>
      <c r="E123">
        <v>82</v>
      </c>
      <c r="F123" s="12"/>
    </row>
    <row r="124" spans="1:6" x14ac:dyDescent="0.45">
      <c r="A124" t="s">
        <v>530</v>
      </c>
      <c r="B124" t="s">
        <v>88</v>
      </c>
      <c r="C124">
        <v>13</v>
      </c>
      <c r="D124">
        <v>100</v>
      </c>
      <c r="E124">
        <v>99</v>
      </c>
      <c r="F124" s="12"/>
    </row>
    <row r="125" spans="1:6" x14ac:dyDescent="0.45">
      <c r="A125" t="s">
        <v>531</v>
      </c>
      <c r="B125" t="s">
        <v>88</v>
      </c>
      <c r="C125">
        <v>13</v>
      </c>
      <c r="D125">
        <v>100</v>
      </c>
      <c r="E125">
        <v>116</v>
      </c>
      <c r="F125" s="12"/>
    </row>
    <row r="126" spans="1:6" x14ac:dyDescent="0.45">
      <c r="A126" t="s">
        <v>532</v>
      </c>
      <c r="B126" t="s">
        <v>88</v>
      </c>
      <c r="C126">
        <v>13</v>
      </c>
      <c r="D126">
        <v>100</v>
      </c>
      <c r="E126">
        <v>132</v>
      </c>
      <c r="F126" s="12"/>
    </row>
    <row r="127" spans="1:6" x14ac:dyDescent="0.45">
      <c r="A127" t="s">
        <v>533</v>
      </c>
      <c r="B127" t="s">
        <v>88</v>
      </c>
      <c r="C127">
        <v>13</v>
      </c>
      <c r="D127">
        <v>100</v>
      </c>
      <c r="E127">
        <v>149</v>
      </c>
      <c r="F127" s="12"/>
    </row>
    <row r="128" spans="1:6" x14ac:dyDescent="0.45">
      <c r="A128" t="s">
        <v>534</v>
      </c>
      <c r="B128" t="s">
        <v>88</v>
      </c>
      <c r="C128">
        <v>13</v>
      </c>
      <c r="D128">
        <v>100</v>
      </c>
      <c r="E128">
        <v>166</v>
      </c>
      <c r="F128" s="12"/>
    </row>
    <row r="129" spans="1:6" x14ac:dyDescent="0.45">
      <c r="A129" t="s">
        <v>535</v>
      </c>
      <c r="B129" t="s">
        <v>88</v>
      </c>
      <c r="C129">
        <v>13</v>
      </c>
      <c r="D129">
        <v>100</v>
      </c>
      <c r="E129">
        <v>182</v>
      </c>
      <c r="F129" s="12"/>
    </row>
    <row r="130" spans="1:6" x14ac:dyDescent="0.45">
      <c r="A130" t="s">
        <v>536</v>
      </c>
      <c r="B130" t="s">
        <v>88</v>
      </c>
      <c r="C130">
        <v>13</v>
      </c>
      <c r="D130">
        <v>100</v>
      </c>
      <c r="E130">
        <v>199</v>
      </c>
      <c r="F130" s="12"/>
    </row>
    <row r="131" spans="1:6" x14ac:dyDescent="0.45">
      <c r="A131" t="s">
        <v>537</v>
      </c>
      <c r="B131" t="s">
        <v>88</v>
      </c>
      <c r="C131">
        <v>14</v>
      </c>
      <c r="D131">
        <v>100</v>
      </c>
      <c r="E131">
        <v>32</v>
      </c>
      <c r="F131" s="12"/>
    </row>
    <row r="132" spans="1:6" x14ac:dyDescent="0.45">
      <c r="A132" t="s">
        <v>538</v>
      </c>
      <c r="B132" t="s">
        <v>88</v>
      </c>
      <c r="C132">
        <v>14</v>
      </c>
      <c r="D132">
        <v>100</v>
      </c>
      <c r="E132">
        <v>49</v>
      </c>
      <c r="F132" s="12"/>
    </row>
    <row r="133" spans="1:6" x14ac:dyDescent="0.45">
      <c r="A133" t="s">
        <v>539</v>
      </c>
      <c r="B133" t="s">
        <v>88</v>
      </c>
      <c r="C133">
        <v>14</v>
      </c>
      <c r="D133">
        <v>100</v>
      </c>
      <c r="E133">
        <v>66</v>
      </c>
      <c r="F133" s="12"/>
    </row>
    <row r="134" spans="1:6" x14ac:dyDescent="0.45">
      <c r="A134" t="s">
        <v>540</v>
      </c>
      <c r="B134" t="s">
        <v>88</v>
      </c>
      <c r="C134">
        <v>14</v>
      </c>
      <c r="D134">
        <v>100</v>
      </c>
      <c r="E134">
        <v>82</v>
      </c>
      <c r="F134" s="12"/>
    </row>
    <row r="135" spans="1:6" x14ac:dyDescent="0.45">
      <c r="A135" t="s">
        <v>541</v>
      </c>
      <c r="B135" t="s">
        <v>88</v>
      </c>
      <c r="C135">
        <v>14</v>
      </c>
      <c r="D135">
        <v>100</v>
      </c>
      <c r="E135">
        <v>99</v>
      </c>
      <c r="F135" s="12"/>
    </row>
    <row r="136" spans="1:6" x14ac:dyDescent="0.45">
      <c r="A136" t="s">
        <v>542</v>
      </c>
      <c r="B136" t="s">
        <v>88</v>
      </c>
      <c r="C136">
        <v>14</v>
      </c>
      <c r="D136">
        <v>100</v>
      </c>
      <c r="E136">
        <v>116</v>
      </c>
      <c r="F136" s="12"/>
    </row>
    <row r="137" spans="1:6" x14ac:dyDescent="0.45">
      <c r="A137" t="s">
        <v>543</v>
      </c>
      <c r="B137" t="s">
        <v>88</v>
      </c>
      <c r="C137">
        <v>14</v>
      </c>
      <c r="D137">
        <v>100</v>
      </c>
      <c r="E137">
        <v>132</v>
      </c>
      <c r="F137" s="12"/>
    </row>
    <row r="138" spans="1:6" x14ac:dyDescent="0.45">
      <c r="A138" t="s">
        <v>544</v>
      </c>
      <c r="B138" t="s">
        <v>88</v>
      </c>
      <c r="C138">
        <v>14</v>
      </c>
      <c r="D138">
        <v>100</v>
      </c>
      <c r="E138">
        <v>149</v>
      </c>
      <c r="F138" s="12"/>
    </row>
    <row r="139" spans="1:6" x14ac:dyDescent="0.45">
      <c r="A139" t="s">
        <v>545</v>
      </c>
      <c r="B139" t="s">
        <v>88</v>
      </c>
      <c r="C139">
        <v>14</v>
      </c>
      <c r="D139">
        <v>100</v>
      </c>
      <c r="E139">
        <v>166</v>
      </c>
      <c r="F139" s="12"/>
    </row>
    <row r="140" spans="1:6" x14ac:dyDescent="0.45">
      <c r="A140" t="s">
        <v>546</v>
      </c>
      <c r="B140" t="s">
        <v>88</v>
      </c>
      <c r="C140">
        <v>14</v>
      </c>
      <c r="D140">
        <v>100</v>
      </c>
      <c r="E140">
        <v>182</v>
      </c>
      <c r="F140" s="12"/>
    </row>
    <row r="141" spans="1:6" x14ac:dyDescent="0.45">
      <c r="A141" t="s">
        <v>547</v>
      </c>
      <c r="B141" t="s">
        <v>88</v>
      </c>
      <c r="C141">
        <v>14</v>
      </c>
      <c r="D141">
        <v>100</v>
      </c>
      <c r="E141">
        <v>199</v>
      </c>
      <c r="F141" s="12"/>
    </row>
    <row r="142" spans="1:6" x14ac:dyDescent="0.45">
      <c r="A142" t="s">
        <v>548</v>
      </c>
      <c r="B142" t="s">
        <v>88</v>
      </c>
      <c r="C142">
        <v>15</v>
      </c>
      <c r="D142">
        <v>100</v>
      </c>
      <c r="E142">
        <v>24</v>
      </c>
      <c r="F142" s="12"/>
    </row>
    <row r="143" spans="1:6" x14ac:dyDescent="0.45">
      <c r="A143" t="s">
        <v>549</v>
      </c>
      <c r="B143" t="s">
        <v>88</v>
      </c>
      <c r="C143">
        <v>15</v>
      </c>
      <c r="D143">
        <v>100</v>
      </c>
      <c r="E143">
        <v>32</v>
      </c>
      <c r="F143" s="12"/>
    </row>
    <row r="144" spans="1:6" x14ac:dyDescent="0.45">
      <c r="A144" t="s">
        <v>550</v>
      </c>
      <c r="B144" t="s">
        <v>88</v>
      </c>
      <c r="C144">
        <v>15</v>
      </c>
      <c r="D144">
        <v>100</v>
      </c>
      <c r="E144">
        <v>49</v>
      </c>
      <c r="F144" s="12"/>
    </row>
    <row r="145" spans="1:6" x14ac:dyDescent="0.45">
      <c r="A145" t="s">
        <v>551</v>
      </c>
      <c r="B145" t="s">
        <v>88</v>
      </c>
      <c r="C145">
        <v>15</v>
      </c>
      <c r="D145">
        <v>100</v>
      </c>
      <c r="E145">
        <v>66</v>
      </c>
      <c r="F145" s="12"/>
    </row>
    <row r="146" spans="1:6" x14ac:dyDescent="0.45">
      <c r="A146" t="s">
        <v>552</v>
      </c>
      <c r="B146" t="s">
        <v>88</v>
      </c>
      <c r="C146">
        <v>15</v>
      </c>
      <c r="D146">
        <v>100</v>
      </c>
      <c r="E146">
        <v>82</v>
      </c>
      <c r="F146" s="12"/>
    </row>
    <row r="147" spans="1:6" x14ac:dyDescent="0.45">
      <c r="A147" t="s">
        <v>553</v>
      </c>
      <c r="B147" t="s">
        <v>88</v>
      </c>
      <c r="C147">
        <v>15</v>
      </c>
      <c r="D147">
        <v>100</v>
      </c>
      <c r="E147">
        <v>99</v>
      </c>
      <c r="F147" s="12"/>
    </row>
    <row r="148" spans="1:6" x14ac:dyDescent="0.45">
      <c r="A148" t="s">
        <v>554</v>
      </c>
      <c r="B148" t="s">
        <v>88</v>
      </c>
      <c r="C148">
        <v>15</v>
      </c>
      <c r="D148">
        <v>100</v>
      </c>
      <c r="E148">
        <v>116</v>
      </c>
      <c r="F148" s="12"/>
    </row>
    <row r="149" spans="1:6" x14ac:dyDescent="0.45">
      <c r="A149" t="s">
        <v>555</v>
      </c>
      <c r="B149" t="s">
        <v>88</v>
      </c>
      <c r="C149">
        <v>15</v>
      </c>
      <c r="D149">
        <v>100</v>
      </c>
      <c r="E149">
        <v>132</v>
      </c>
      <c r="F149" s="12"/>
    </row>
    <row r="150" spans="1:6" x14ac:dyDescent="0.45">
      <c r="A150" t="s">
        <v>556</v>
      </c>
      <c r="B150" t="s">
        <v>88</v>
      </c>
      <c r="C150">
        <v>15</v>
      </c>
      <c r="D150">
        <v>100</v>
      </c>
      <c r="E150">
        <v>149</v>
      </c>
      <c r="F150" s="12"/>
    </row>
    <row r="151" spans="1:6" x14ac:dyDescent="0.45">
      <c r="A151" t="s">
        <v>557</v>
      </c>
      <c r="B151" t="s">
        <v>88</v>
      </c>
      <c r="C151">
        <v>15</v>
      </c>
      <c r="D151">
        <v>100</v>
      </c>
      <c r="E151">
        <v>166</v>
      </c>
      <c r="F151" s="12"/>
    </row>
    <row r="152" spans="1:6" x14ac:dyDescent="0.45">
      <c r="A152" t="s">
        <v>558</v>
      </c>
      <c r="B152" t="s">
        <v>88</v>
      </c>
      <c r="C152">
        <v>15</v>
      </c>
      <c r="D152">
        <v>100</v>
      </c>
      <c r="E152">
        <v>182</v>
      </c>
      <c r="F152" s="12"/>
    </row>
    <row r="153" spans="1:6" x14ac:dyDescent="0.45">
      <c r="A153" t="s">
        <v>559</v>
      </c>
      <c r="B153" t="s">
        <v>88</v>
      </c>
      <c r="C153">
        <v>15</v>
      </c>
      <c r="D153">
        <v>100</v>
      </c>
      <c r="E153">
        <v>199</v>
      </c>
      <c r="F153" s="12"/>
    </row>
    <row r="154" spans="1:6" x14ac:dyDescent="0.45">
      <c r="A154" t="s">
        <v>560</v>
      </c>
      <c r="B154" t="s">
        <v>88</v>
      </c>
      <c r="C154">
        <v>16</v>
      </c>
      <c r="D154">
        <v>100</v>
      </c>
      <c r="E154">
        <v>24</v>
      </c>
      <c r="F154" s="12"/>
    </row>
    <row r="155" spans="1:6" x14ac:dyDescent="0.45">
      <c r="A155" t="s">
        <v>561</v>
      </c>
      <c r="B155" t="s">
        <v>88</v>
      </c>
      <c r="C155">
        <v>16</v>
      </c>
      <c r="D155">
        <v>100</v>
      </c>
      <c r="E155">
        <v>32</v>
      </c>
      <c r="F155" s="12"/>
    </row>
    <row r="156" spans="1:6" x14ac:dyDescent="0.45">
      <c r="A156" t="s">
        <v>562</v>
      </c>
      <c r="B156" t="s">
        <v>88</v>
      </c>
      <c r="C156">
        <v>16</v>
      </c>
      <c r="D156">
        <v>100</v>
      </c>
      <c r="E156">
        <v>49</v>
      </c>
      <c r="F156" s="12"/>
    </row>
    <row r="157" spans="1:6" x14ac:dyDescent="0.45">
      <c r="A157" t="s">
        <v>563</v>
      </c>
      <c r="B157" t="s">
        <v>88</v>
      </c>
      <c r="C157">
        <v>16</v>
      </c>
      <c r="D157">
        <v>100</v>
      </c>
      <c r="E157">
        <v>66</v>
      </c>
      <c r="F157" s="12"/>
    </row>
    <row r="158" spans="1:6" x14ac:dyDescent="0.45">
      <c r="A158" t="s">
        <v>564</v>
      </c>
      <c r="B158" t="s">
        <v>88</v>
      </c>
      <c r="C158">
        <v>16</v>
      </c>
      <c r="D158">
        <v>100</v>
      </c>
      <c r="E158">
        <v>82</v>
      </c>
      <c r="F158" s="12"/>
    </row>
    <row r="159" spans="1:6" x14ac:dyDescent="0.45">
      <c r="A159" t="s">
        <v>565</v>
      </c>
      <c r="B159" t="s">
        <v>88</v>
      </c>
      <c r="C159">
        <v>16</v>
      </c>
      <c r="D159">
        <v>100</v>
      </c>
      <c r="E159">
        <v>99</v>
      </c>
      <c r="F159" s="12"/>
    </row>
    <row r="160" spans="1:6" x14ac:dyDescent="0.45">
      <c r="A160" t="s">
        <v>566</v>
      </c>
      <c r="B160" t="s">
        <v>88</v>
      </c>
      <c r="C160">
        <v>16</v>
      </c>
      <c r="D160">
        <v>100</v>
      </c>
      <c r="E160">
        <v>116</v>
      </c>
      <c r="F160" s="12"/>
    </row>
    <row r="161" spans="1:6" x14ac:dyDescent="0.45">
      <c r="A161" t="s">
        <v>567</v>
      </c>
      <c r="B161" t="s">
        <v>88</v>
      </c>
      <c r="C161">
        <v>16</v>
      </c>
      <c r="D161">
        <v>100</v>
      </c>
      <c r="E161">
        <v>132</v>
      </c>
      <c r="F161" s="12"/>
    </row>
    <row r="162" spans="1:6" x14ac:dyDescent="0.45">
      <c r="A162" t="s">
        <v>568</v>
      </c>
      <c r="B162" t="s">
        <v>88</v>
      </c>
      <c r="C162">
        <v>16</v>
      </c>
      <c r="D162">
        <v>100</v>
      </c>
      <c r="E162">
        <v>149</v>
      </c>
      <c r="F162" s="12"/>
    </row>
    <row r="163" spans="1:6" x14ac:dyDescent="0.45">
      <c r="A163" t="s">
        <v>569</v>
      </c>
      <c r="B163" t="s">
        <v>88</v>
      </c>
      <c r="C163">
        <v>16</v>
      </c>
      <c r="D163">
        <v>100</v>
      </c>
      <c r="E163">
        <v>166</v>
      </c>
      <c r="F163" s="12"/>
    </row>
    <row r="164" spans="1:6" x14ac:dyDescent="0.45">
      <c r="A164" t="s">
        <v>570</v>
      </c>
      <c r="B164" t="s">
        <v>88</v>
      </c>
      <c r="C164">
        <v>16</v>
      </c>
      <c r="D164">
        <v>100</v>
      </c>
      <c r="E164">
        <v>182</v>
      </c>
      <c r="F164" s="12"/>
    </row>
    <row r="165" spans="1:6" x14ac:dyDescent="0.45">
      <c r="A165" t="s">
        <v>571</v>
      </c>
      <c r="B165" t="s">
        <v>88</v>
      </c>
      <c r="C165">
        <v>16</v>
      </c>
      <c r="D165">
        <v>100</v>
      </c>
      <c r="E165">
        <v>199</v>
      </c>
      <c r="F165" s="12"/>
    </row>
    <row r="166" spans="1:6" x14ac:dyDescent="0.45">
      <c r="A166" t="s">
        <v>572</v>
      </c>
      <c r="B166" t="s">
        <v>88</v>
      </c>
      <c r="C166">
        <v>17</v>
      </c>
      <c r="D166">
        <v>100</v>
      </c>
      <c r="E166">
        <v>24</v>
      </c>
      <c r="F166" s="12"/>
    </row>
    <row r="167" spans="1:6" x14ac:dyDescent="0.45">
      <c r="A167" t="s">
        <v>573</v>
      </c>
      <c r="B167" t="s">
        <v>88</v>
      </c>
      <c r="C167">
        <v>17</v>
      </c>
      <c r="D167">
        <v>100</v>
      </c>
      <c r="E167">
        <v>32</v>
      </c>
      <c r="F167" s="12"/>
    </row>
    <row r="168" spans="1:6" x14ac:dyDescent="0.45">
      <c r="A168" t="s">
        <v>574</v>
      </c>
      <c r="B168" t="s">
        <v>88</v>
      </c>
      <c r="C168">
        <v>17</v>
      </c>
      <c r="D168">
        <v>100</v>
      </c>
      <c r="E168">
        <v>49</v>
      </c>
      <c r="F168" s="12"/>
    </row>
    <row r="169" spans="1:6" x14ac:dyDescent="0.45">
      <c r="A169" t="s">
        <v>575</v>
      </c>
      <c r="B169" t="s">
        <v>88</v>
      </c>
      <c r="C169">
        <v>17</v>
      </c>
      <c r="D169">
        <v>100</v>
      </c>
      <c r="E169">
        <v>66</v>
      </c>
      <c r="F169" s="12"/>
    </row>
    <row r="170" spans="1:6" x14ac:dyDescent="0.45">
      <c r="A170" t="s">
        <v>576</v>
      </c>
      <c r="B170" t="s">
        <v>88</v>
      </c>
      <c r="C170">
        <v>17</v>
      </c>
      <c r="D170">
        <v>100</v>
      </c>
      <c r="E170">
        <v>82</v>
      </c>
      <c r="F170" s="12"/>
    </row>
    <row r="171" spans="1:6" x14ac:dyDescent="0.45">
      <c r="A171" t="s">
        <v>577</v>
      </c>
      <c r="B171" t="s">
        <v>88</v>
      </c>
      <c r="C171">
        <v>17</v>
      </c>
      <c r="D171">
        <v>100</v>
      </c>
      <c r="E171">
        <v>99</v>
      </c>
      <c r="F171" s="12"/>
    </row>
    <row r="172" spans="1:6" x14ac:dyDescent="0.45">
      <c r="A172" t="s">
        <v>578</v>
      </c>
      <c r="B172" t="s">
        <v>88</v>
      </c>
      <c r="C172">
        <v>17</v>
      </c>
      <c r="D172">
        <v>100</v>
      </c>
      <c r="E172">
        <v>116</v>
      </c>
      <c r="F172" s="12"/>
    </row>
    <row r="173" spans="1:6" x14ac:dyDescent="0.45">
      <c r="A173" t="s">
        <v>579</v>
      </c>
      <c r="B173" t="s">
        <v>88</v>
      </c>
      <c r="C173">
        <v>17</v>
      </c>
      <c r="D173">
        <v>100</v>
      </c>
      <c r="E173">
        <v>132</v>
      </c>
      <c r="F173" s="12"/>
    </row>
    <row r="174" spans="1:6" x14ac:dyDescent="0.45">
      <c r="A174" t="s">
        <v>580</v>
      </c>
      <c r="B174" t="s">
        <v>88</v>
      </c>
      <c r="C174">
        <v>17</v>
      </c>
      <c r="D174">
        <v>100</v>
      </c>
      <c r="E174">
        <v>149</v>
      </c>
      <c r="F174" s="12"/>
    </row>
    <row r="175" spans="1:6" x14ac:dyDescent="0.45">
      <c r="A175" t="s">
        <v>581</v>
      </c>
      <c r="B175" t="s">
        <v>88</v>
      </c>
      <c r="C175">
        <v>17</v>
      </c>
      <c r="D175">
        <v>100</v>
      </c>
      <c r="E175">
        <v>166</v>
      </c>
      <c r="F175" s="12"/>
    </row>
    <row r="176" spans="1:6" x14ac:dyDescent="0.45">
      <c r="A176" t="s">
        <v>582</v>
      </c>
      <c r="B176" t="s">
        <v>88</v>
      </c>
      <c r="C176">
        <v>17</v>
      </c>
      <c r="D176">
        <v>100</v>
      </c>
      <c r="E176">
        <v>182</v>
      </c>
      <c r="F176" s="12"/>
    </row>
    <row r="177" spans="1:6" x14ac:dyDescent="0.45">
      <c r="A177" t="s">
        <v>583</v>
      </c>
      <c r="B177" t="s">
        <v>88</v>
      </c>
      <c r="C177">
        <v>17</v>
      </c>
      <c r="D177">
        <v>100</v>
      </c>
      <c r="E177">
        <v>199</v>
      </c>
      <c r="F177" s="12"/>
    </row>
    <row r="178" spans="1:6" x14ac:dyDescent="0.45">
      <c r="A178" t="s">
        <v>584</v>
      </c>
      <c r="B178" t="s">
        <v>88</v>
      </c>
      <c r="C178">
        <v>18</v>
      </c>
      <c r="D178">
        <v>100</v>
      </c>
      <c r="E178">
        <v>24</v>
      </c>
      <c r="F178" s="12"/>
    </row>
    <row r="179" spans="1:6" x14ac:dyDescent="0.45">
      <c r="A179" t="s">
        <v>585</v>
      </c>
      <c r="B179" t="s">
        <v>88</v>
      </c>
      <c r="C179">
        <v>18</v>
      </c>
      <c r="D179">
        <v>100</v>
      </c>
      <c r="E179">
        <v>32</v>
      </c>
      <c r="F179" s="12"/>
    </row>
    <row r="180" spans="1:6" x14ac:dyDescent="0.45">
      <c r="A180" t="s">
        <v>586</v>
      </c>
      <c r="B180" t="s">
        <v>88</v>
      </c>
      <c r="C180">
        <v>18</v>
      </c>
      <c r="D180">
        <v>100</v>
      </c>
      <c r="E180">
        <v>49</v>
      </c>
      <c r="F180" s="12"/>
    </row>
    <row r="181" spans="1:6" x14ac:dyDescent="0.45">
      <c r="A181" t="s">
        <v>587</v>
      </c>
      <c r="B181" t="s">
        <v>88</v>
      </c>
      <c r="C181">
        <v>18</v>
      </c>
      <c r="D181">
        <v>100</v>
      </c>
      <c r="E181">
        <v>66</v>
      </c>
      <c r="F181" s="12"/>
    </row>
    <row r="182" spans="1:6" x14ac:dyDescent="0.45">
      <c r="A182" t="s">
        <v>588</v>
      </c>
      <c r="B182" t="s">
        <v>88</v>
      </c>
      <c r="C182">
        <v>18</v>
      </c>
      <c r="D182">
        <v>100</v>
      </c>
      <c r="E182">
        <v>82</v>
      </c>
      <c r="F182" s="12"/>
    </row>
    <row r="183" spans="1:6" x14ac:dyDescent="0.45">
      <c r="A183" t="s">
        <v>589</v>
      </c>
      <c r="B183" t="s">
        <v>88</v>
      </c>
      <c r="C183">
        <v>18</v>
      </c>
      <c r="D183">
        <v>100</v>
      </c>
      <c r="E183">
        <v>99</v>
      </c>
      <c r="F183" s="12"/>
    </row>
    <row r="184" spans="1:6" x14ac:dyDescent="0.45">
      <c r="A184" t="s">
        <v>590</v>
      </c>
      <c r="B184" t="s">
        <v>88</v>
      </c>
      <c r="C184">
        <v>18</v>
      </c>
      <c r="D184">
        <v>100</v>
      </c>
      <c r="E184">
        <v>116</v>
      </c>
      <c r="F184" s="12"/>
    </row>
    <row r="185" spans="1:6" x14ac:dyDescent="0.45">
      <c r="A185" t="s">
        <v>591</v>
      </c>
      <c r="B185" t="s">
        <v>88</v>
      </c>
      <c r="C185">
        <v>18</v>
      </c>
      <c r="D185">
        <v>100</v>
      </c>
      <c r="E185">
        <v>132</v>
      </c>
      <c r="F185" s="12"/>
    </row>
    <row r="186" spans="1:6" x14ac:dyDescent="0.45">
      <c r="A186" t="s">
        <v>592</v>
      </c>
      <c r="B186" t="s">
        <v>88</v>
      </c>
      <c r="C186">
        <v>18</v>
      </c>
      <c r="D186">
        <v>100</v>
      </c>
      <c r="E186">
        <v>149</v>
      </c>
      <c r="F186" s="12"/>
    </row>
    <row r="187" spans="1:6" x14ac:dyDescent="0.45">
      <c r="A187" t="s">
        <v>593</v>
      </c>
      <c r="B187" t="s">
        <v>88</v>
      </c>
      <c r="C187">
        <v>18</v>
      </c>
      <c r="D187">
        <v>100</v>
      </c>
      <c r="E187">
        <v>166</v>
      </c>
      <c r="F187" s="12"/>
    </row>
    <row r="188" spans="1:6" x14ac:dyDescent="0.45">
      <c r="A188" t="s">
        <v>594</v>
      </c>
      <c r="B188" t="s">
        <v>88</v>
      </c>
      <c r="C188">
        <v>18</v>
      </c>
      <c r="D188">
        <v>100</v>
      </c>
      <c r="E188">
        <v>182</v>
      </c>
      <c r="F188" s="12"/>
    </row>
    <row r="189" spans="1:6" x14ac:dyDescent="0.45">
      <c r="A189" t="s">
        <v>595</v>
      </c>
      <c r="B189" t="s">
        <v>88</v>
      </c>
      <c r="C189">
        <v>18</v>
      </c>
      <c r="D189">
        <v>100</v>
      </c>
      <c r="E189">
        <v>199</v>
      </c>
      <c r="F189" s="12"/>
    </row>
    <row r="190" spans="1:6" x14ac:dyDescent="0.45">
      <c r="A190" t="s">
        <v>596</v>
      </c>
      <c r="B190" t="s">
        <v>88</v>
      </c>
      <c r="C190">
        <v>19</v>
      </c>
      <c r="D190">
        <v>100</v>
      </c>
      <c r="E190">
        <v>24</v>
      </c>
      <c r="F190" s="12"/>
    </row>
    <row r="191" spans="1:6" x14ac:dyDescent="0.45">
      <c r="A191" t="s">
        <v>597</v>
      </c>
      <c r="B191" t="s">
        <v>88</v>
      </c>
      <c r="C191">
        <v>19</v>
      </c>
      <c r="D191">
        <v>100</v>
      </c>
      <c r="E191">
        <v>32</v>
      </c>
      <c r="F191" s="12"/>
    </row>
    <row r="192" spans="1:6" x14ac:dyDescent="0.45">
      <c r="A192" t="s">
        <v>598</v>
      </c>
      <c r="B192" t="s">
        <v>88</v>
      </c>
      <c r="C192">
        <v>19</v>
      </c>
      <c r="D192">
        <v>100</v>
      </c>
      <c r="E192">
        <v>49</v>
      </c>
      <c r="F192" s="12"/>
    </row>
    <row r="193" spans="1:6" x14ac:dyDescent="0.45">
      <c r="A193" t="s">
        <v>599</v>
      </c>
      <c r="B193" t="s">
        <v>88</v>
      </c>
      <c r="C193">
        <v>19</v>
      </c>
      <c r="D193">
        <v>100</v>
      </c>
      <c r="E193">
        <v>66</v>
      </c>
      <c r="F193" s="12"/>
    </row>
    <row r="194" spans="1:6" x14ac:dyDescent="0.45">
      <c r="A194" t="s">
        <v>600</v>
      </c>
      <c r="B194" t="s">
        <v>88</v>
      </c>
      <c r="C194">
        <v>19</v>
      </c>
      <c r="D194">
        <v>100</v>
      </c>
      <c r="E194">
        <v>82</v>
      </c>
      <c r="F194" s="12"/>
    </row>
    <row r="195" spans="1:6" x14ac:dyDescent="0.45">
      <c r="A195" t="s">
        <v>601</v>
      </c>
      <c r="B195" t="s">
        <v>88</v>
      </c>
      <c r="C195">
        <v>19</v>
      </c>
      <c r="D195">
        <v>100</v>
      </c>
      <c r="E195">
        <v>99</v>
      </c>
      <c r="F195" s="12"/>
    </row>
    <row r="196" spans="1:6" x14ac:dyDescent="0.45">
      <c r="A196" t="s">
        <v>602</v>
      </c>
      <c r="B196" t="s">
        <v>88</v>
      </c>
      <c r="C196">
        <v>19</v>
      </c>
      <c r="D196">
        <v>100</v>
      </c>
      <c r="E196">
        <v>116</v>
      </c>
      <c r="F196" s="12"/>
    </row>
    <row r="197" spans="1:6" x14ac:dyDescent="0.45">
      <c r="A197" t="s">
        <v>603</v>
      </c>
      <c r="B197" t="s">
        <v>88</v>
      </c>
      <c r="C197">
        <v>19</v>
      </c>
      <c r="D197">
        <v>100</v>
      </c>
      <c r="E197">
        <v>132</v>
      </c>
      <c r="F197" s="12"/>
    </row>
    <row r="198" spans="1:6" x14ac:dyDescent="0.45">
      <c r="A198" t="s">
        <v>604</v>
      </c>
      <c r="B198" t="s">
        <v>88</v>
      </c>
      <c r="C198">
        <v>19</v>
      </c>
      <c r="D198">
        <v>100</v>
      </c>
      <c r="E198">
        <v>149</v>
      </c>
      <c r="F198" s="12"/>
    </row>
    <row r="199" spans="1:6" x14ac:dyDescent="0.45">
      <c r="A199" t="s">
        <v>605</v>
      </c>
      <c r="B199" t="s">
        <v>88</v>
      </c>
      <c r="C199">
        <v>19</v>
      </c>
      <c r="D199">
        <v>100</v>
      </c>
      <c r="E199">
        <v>166</v>
      </c>
      <c r="F199" s="12"/>
    </row>
    <row r="200" spans="1:6" x14ac:dyDescent="0.45">
      <c r="A200" t="s">
        <v>606</v>
      </c>
      <c r="B200" t="s">
        <v>88</v>
      </c>
      <c r="C200">
        <v>19</v>
      </c>
      <c r="D200">
        <v>100</v>
      </c>
      <c r="E200">
        <v>182</v>
      </c>
      <c r="F200" s="12"/>
    </row>
    <row r="201" spans="1:6" x14ac:dyDescent="0.45">
      <c r="A201" t="s">
        <v>607</v>
      </c>
      <c r="B201" t="s">
        <v>88</v>
      </c>
      <c r="C201">
        <v>19</v>
      </c>
      <c r="D201">
        <v>100</v>
      </c>
      <c r="E201">
        <v>199</v>
      </c>
      <c r="F201" s="12"/>
    </row>
    <row r="202" spans="1:6" x14ac:dyDescent="0.45">
      <c r="A202" t="s">
        <v>608</v>
      </c>
      <c r="B202" t="s">
        <v>88</v>
      </c>
      <c r="C202">
        <v>20</v>
      </c>
      <c r="D202">
        <v>100</v>
      </c>
      <c r="E202">
        <v>7</v>
      </c>
      <c r="F202" s="12"/>
    </row>
    <row r="203" spans="1:6" x14ac:dyDescent="0.45">
      <c r="A203" t="s">
        <v>609</v>
      </c>
      <c r="B203" t="s">
        <v>88</v>
      </c>
      <c r="C203">
        <v>20</v>
      </c>
      <c r="D203">
        <v>100</v>
      </c>
      <c r="E203">
        <v>24</v>
      </c>
      <c r="F203" s="12"/>
    </row>
    <row r="204" spans="1:6" x14ac:dyDescent="0.45">
      <c r="A204" t="s">
        <v>610</v>
      </c>
      <c r="B204" t="s">
        <v>88</v>
      </c>
      <c r="C204">
        <v>20</v>
      </c>
      <c r="D204">
        <v>100</v>
      </c>
      <c r="E204">
        <v>32</v>
      </c>
      <c r="F204" s="12"/>
    </row>
    <row r="205" spans="1:6" x14ac:dyDescent="0.45">
      <c r="A205" t="s">
        <v>611</v>
      </c>
      <c r="B205" t="s">
        <v>88</v>
      </c>
      <c r="C205">
        <v>20</v>
      </c>
      <c r="D205">
        <v>100</v>
      </c>
      <c r="E205">
        <v>49</v>
      </c>
      <c r="F205" s="12"/>
    </row>
    <row r="206" spans="1:6" x14ac:dyDescent="0.45">
      <c r="A206" t="s">
        <v>612</v>
      </c>
      <c r="B206" t="s">
        <v>88</v>
      </c>
      <c r="C206">
        <v>20</v>
      </c>
      <c r="D206">
        <v>100</v>
      </c>
      <c r="E206">
        <v>66</v>
      </c>
      <c r="F206" s="12"/>
    </row>
    <row r="207" spans="1:6" x14ac:dyDescent="0.45">
      <c r="A207" t="s">
        <v>613</v>
      </c>
      <c r="B207" t="s">
        <v>88</v>
      </c>
      <c r="C207">
        <v>20</v>
      </c>
      <c r="D207">
        <v>100</v>
      </c>
      <c r="E207">
        <v>82</v>
      </c>
      <c r="F207" s="12"/>
    </row>
    <row r="208" spans="1:6" x14ac:dyDescent="0.45">
      <c r="A208" t="s">
        <v>614</v>
      </c>
      <c r="B208" t="s">
        <v>88</v>
      </c>
      <c r="C208">
        <v>20</v>
      </c>
      <c r="D208">
        <v>100</v>
      </c>
      <c r="E208">
        <v>99</v>
      </c>
      <c r="F208" s="12"/>
    </row>
    <row r="209" spans="1:6" x14ac:dyDescent="0.45">
      <c r="A209" t="s">
        <v>615</v>
      </c>
      <c r="B209" t="s">
        <v>88</v>
      </c>
      <c r="C209">
        <v>20</v>
      </c>
      <c r="D209">
        <v>100</v>
      </c>
      <c r="E209">
        <v>116</v>
      </c>
      <c r="F209" s="12"/>
    </row>
    <row r="210" spans="1:6" x14ac:dyDescent="0.45">
      <c r="A210" t="s">
        <v>616</v>
      </c>
      <c r="B210" t="s">
        <v>88</v>
      </c>
      <c r="C210">
        <v>20</v>
      </c>
      <c r="D210">
        <v>100</v>
      </c>
      <c r="E210">
        <v>132</v>
      </c>
      <c r="F210" s="12"/>
    </row>
    <row r="211" spans="1:6" x14ac:dyDescent="0.45">
      <c r="A211" t="s">
        <v>617</v>
      </c>
      <c r="B211" t="s">
        <v>88</v>
      </c>
      <c r="C211">
        <v>20</v>
      </c>
      <c r="D211">
        <v>100</v>
      </c>
      <c r="E211">
        <v>149</v>
      </c>
      <c r="F211" s="12"/>
    </row>
    <row r="212" spans="1:6" x14ac:dyDescent="0.45">
      <c r="A212" t="s">
        <v>618</v>
      </c>
      <c r="B212" t="s">
        <v>88</v>
      </c>
      <c r="C212">
        <v>20</v>
      </c>
      <c r="D212">
        <v>100</v>
      </c>
      <c r="E212">
        <v>166</v>
      </c>
      <c r="F212" s="12"/>
    </row>
    <row r="213" spans="1:6" x14ac:dyDescent="0.45">
      <c r="A213" t="s">
        <v>619</v>
      </c>
      <c r="B213" t="s">
        <v>88</v>
      </c>
      <c r="C213">
        <v>20</v>
      </c>
      <c r="D213">
        <v>100</v>
      </c>
      <c r="E213">
        <v>182</v>
      </c>
      <c r="F213" s="12"/>
    </row>
    <row r="214" spans="1:6" x14ac:dyDescent="0.45">
      <c r="A214" t="s">
        <v>620</v>
      </c>
      <c r="B214" t="s">
        <v>88</v>
      </c>
      <c r="C214">
        <v>20</v>
      </c>
      <c r="D214">
        <v>100</v>
      </c>
      <c r="E214">
        <v>199</v>
      </c>
      <c r="F214" s="12"/>
    </row>
    <row r="215" spans="1:6" x14ac:dyDescent="0.45">
      <c r="A215" t="s">
        <v>621</v>
      </c>
      <c r="B215" t="s">
        <v>88</v>
      </c>
      <c r="C215">
        <v>21</v>
      </c>
      <c r="D215">
        <v>100</v>
      </c>
      <c r="E215">
        <v>7</v>
      </c>
      <c r="F215" s="12"/>
    </row>
    <row r="216" spans="1:6" x14ac:dyDescent="0.45">
      <c r="A216" t="s">
        <v>622</v>
      </c>
      <c r="B216" t="s">
        <v>88</v>
      </c>
      <c r="C216">
        <v>21</v>
      </c>
      <c r="D216">
        <v>100</v>
      </c>
      <c r="E216">
        <v>24</v>
      </c>
      <c r="F216" s="12"/>
    </row>
    <row r="217" spans="1:6" x14ac:dyDescent="0.45">
      <c r="A217" t="s">
        <v>623</v>
      </c>
      <c r="B217" t="s">
        <v>88</v>
      </c>
      <c r="C217">
        <v>21</v>
      </c>
      <c r="D217">
        <v>100</v>
      </c>
      <c r="E217">
        <v>32</v>
      </c>
      <c r="F217" s="12"/>
    </row>
    <row r="218" spans="1:6" x14ac:dyDescent="0.45">
      <c r="A218" t="s">
        <v>624</v>
      </c>
      <c r="B218" t="s">
        <v>88</v>
      </c>
      <c r="C218">
        <v>21</v>
      </c>
      <c r="D218">
        <v>100</v>
      </c>
      <c r="E218">
        <v>49</v>
      </c>
      <c r="F218" s="12"/>
    </row>
    <row r="219" spans="1:6" x14ac:dyDescent="0.45">
      <c r="A219" t="s">
        <v>625</v>
      </c>
      <c r="B219" t="s">
        <v>88</v>
      </c>
      <c r="C219">
        <v>21</v>
      </c>
      <c r="D219">
        <v>100</v>
      </c>
      <c r="E219">
        <v>66</v>
      </c>
      <c r="F219" s="12"/>
    </row>
    <row r="220" spans="1:6" x14ac:dyDescent="0.45">
      <c r="A220" t="s">
        <v>626</v>
      </c>
      <c r="B220" t="s">
        <v>88</v>
      </c>
      <c r="C220">
        <v>21</v>
      </c>
      <c r="D220">
        <v>100</v>
      </c>
      <c r="E220">
        <v>82</v>
      </c>
      <c r="F220" s="12"/>
    </row>
    <row r="221" spans="1:6" x14ac:dyDescent="0.45">
      <c r="A221" t="s">
        <v>627</v>
      </c>
      <c r="B221" t="s">
        <v>88</v>
      </c>
      <c r="C221">
        <v>21</v>
      </c>
      <c r="D221">
        <v>100</v>
      </c>
      <c r="E221">
        <v>99</v>
      </c>
      <c r="F221" s="12"/>
    </row>
    <row r="222" spans="1:6" x14ac:dyDescent="0.45">
      <c r="A222" t="s">
        <v>628</v>
      </c>
      <c r="B222" t="s">
        <v>88</v>
      </c>
      <c r="C222">
        <v>21</v>
      </c>
      <c r="D222">
        <v>100</v>
      </c>
      <c r="E222">
        <v>116</v>
      </c>
      <c r="F222" s="12"/>
    </row>
    <row r="223" spans="1:6" x14ac:dyDescent="0.45">
      <c r="A223" t="s">
        <v>629</v>
      </c>
      <c r="B223" t="s">
        <v>88</v>
      </c>
      <c r="C223">
        <v>21</v>
      </c>
      <c r="D223">
        <v>100</v>
      </c>
      <c r="E223">
        <v>132</v>
      </c>
      <c r="F223" s="12"/>
    </row>
    <row r="224" spans="1:6" x14ac:dyDescent="0.45">
      <c r="A224" t="s">
        <v>630</v>
      </c>
      <c r="B224" t="s">
        <v>88</v>
      </c>
      <c r="C224">
        <v>21</v>
      </c>
      <c r="D224">
        <v>100</v>
      </c>
      <c r="E224">
        <v>149</v>
      </c>
      <c r="F224" s="12"/>
    </row>
    <row r="225" spans="1:6" x14ac:dyDescent="0.45">
      <c r="A225" t="s">
        <v>631</v>
      </c>
      <c r="B225" t="s">
        <v>88</v>
      </c>
      <c r="C225">
        <v>21</v>
      </c>
      <c r="D225">
        <v>100</v>
      </c>
      <c r="E225">
        <v>166</v>
      </c>
      <c r="F225" s="12"/>
    </row>
    <row r="226" spans="1:6" x14ac:dyDescent="0.45">
      <c r="A226" t="s">
        <v>632</v>
      </c>
      <c r="B226" t="s">
        <v>88</v>
      </c>
      <c r="C226">
        <v>21</v>
      </c>
      <c r="D226">
        <v>100</v>
      </c>
      <c r="E226">
        <v>182</v>
      </c>
      <c r="F226" s="12"/>
    </row>
    <row r="227" spans="1:6" x14ac:dyDescent="0.45">
      <c r="A227" t="s">
        <v>633</v>
      </c>
      <c r="B227" t="s">
        <v>88</v>
      </c>
      <c r="C227">
        <v>21</v>
      </c>
      <c r="D227">
        <v>100</v>
      </c>
      <c r="E227">
        <v>199</v>
      </c>
      <c r="F227" s="12"/>
    </row>
    <row r="228" spans="1:6" x14ac:dyDescent="0.45">
      <c r="A228" t="s">
        <v>634</v>
      </c>
      <c r="B228" t="s">
        <v>88</v>
      </c>
      <c r="C228">
        <v>22</v>
      </c>
      <c r="D228">
        <v>100</v>
      </c>
      <c r="E228">
        <v>7</v>
      </c>
      <c r="F228" s="12"/>
    </row>
    <row r="229" spans="1:6" x14ac:dyDescent="0.45">
      <c r="A229" t="s">
        <v>635</v>
      </c>
      <c r="B229" t="s">
        <v>88</v>
      </c>
      <c r="C229">
        <v>22</v>
      </c>
      <c r="D229">
        <v>100</v>
      </c>
      <c r="E229">
        <v>24</v>
      </c>
      <c r="F229" s="12"/>
    </row>
    <row r="230" spans="1:6" x14ac:dyDescent="0.45">
      <c r="A230" t="s">
        <v>636</v>
      </c>
      <c r="B230" t="s">
        <v>88</v>
      </c>
      <c r="C230">
        <v>22</v>
      </c>
      <c r="D230">
        <v>100</v>
      </c>
      <c r="E230">
        <v>32</v>
      </c>
      <c r="F230" s="12"/>
    </row>
    <row r="231" spans="1:6" x14ac:dyDescent="0.45">
      <c r="A231" t="s">
        <v>637</v>
      </c>
      <c r="B231" t="s">
        <v>88</v>
      </c>
      <c r="C231">
        <v>22</v>
      </c>
      <c r="D231">
        <v>100</v>
      </c>
      <c r="E231">
        <v>49</v>
      </c>
      <c r="F231" s="12"/>
    </row>
    <row r="232" spans="1:6" x14ac:dyDescent="0.45">
      <c r="A232" t="s">
        <v>638</v>
      </c>
      <c r="B232" t="s">
        <v>88</v>
      </c>
      <c r="C232">
        <v>22</v>
      </c>
      <c r="D232">
        <v>100</v>
      </c>
      <c r="E232">
        <v>66</v>
      </c>
      <c r="F232" s="12"/>
    </row>
    <row r="233" spans="1:6" x14ac:dyDescent="0.45">
      <c r="A233" t="s">
        <v>639</v>
      </c>
      <c r="B233" t="s">
        <v>88</v>
      </c>
      <c r="C233">
        <v>22</v>
      </c>
      <c r="D233">
        <v>100</v>
      </c>
      <c r="E233">
        <v>82</v>
      </c>
      <c r="F233" s="12"/>
    </row>
    <row r="234" spans="1:6" x14ac:dyDescent="0.45">
      <c r="A234" t="s">
        <v>640</v>
      </c>
      <c r="B234" t="s">
        <v>88</v>
      </c>
      <c r="C234">
        <v>22</v>
      </c>
      <c r="D234">
        <v>100</v>
      </c>
      <c r="E234">
        <v>99</v>
      </c>
      <c r="F234" s="12"/>
    </row>
    <row r="235" spans="1:6" x14ac:dyDescent="0.45">
      <c r="A235" t="s">
        <v>641</v>
      </c>
      <c r="B235" t="s">
        <v>88</v>
      </c>
      <c r="C235">
        <v>22</v>
      </c>
      <c r="D235">
        <v>100</v>
      </c>
      <c r="E235">
        <v>116</v>
      </c>
      <c r="F235" s="12"/>
    </row>
    <row r="236" spans="1:6" x14ac:dyDescent="0.45">
      <c r="A236" t="s">
        <v>642</v>
      </c>
      <c r="B236" t="s">
        <v>88</v>
      </c>
      <c r="C236">
        <v>22</v>
      </c>
      <c r="D236">
        <v>100</v>
      </c>
      <c r="E236">
        <v>132</v>
      </c>
      <c r="F236" s="12"/>
    </row>
    <row r="237" spans="1:6" x14ac:dyDescent="0.45">
      <c r="A237" t="s">
        <v>643</v>
      </c>
      <c r="B237" t="s">
        <v>88</v>
      </c>
      <c r="C237">
        <v>22</v>
      </c>
      <c r="D237">
        <v>100</v>
      </c>
      <c r="E237">
        <v>149</v>
      </c>
      <c r="F237" s="12"/>
    </row>
    <row r="238" spans="1:6" x14ac:dyDescent="0.45">
      <c r="A238" t="s">
        <v>644</v>
      </c>
      <c r="B238" t="s">
        <v>88</v>
      </c>
      <c r="C238">
        <v>22</v>
      </c>
      <c r="D238">
        <v>100</v>
      </c>
      <c r="E238">
        <v>166</v>
      </c>
      <c r="F238" s="12"/>
    </row>
    <row r="239" spans="1:6" x14ac:dyDescent="0.45">
      <c r="A239" t="s">
        <v>645</v>
      </c>
      <c r="B239" t="s">
        <v>88</v>
      </c>
      <c r="C239">
        <v>22</v>
      </c>
      <c r="D239">
        <v>100</v>
      </c>
      <c r="E239">
        <v>182</v>
      </c>
      <c r="F239" s="12"/>
    </row>
    <row r="240" spans="1:6" x14ac:dyDescent="0.45">
      <c r="A240" t="s">
        <v>646</v>
      </c>
      <c r="B240" t="s">
        <v>88</v>
      </c>
      <c r="C240">
        <v>22</v>
      </c>
      <c r="D240">
        <v>100</v>
      </c>
      <c r="E240">
        <v>199</v>
      </c>
      <c r="F240" s="12"/>
    </row>
    <row r="241" spans="1:6" x14ac:dyDescent="0.45">
      <c r="A241" t="s">
        <v>647</v>
      </c>
      <c r="B241" t="s">
        <v>88</v>
      </c>
      <c r="C241">
        <v>23</v>
      </c>
      <c r="D241">
        <v>100</v>
      </c>
      <c r="E241">
        <v>7</v>
      </c>
      <c r="F241" s="12"/>
    </row>
    <row r="242" spans="1:6" x14ac:dyDescent="0.45">
      <c r="A242" t="s">
        <v>648</v>
      </c>
      <c r="B242" t="s">
        <v>88</v>
      </c>
      <c r="C242">
        <v>23</v>
      </c>
      <c r="D242">
        <v>100</v>
      </c>
      <c r="E242">
        <v>24</v>
      </c>
      <c r="F242" s="12"/>
    </row>
    <row r="243" spans="1:6" x14ac:dyDescent="0.45">
      <c r="A243" t="s">
        <v>649</v>
      </c>
      <c r="B243" t="s">
        <v>88</v>
      </c>
      <c r="C243">
        <v>23</v>
      </c>
      <c r="D243">
        <v>100</v>
      </c>
      <c r="E243">
        <v>32</v>
      </c>
      <c r="F243" s="12"/>
    </row>
    <row r="244" spans="1:6" x14ac:dyDescent="0.45">
      <c r="A244" t="s">
        <v>650</v>
      </c>
      <c r="B244" t="s">
        <v>88</v>
      </c>
      <c r="C244">
        <v>23</v>
      </c>
      <c r="D244">
        <v>100</v>
      </c>
      <c r="E244">
        <v>49</v>
      </c>
      <c r="F244" s="12"/>
    </row>
    <row r="245" spans="1:6" x14ac:dyDescent="0.45">
      <c r="A245" t="s">
        <v>651</v>
      </c>
      <c r="B245" t="s">
        <v>88</v>
      </c>
      <c r="C245">
        <v>23</v>
      </c>
      <c r="D245">
        <v>100</v>
      </c>
      <c r="E245">
        <v>66</v>
      </c>
      <c r="F245" s="12"/>
    </row>
    <row r="246" spans="1:6" x14ac:dyDescent="0.45">
      <c r="A246" t="s">
        <v>652</v>
      </c>
      <c r="B246" t="s">
        <v>88</v>
      </c>
      <c r="C246">
        <v>23</v>
      </c>
      <c r="D246">
        <v>100</v>
      </c>
      <c r="E246">
        <v>82</v>
      </c>
      <c r="F246" s="12"/>
    </row>
    <row r="247" spans="1:6" x14ac:dyDescent="0.45">
      <c r="A247" t="s">
        <v>653</v>
      </c>
      <c r="B247" t="s">
        <v>88</v>
      </c>
      <c r="C247">
        <v>23</v>
      </c>
      <c r="D247">
        <v>100</v>
      </c>
      <c r="E247">
        <v>99</v>
      </c>
      <c r="F247" s="12"/>
    </row>
    <row r="248" spans="1:6" x14ac:dyDescent="0.45">
      <c r="A248" t="s">
        <v>654</v>
      </c>
      <c r="B248" t="s">
        <v>88</v>
      </c>
      <c r="C248">
        <v>23</v>
      </c>
      <c r="D248">
        <v>100</v>
      </c>
      <c r="E248">
        <v>116</v>
      </c>
      <c r="F248" s="12"/>
    </row>
    <row r="249" spans="1:6" x14ac:dyDescent="0.45">
      <c r="A249" t="s">
        <v>655</v>
      </c>
      <c r="B249" t="s">
        <v>88</v>
      </c>
      <c r="C249">
        <v>23</v>
      </c>
      <c r="D249">
        <v>100</v>
      </c>
      <c r="E249">
        <v>132</v>
      </c>
      <c r="F249" s="12"/>
    </row>
    <row r="250" spans="1:6" x14ac:dyDescent="0.45">
      <c r="A250" t="s">
        <v>656</v>
      </c>
      <c r="B250" t="s">
        <v>88</v>
      </c>
      <c r="C250">
        <v>23</v>
      </c>
      <c r="D250">
        <v>100</v>
      </c>
      <c r="E250">
        <v>149</v>
      </c>
      <c r="F250" s="12"/>
    </row>
    <row r="251" spans="1:6" x14ac:dyDescent="0.45">
      <c r="A251" t="s">
        <v>657</v>
      </c>
      <c r="B251" t="s">
        <v>88</v>
      </c>
      <c r="C251">
        <v>23</v>
      </c>
      <c r="D251">
        <v>100</v>
      </c>
      <c r="E251">
        <v>166</v>
      </c>
      <c r="F251" s="12"/>
    </row>
    <row r="252" spans="1:6" x14ac:dyDescent="0.45">
      <c r="A252" t="s">
        <v>658</v>
      </c>
      <c r="B252" t="s">
        <v>88</v>
      </c>
      <c r="C252">
        <v>23</v>
      </c>
      <c r="D252">
        <v>100</v>
      </c>
      <c r="E252">
        <v>182</v>
      </c>
      <c r="F252" s="12"/>
    </row>
    <row r="253" spans="1:6" x14ac:dyDescent="0.45">
      <c r="A253" t="s">
        <v>659</v>
      </c>
      <c r="B253" t="s">
        <v>88</v>
      </c>
      <c r="C253">
        <v>23</v>
      </c>
      <c r="D253">
        <v>100</v>
      </c>
      <c r="E253">
        <v>199</v>
      </c>
      <c r="F253" s="12"/>
    </row>
    <row r="254" spans="1:6" x14ac:dyDescent="0.45">
      <c r="A254" t="s">
        <v>660</v>
      </c>
      <c r="B254" t="s">
        <v>88</v>
      </c>
      <c r="C254">
        <v>24</v>
      </c>
      <c r="D254">
        <v>100</v>
      </c>
      <c r="E254">
        <v>7</v>
      </c>
      <c r="F254" s="12"/>
    </row>
    <row r="255" spans="1:6" x14ac:dyDescent="0.45">
      <c r="A255" t="s">
        <v>661</v>
      </c>
      <c r="B255" t="s">
        <v>88</v>
      </c>
      <c r="C255">
        <v>24</v>
      </c>
      <c r="D255">
        <v>100</v>
      </c>
      <c r="E255">
        <v>24</v>
      </c>
      <c r="F255" s="12"/>
    </row>
    <row r="256" spans="1:6" x14ac:dyDescent="0.45">
      <c r="A256" t="s">
        <v>662</v>
      </c>
      <c r="B256" t="s">
        <v>88</v>
      </c>
      <c r="C256">
        <v>24</v>
      </c>
      <c r="D256">
        <v>100</v>
      </c>
      <c r="E256">
        <v>32</v>
      </c>
      <c r="F256" s="12"/>
    </row>
    <row r="257" spans="1:6" x14ac:dyDescent="0.45">
      <c r="A257" t="s">
        <v>663</v>
      </c>
      <c r="B257" t="s">
        <v>88</v>
      </c>
      <c r="C257">
        <v>24</v>
      </c>
      <c r="D257">
        <v>100</v>
      </c>
      <c r="E257">
        <v>49</v>
      </c>
      <c r="F257" s="12"/>
    </row>
    <row r="258" spans="1:6" x14ac:dyDescent="0.45">
      <c r="A258" t="s">
        <v>664</v>
      </c>
      <c r="B258" t="s">
        <v>88</v>
      </c>
      <c r="C258">
        <v>24</v>
      </c>
      <c r="D258">
        <v>100</v>
      </c>
      <c r="E258">
        <v>66</v>
      </c>
      <c r="F258" s="12"/>
    </row>
    <row r="259" spans="1:6" x14ac:dyDescent="0.45">
      <c r="A259" t="s">
        <v>665</v>
      </c>
      <c r="B259" t="s">
        <v>88</v>
      </c>
      <c r="C259">
        <v>24</v>
      </c>
      <c r="D259">
        <v>100</v>
      </c>
      <c r="E259">
        <v>82</v>
      </c>
      <c r="F259" s="12"/>
    </row>
    <row r="260" spans="1:6" x14ac:dyDescent="0.45">
      <c r="A260" t="s">
        <v>666</v>
      </c>
      <c r="B260" t="s">
        <v>88</v>
      </c>
      <c r="C260">
        <v>24</v>
      </c>
      <c r="D260">
        <v>100</v>
      </c>
      <c r="E260">
        <v>99</v>
      </c>
      <c r="F260" s="12"/>
    </row>
    <row r="261" spans="1:6" x14ac:dyDescent="0.45">
      <c r="A261" t="s">
        <v>667</v>
      </c>
      <c r="B261" t="s">
        <v>88</v>
      </c>
      <c r="C261">
        <v>24</v>
      </c>
      <c r="D261">
        <v>100</v>
      </c>
      <c r="E261">
        <v>116</v>
      </c>
      <c r="F261" s="12"/>
    </row>
    <row r="262" spans="1:6" x14ac:dyDescent="0.45">
      <c r="A262" t="s">
        <v>668</v>
      </c>
      <c r="B262" t="s">
        <v>88</v>
      </c>
      <c r="C262">
        <v>24</v>
      </c>
      <c r="D262">
        <v>100</v>
      </c>
      <c r="E262">
        <v>132</v>
      </c>
      <c r="F262" s="12"/>
    </row>
    <row r="263" spans="1:6" x14ac:dyDescent="0.45">
      <c r="A263" t="s">
        <v>669</v>
      </c>
      <c r="B263" t="s">
        <v>88</v>
      </c>
      <c r="C263">
        <v>24</v>
      </c>
      <c r="D263">
        <v>100</v>
      </c>
      <c r="E263">
        <v>149</v>
      </c>
      <c r="F263" s="12"/>
    </row>
    <row r="264" spans="1:6" x14ac:dyDescent="0.45">
      <c r="A264" t="s">
        <v>670</v>
      </c>
      <c r="B264" t="s">
        <v>88</v>
      </c>
      <c r="C264">
        <v>24</v>
      </c>
      <c r="D264">
        <v>100</v>
      </c>
      <c r="E264">
        <v>166</v>
      </c>
      <c r="F264" s="12"/>
    </row>
    <row r="265" spans="1:6" x14ac:dyDescent="0.45">
      <c r="A265" t="s">
        <v>671</v>
      </c>
      <c r="B265" t="s">
        <v>88</v>
      </c>
      <c r="C265">
        <v>24</v>
      </c>
      <c r="D265">
        <v>100</v>
      </c>
      <c r="E265">
        <v>182</v>
      </c>
      <c r="F265" s="12"/>
    </row>
    <row r="266" spans="1:6" x14ac:dyDescent="0.45">
      <c r="A266" t="s">
        <v>672</v>
      </c>
      <c r="B266" t="s">
        <v>88</v>
      </c>
      <c r="C266">
        <v>24</v>
      </c>
      <c r="D266">
        <v>100</v>
      </c>
      <c r="E266">
        <v>199</v>
      </c>
      <c r="F266" s="12"/>
    </row>
    <row r="267" spans="1:6" x14ac:dyDescent="0.45">
      <c r="A267" t="s">
        <v>673</v>
      </c>
      <c r="B267" t="s">
        <v>88</v>
      </c>
      <c r="C267">
        <v>0</v>
      </c>
      <c r="D267">
        <v>50</v>
      </c>
      <c r="E267">
        <v>82</v>
      </c>
      <c r="F267" s="12"/>
    </row>
    <row r="268" spans="1:6" x14ac:dyDescent="0.45">
      <c r="A268" t="s">
        <v>674</v>
      </c>
      <c r="B268" t="s">
        <v>88</v>
      </c>
      <c r="C268">
        <v>0</v>
      </c>
      <c r="D268">
        <v>50</v>
      </c>
      <c r="E268">
        <v>99</v>
      </c>
      <c r="F268" s="12"/>
    </row>
    <row r="269" spans="1:6" x14ac:dyDescent="0.45">
      <c r="A269" t="s">
        <v>675</v>
      </c>
      <c r="B269" t="s">
        <v>88</v>
      </c>
      <c r="C269">
        <v>0</v>
      </c>
      <c r="D269">
        <v>50</v>
      </c>
      <c r="E269">
        <v>116</v>
      </c>
      <c r="F269" s="12"/>
    </row>
    <row r="270" spans="1:6" x14ac:dyDescent="0.45">
      <c r="A270" t="s">
        <v>676</v>
      </c>
      <c r="B270" t="s">
        <v>88</v>
      </c>
      <c r="C270">
        <v>0</v>
      </c>
      <c r="D270">
        <v>50</v>
      </c>
      <c r="E270">
        <v>132</v>
      </c>
      <c r="F270" s="12"/>
    </row>
    <row r="271" spans="1:6" x14ac:dyDescent="0.45">
      <c r="A271" t="s">
        <v>677</v>
      </c>
      <c r="B271" t="s">
        <v>88</v>
      </c>
      <c r="C271">
        <v>0</v>
      </c>
      <c r="D271">
        <v>50</v>
      </c>
      <c r="E271">
        <v>149</v>
      </c>
      <c r="F271" s="12"/>
    </row>
    <row r="272" spans="1:6" x14ac:dyDescent="0.45">
      <c r="A272" t="s">
        <v>678</v>
      </c>
      <c r="B272" t="s">
        <v>88</v>
      </c>
      <c r="C272">
        <v>0</v>
      </c>
      <c r="D272">
        <v>50</v>
      </c>
      <c r="E272">
        <v>166</v>
      </c>
      <c r="F272" s="12"/>
    </row>
    <row r="273" spans="1:6" x14ac:dyDescent="0.45">
      <c r="A273" t="s">
        <v>679</v>
      </c>
      <c r="B273" t="s">
        <v>88</v>
      </c>
      <c r="C273">
        <v>0</v>
      </c>
      <c r="D273">
        <v>50</v>
      </c>
      <c r="E273">
        <v>182</v>
      </c>
      <c r="F273" s="12"/>
    </row>
    <row r="274" spans="1:6" x14ac:dyDescent="0.45">
      <c r="A274" t="s">
        <v>680</v>
      </c>
      <c r="B274" t="s">
        <v>88</v>
      </c>
      <c r="C274">
        <v>0</v>
      </c>
      <c r="D274">
        <v>50</v>
      </c>
      <c r="E274">
        <v>199</v>
      </c>
      <c r="F274" s="12"/>
    </row>
    <row r="275" spans="1:6" x14ac:dyDescent="0.45">
      <c r="A275" t="s">
        <v>681</v>
      </c>
      <c r="B275" t="s">
        <v>88</v>
      </c>
      <c r="C275">
        <v>1</v>
      </c>
      <c r="D275">
        <v>50</v>
      </c>
      <c r="E275">
        <v>82</v>
      </c>
      <c r="F275" s="12"/>
    </row>
    <row r="276" spans="1:6" x14ac:dyDescent="0.45">
      <c r="A276" t="s">
        <v>682</v>
      </c>
      <c r="B276" t="s">
        <v>88</v>
      </c>
      <c r="C276">
        <v>1</v>
      </c>
      <c r="D276">
        <v>50</v>
      </c>
      <c r="E276">
        <v>99</v>
      </c>
      <c r="F276" s="12"/>
    </row>
    <row r="277" spans="1:6" x14ac:dyDescent="0.45">
      <c r="A277" t="s">
        <v>683</v>
      </c>
      <c r="B277" t="s">
        <v>88</v>
      </c>
      <c r="C277">
        <v>1</v>
      </c>
      <c r="D277">
        <v>50</v>
      </c>
      <c r="E277">
        <v>116</v>
      </c>
      <c r="F277" s="12"/>
    </row>
    <row r="278" spans="1:6" x14ac:dyDescent="0.45">
      <c r="A278" t="s">
        <v>684</v>
      </c>
      <c r="B278" t="s">
        <v>88</v>
      </c>
      <c r="C278">
        <v>1</v>
      </c>
      <c r="D278">
        <v>50</v>
      </c>
      <c r="E278">
        <v>132</v>
      </c>
      <c r="F278" s="12"/>
    </row>
    <row r="279" spans="1:6" x14ac:dyDescent="0.45">
      <c r="A279" t="s">
        <v>685</v>
      </c>
      <c r="B279" t="s">
        <v>88</v>
      </c>
      <c r="C279">
        <v>1</v>
      </c>
      <c r="D279">
        <v>50</v>
      </c>
      <c r="E279">
        <v>149</v>
      </c>
      <c r="F279" s="12"/>
    </row>
    <row r="280" spans="1:6" x14ac:dyDescent="0.45">
      <c r="A280" t="s">
        <v>686</v>
      </c>
      <c r="B280" t="s">
        <v>88</v>
      </c>
      <c r="C280">
        <v>1</v>
      </c>
      <c r="D280">
        <v>50</v>
      </c>
      <c r="E280">
        <v>166</v>
      </c>
      <c r="F280" s="12"/>
    </row>
    <row r="281" spans="1:6" x14ac:dyDescent="0.45">
      <c r="A281" t="s">
        <v>687</v>
      </c>
      <c r="B281" t="s">
        <v>88</v>
      </c>
      <c r="C281">
        <v>1</v>
      </c>
      <c r="D281">
        <v>50</v>
      </c>
      <c r="E281">
        <v>182</v>
      </c>
      <c r="F281" s="12"/>
    </row>
    <row r="282" spans="1:6" x14ac:dyDescent="0.45">
      <c r="A282" t="s">
        <v>688</v>
      </c>
      <c r="B282" t="s">
        <v>88</v>
      </c>
      <c r="C282">
        <v>1</v>
      </c>
      <c r="D282">
        <v>50</v>
      </c>
      <c r="E282">
        <v>199</v>
      </c>
      <c r="F282" s="12"/>
    </row>
    <row r="283" spans="1:6" x14ac:dyDescent="0.45">
      <c r="A283" t="s">
        <v>689</v>
      </c>
      <c r="B283" t="s">
        <v>88</v>
      </c>
      <c r="C283">
        <v>2</v>
      </c>
      <c r="D283">
        <v>50</v>
      </c>
      <c r="E283">
        <v>82</v>
      </c>
      <c r="F283" s="12"/>
    </row>
    <row r="284" spans="1:6" x14ac:dyDescent="0.45">
      <c r="A284" t="s">
        <v>690</v>
      </c>
      <c r="B284" t="s">
        <v>88</v>
      </c>
      <c r="C284">
        <v>2</v>
      </c>
      <c r="D284">
        <v>50</v>
      </c>
      <c r="E284">
        <v>99</v>
      </c>
      <c r="F284" s="12"/>
    </row>
    <row r="285" spans="1:6" x14ac:dyDescent="0.45">
      <c r="A285" t="s">
        <v>691</v>
      </c>
      <c r="B285" t="s">
        <v>88</v>
      </c>
      <c r="C285">
        <v>2</v>
      </c>
      <c r="D285">
        <v>50</v>
      </c>
      <c r="E285">
        <v>116</v>
      </c>
      <c r="F285" s="12"/>
    </row>
    <row r="286" spans="1:6" x14ac:dyDescent="0.45">
      <c r="A286" t="s">
        <v>692</v>
      </c>
      <c r="B286" t="s">
        <v>88</v>
      </c>
      <c r="C286">
        <v>2</v>
      </c>
      <c r="D286">
        <v>50</v>
      </c>
      <c r="E286">
        <v>132</v>
      </c>
      <c r="F286" s="12"/>
    </row>
    <row r="287" spans="1:6" x14ac:dyDescent="0.45">
      <c r="A287" t="s">
        <v>693</v>
      </c>
      <c r="B287" t="s">
        <v>88</v>
      </c>
      <c r="C287">
        <v>2</v>
      </c>
      <c r="D287">
        <v>50</v>
      </c>
      <c r="E287">
        <v>149</v>
      </c>
      <c r="F287" s="12"/>
    </row>
    <row r="288" spans="1:6" x14ac:dyDescent="0.45">
      <c r="A288" t="s">
        <v>694</v>
      </c>
      <c r="B288" t="s">
        <v>88</v>
      </c>
      <c r="C288">
        <v>2</v>
      </c>
      <c r="D288">
        <v>50</v>
      </c>
      <c r="E288">
        <v>166</v>
      </c>
      <c r="F288" s="12"/>
    </row>
    <row r="289" spans="1:6" x14ac:dyDescent="0.45">
      <c r="A289" t="s">
        <v>695</v>
      </c>
      <c r="B289" t="s">
        <v>88</v>
      </c>
      <c r="C289">
        <v>2</v>
      </c>
      <c r="D289">
        <v>50</v>
      </c>
      <c r="E289">
        <v>182</v>
      </c>
      <c r="F289" s="12"/>
    </row>
    <row r="290" spans="1:6" x14ac:dyDescent="0.45">
      <c r="A290" t="s">
        <v>696</v>
      </c>
      <c r="B290" t="s">
        <v>88</v>
      </c>
      <c r="C290">
        <v>2</v>
      </c>
      <c r="D290">
        <v>50</v>
      </c>
      <c r="E290">
        <v>199</v>
      </c>
      <c r="F290" s="12"/>
    </row>
    <row r="291" spans="1:6" x14ac:dyDescent="0.45">
      <c r="A291" t="s">
        <v>697</v>
      </c>
      <c r="B291" t="s">
        <v>88</v>
      </c>
      <c r="C291">
        <v>3</v>
      </c>
      <c r="D291">
        <v>50</v>
      </c>
      <c r="E291">
        <v>82</v>
      </c>
      <c r="F291" s="12"/>
    </row>
    <row r="292" spans="1:6" x14ac:dyDescent="0.45">
      <c r="A292" t="s">
        <v>698</v>
      </c>
      <c r="B292" t="s">
        <v>88</v>
      </c>
      <c r="C292">
        <v>3</v>
      </c>
      <c r="D292">
        <v>50</v>
      </c>
      <c r="E292">
        <v>99</v>
      </c>
      <c r="F292" s="12"/>
    </row>
    <row r="293" spans="1:6" x14ac:dyDescent="0.45">
      <c r="A293" t="s">
        <v>699</v>
      </c>
      <c r="B293" t="s">
        <v>88</v>
      </c>
      <c r="C293">
        <v>3</v>
      </c>
      <c r="D293">
        <v>50</v>
      </c>
      <c r="E293">
        <v>116</v>
      </c>
      <c r="F293" s="12"/>
    </row>
    <row r="294" spans="1:6" x14ac:dyDescent="0.45">
      <c r="A294" t="s">
        <v>700</v>
      </c>
      <c r="B294" t="s">
        <v>88</v>
      </c>
      <c r="C294">
        <v>3</v>
      </c>
      <c r="D294">
        <v>50</v>
      </c>
      <c r="E294">
        <v>132</v>
      </c>
      <c r="F294" s="12"/>
    </row>
    <row r="295" spans="1:6" x14ac:dyDescent="0.45">
      <c r="A295" t="s">
        <v>701</v>
      </c>
      <c r="B295" t="s">
        <v>88</v>
      </c>
      <c r="C295">
        <v>3</v>
      </c>
      <c r="D295">
        <v>50</v>
      </c>
      <c r="E295">
        <v>149</v>
      </c>
      <c r="F295" s="12"/>
    </row>
    <row r="296" spans="1:6" x14ac:dyDescent="0.45">
      <c r="A296" t="s">
        <v>702</v>
      </c>
      <c r="B296" t="s">
        <v>88</v>
      </c>
      <c r="C296">
        <v>3</v>
      </c>
      <c r="D296">
        <v>50</v>
      </c>
      <c r="E296">
        <v>166</v>
      </c>
      <c r="F296" s="12"/>
    </row>
    <row r="297" spans="1:6" x14ac:dyDescent="0.45">
      <c r="A297" t="s">
        <v>703</v>
      </c>
      <c r="B297" t="s">
        <v>88</v>
      </c>
      <c r="C297">
        <v>3</v>
      </c>
      <c r="D297">
        <v>50</v>
      </c>
      <c r="E297">
        <v>182</v>
      </c>
      <c r="F297" s="12"/>
    </row>
    <row r="298" spans="1:6" x14ac:dyDescent="0.45">
      <c r="A298" t="s">
        <v>704</v>
      </c>
      <c r="B298" t="s">
        <v>88</v>
      </c>
      <c r="C298">
        <v>3</v>
      </c>
      <c r="D298">
        <v>50</v>
      </c>
      <c r="E298">
        <v>199</v>
      </c>
      <c r="F298" s="12"/>
    </row>
    <row r="299" spans="1:6" x14ac:dyDescent="0.45">
      <c r="A299" t="s">
        <v>705</v>
      </c>
      <c r="B299" t="s">
        <v>88</v>
      </c>
      <c r="C299">
        <v>4</v>
      </c>
      <c r="D299">
        <v>50</v>
      </c>
      <c r="E299">
        <v>82</v>
      </c>
      <c r="F299" s="12"/>
    </row>
    <row r="300" spans="1:6" x14ac:dyDescent="0.45">
      <c r="A300" t="s">
        <v>706</v>
      </c>
      <c r="B300" t="s">
        <v>88</v>
      </c>
      <c r="C300">
        <v>4</v>
      </c>
      <c r="D300">
        <v>50</v>
      </c>
      <c r="E300">
        <v>99</v>
      </c>
      <c r="F300" s="12"/>
    </row>
    <row r="301" spans="1:6" x14ac:dyDescent="0.45">
      <c r="A301" t="s">
        <v>707</v>
      </c>
      <c r="B301" t="s">
        <v>88</v>
      </c>
      <c r="C301">
        <v>4</v>
      </c>
      <c r="D301">
        <v>50</v>
      </c>
      <c r="E301">
        <v>116</v>
      </c>
      <c r="F301" s="12"/>
    </row>
    <row r="302" spans="1:6" x14ac:dyDescent="0.45">
      <c r="A302" t="s">
        <v>708</v>
      </c>
      <c r="B302" t="s">
        <v>88</v>
      </c>
      <c r="C302">
        <v>4</v>
      </c>
      <c r="D302">
        <v>50</v>
      </c>
      <c r="E302">
        <v>132</v>
      </c>
      <c r="F302" s="12"/>
    </row>
    <row r="303" spans="1:6" x14ac:dyDescent="0.45">
      <c r="A303" t="s">
        <v>709</v>
      </c>
      <c r="B303" t="s">
        <v>88</v>
      </c>
      <c r="C303">
        <v>4</v>
      </c>
      <c r="D303">
        <v>50</v>
      </c>
      <c r="E303">
        <v>149</v>
      </c>
      <c r="F303" s="12"/>
    </row>
    <row r="304" spans="1:6" x14ac:dyDescent="0.45">
      <c r="A304" t="s">
        <v>710</v>
      </c>
      <c r="B304" t="s">
        <v>88</v>
      </c>
      <c r="C304">
        <v>4</v>
      </c>
      <c r="D304">
        <v>50</v>
      </c>
      <c r="E304">
        <v>166</v>
      </c>
      <c r="F304" s="12"/>
    </row>
    <row r="305" spans="1:6" x14ac:dyDescent="0.45">
      <c r="A305" t="s">
        <v>711</v>
      </c>
      <c r="B305" t="s">
        <v>88</v>
      </c>
      <c r="C305">
        <v>4</v>
      </c>
      <c r="D305">
        <v>50</v>
      </c>
      <c r="E305">
        <v>182</v>
      </c>
      <c r="F305" s="12"/>
    </row>
    <row r="306" spans="1:6" x14ac:dyDescent="0.45">
      <c r="A306" t="s">
        <v>712</v>
      </c>
      <c r="B306" t="s">
        <v>88</v>
      </c>
      <c r="C306">
        <v>4</v>
      </c>
      <c r="D306">
        <v>50</v>
      </c>
      <c r="E306">
        <v>199</v>
      </c>
      <c r="F306" s="12"/>
    </row>
    <row r="307" spans="1:6" x14ac:dyDescent="0.45">
      <c r="A307" t="s">
        <v>713</v>
      </c>
      <c r="B307" t="s">
        <v>88</v>
      </c>
      <c r="C307">
        <v>5</v>
      </c>
      <c r="D307">
        <v>50</v>
      </c>
      <c r="E307">
        <v>66</v>
      </c>
      <c r="F307" s="12"/>
    </row>
    <row r="308" spans="1:6" x14ac:dyDescent="0.45">
      <c r="A308" t="s">
        <v>714</v>
      </c>
      <c r="B308" t="s">
        <v>88</v>
      </c>
      <c r="C308">
        <v>5</v>
      </c>
      <c r="D308">
        <v>50</v>
      </c>
      <c r="E308">
        <v>82</v>
      </c>
      <c r="F308" s="12"/>
    </row>
    <row r="309" spans="1:6" x14ac:dyDescent="0.45">
      <c r="A309" t="s">
        <v>715</v>
      </c>
      <c r="B309" t="s">
        <v>88</v>
      </c>
      <c r="C309">
        <v>5</v>
      </c>
      <c r="D309">
        <v>50</v>
      </c>
      <c r="E309">
        <v>99</v>
      </c>
      <c r="F309" s="12"/>
    </row>
    <row r="310" spans="1:6" x14ac:dyDescent="0.45">
      <c r="A310" t="s">
        <v>716</v>
      </c>
      <c r="B310" t="s">
        <v>88</v>
      </c>
      <c r="C310">
        <v>5</v>
      </c>
      <c r="D310">
        <v>50</v>
      </c>
      <c r="E310">
        <v>116</v>
      </c>
      <c r="F310" s="12"/>
    </row>
    <row r="311" spans="1:6" x14ac:dyDescent="0.45">
      <c r="A311" t="s">
        <v>717</v>
      </c>
      <c r="B311" t="s">
        <v>88</v>
      </c>
      <c r="C311">
        <v>5</v>
      </c>
      <c r="D311">
        <v>50</v>
      </c>
      <c r="E311">
        <v>132</v>
      </c>
      <c r="F311" s="12"/>
    </row>
    <row r="312" spans="1:6" x14ac:dyDescent="0.45">
      <c r="A312" t="s">
        <v>718</v>
      </c>
      <c r="B312" t="s">
        <v>88</v>
      </c>
      <c r="C312">
        <v>5</v>
      </c>
      <c r="D312">
        <v>50</v>
      </c>
      <c r="E312">
        <v>149</v>
      </c>
      <c r="F312" s="12"/>
    </row>
    <row r="313" spans="1:6" x14ac:dyDescent="0.45">
      <c r="A313" t="s">
        <v>719</v>
      </c>
      <c r="B313" t="s">
        <v>88</v>
      </c>
      <c r="C313">
        <v>5</v>
      </c>
      <c r="D313">
        <v>50</v>
      </c>
      <c r="E313">
        <v>166</v>
      </c>
      <c r="F313" s="12"/>
    </row>
    <row r="314" spans="1:6" x14ac:dyDescent="0.45">
      <c r="A314" t="s">
        <v>720</v>
      </c>
      <c r="B314" t="s">
        <v>88</v>
      </c>
      <c r="C314">
        <v>5</v>
      </c>
      <c r="D314">
        <v>50</v>
      </c>
      <c r="E314">
        <v>182</v>
      </c>
      <c r="F314" s="12"/>
    </row>
    <row r="315" spans="1:6" x14ac:dyDescent="0.45">
      <c r="A315" t="s">
        <v>721</v>
      </c>
      <c r="B315" t="s">
        <v>88</v>
      </c>
      <c r="C315">
        <v>5</v>
      </c>
      <c r="D315">
        <v>50</v>
      </c>
      <c r="E315">
        <v>199</v>
      </c>
      <c r="F315" s="12"/>
    </row>
    <row r="316" spans="1:6" x14ac:dyDescent="0.45">
      <c r="A316" t="s">
        <v>722</v>
      </c>
      <c r="B316" t="s">
        <v>88</v>
      </c>
      <c r="C316">
        <v>6</v>
      </c>
      <c r="D316">
        <v>50</v>
      </c>
      <c r="E316">
        <v>66</v>
      </c>
      <c r="F316" s="12"/>
    </row>
    <row r="317" spans="1:6" x14ac:dyDescent="0.45">
      <c r="A317" t="s">
        <v>723</v>
      </c>
      <c r="B317" t="s">
        <v>88</v>
      </c>
      <c r="C317">
        <v>6</v>
      </c>
      <c r="D317">
        <v>50</v>
      </c>
      <c r="E317">
        <v>82</v>
      </c>
      <c r="F317" s="12"/>
    </row>
    <row r="318" spans="1:6" x14ac:dyDescent="0.45">
      <c r="A318" t="s">
        <v>724</v>
      </c>
      <c r="B318" t="s">
        <v>88</v>
      </c>
      <c r="C318">
        <v>6</v>
      </c>
      <c r="D318">
        <v>50</v>
      </c>
      <c r="E318">
        <v>99</v>
      </c>
      <c r="F318" s="12"/>
    </row>
    <row r="319" spans="1:6" x14ac:dyDescent="0.45">
      <c r="A319" t="s">
        <v>725</v>
      </c>
      <c r="B319" t="s">
        <v>88</v>
      </c>
      <c r="C319">
        <v>6</v>
      </c>
      <c r="D319">
        <v>50</v>
      </c>
      <c r="E319">
        <v>116</v>
      </c>
      <c r="F319" s="12"/>
    </row>
    <row r="320" spans="1:6" x14ac:dyDescent="0.45">
      <c r="A320" t="s">
        <v>726</v>
      </c>
      <c r="B320" t="s">
        <v>88</v>
      </c>
      <c r="C320">
        <v>6</v>
      </c>
      <c r="D320">
        <v>50</v>
      </c>
      <c r="E320">
        <v>132</v>
      </c>
      <c r="F320" s="12"/>
    </row>
    <row r="321" spans="1:6" x14ac:dyDescent="0.45">
      <c r="A321" t="s">
        <v>727</v>
      </c>
      <c r="B321" t="s">
        <v>88</v>
      </c>
      <c r="C321">
        <v>6</v>
      </c>
      <c r="D321">
        <v>50</v>
      </c>
      <c r="E321">
        <v>149</v>
      </c>
      <c r="F321" s="12"/>
    </row>
    <row r="322" spans="1:6" x14ac:dyDescent="0.45">
      <c r="A322" t="s">
        <v>728</v>
      </c>
      <c r="B322" t="s">
        <v>88</v>
      </c>
      <c r="C322">
        <v>6</v>
      </c>
      <c r="D322">
        <v>50</v>
      </c>
      <c r="E322">
        <v>166</v>
      </c>
      <c r="F322" s="12"/>
    </row>
    <row r="323" spans="1:6" x14ac:dyDescent="0.45">
      <c r="A323" t="s">
        <v>729</v>
      </c>
      <c r="B323" t="s">
        <v>88</v>
      </c>
      <c r="C323">
        <v>6</v>
      </c>
      <c r="D323">
        <v>50</v>
      </c>
      <c r="E323">
        <v>182</v>
      </c>
      <c r="F323" s="12"/>
    </row>
    <row r="324" spans="1:6" x14ac:dyDescent="0.45">
      <c r="A324" t="s">
        <v>730</v>
      </c>
      <c r="B324" t="s">
        <v>88</v>
      </c>
      <c r="C324">
        <v>6</v>
      </c>
      <c r="D324">
        <v>50</v>
      </c>
      <c r="E324">
        <v>199</v>
      </c>
      <c r="F324" s="12"/>
    </row>
    <row r="325" spans="1:6" x14ac:dyDescent="0.45">
      <c r="A325" t="s">
        <v>731</v>
      </c>
      <c r="B325" t="s">
        <v>88</v>
      </c>
      <c r="C325">
        <v>7</v>
      </c>
      <c r="D325">
        <v>50</v>
      </c>
      <c r="E325">
        <v>66</v>
      </c>
      <c r="F325" s="12"/>
    </row>
    <row r="326" spans="1:6" x14ac:dyDescent="0.45">
      <c r="A326" t="s">
        <v>732</v>
      </c>
      <c r="B326" t="s">
        <v>88</v>
      </c>
      <c r="C326">
        <v>7</v>
      </c>
      <c r="D326">
        <v>50</v>
      </c>
      <c r="E326">
        <v>82</v>
      </c>
      <c r="F326" s="12"/>
    </row>
    <row r="327" spans="1:6" x14ac:dyDescent="0.45">
      <c r="A327" t="s">
        <v>733</v>
      </c>
      <c r="B327" t="s">
        <v>88</v>
      </c>
      <c r="C327">
        <v>7</v>
      </c>
      <c r="D327">
        <v>50</v>
      </c>
      <c r="E327">
        <v>99</v>
      </c>
      <c r="F327" s="12"/>
    </row>
    <row r="328" spans="1:6" x14ac:dyDescent="0.45">
      <c r="A328" t="s">
        <v>734</v>
      </c>
      <c r="B328" t="s">
        <v>88</v>
      </c>
      <c r="C328">
        <v>7</v>
      </c>
      <c r="D328">
        <v>50</v>
      </c>
      <c r="E328">
        <v>116</v>
      </c>
      <c r="F328" s="12"/>
    </row>
    <row r="329" spans="1:6" x14ac:dyDescent="0.45">
      <c r="A329" t="s">
        <v>735</v>
      </c>
      <c r="B329" t="s">
        <v>88</v>
      </c>
      <c r="C329">
        <v>7</v>
      </c>
      <c r="D329">
        <v>50</v>
      </c>
      <c r="E329">
        <v>132</v>
      </c>
      <c r="F329" s="12"/>
    </row>
    <row r="330" spans="1:6" x14ac:dyDescent="0.45">
      <c r="A330" t="s">
        <v>736</v>
      </c>
      <c r="B330" t="s">
        <v>88</v>
      </c>
      <c r="C330">
        <v>7</v>
      </c>
      <c r="D330">
        <v>50</v>
      </c>
      <c r="E330">
        <v>149</v>
      </c>
      <c r="F330" s="12"/>
    </row>
    <row r="331" spans="1:6" x14ac:dyDescent="0.45">
      <c r="A331" t="s">
        <v>737</v>
      </c>
      <c r="B331" t="s">
        <v>88</v>
      </c>
      <c r="C331">
        <v>7</v>
      </c>
      <c r="D331">
        <v>50</v>
      </c>
      <c r="E331">
        <v>166</v>
      </c>
      <c r="F331" s="12"/>
    </row>
    <row r="332" spans="1:6" x14ac:dyDescent="0.45">
      <c r="A332" t="s">
        <v>738</v>
      </c>
      <c r="B332" t="s">
        <v>88</v>
      </c>
      <c r="C332">
        <v>7</v>
      </c>
      <c r="D332">
        <v>50</v>
      </c>
      <c r="E332">
        <v>182</v>
      </c>
      <c r="F332" s="12"/>
    </row>
    <row r="333" spans="1:6" x14ac:dyDescent="0.45">
      <c r="A333" t="s">
        <v>739</v>
      </c>
      <c r="B333" t="s">
        <v>88</v>
      </c>
      <c r="C333">
        <v>7</v>
      </c>
      <c r="D333">
        <v>50</v>
      </c>
      <c r="E333">
        <v>199</v>
      </c>
      <c r="F333" s="12"/>
    </row>
    <row r="334" spans="1:6" x14ac:dyDescent="0.45">
      <c r="A334" t="s">
        <v>740</v>
      </c>
      <c r="B334" t="s">
        <v>88</v>
      </c>
      <c r="C334">
        <v>8</v>
      </c>
      <c r="D334">
        <v>50</v>
      </c>
      <c r="E334">
        <v>66</v>
      </c>
      <c r="F334" s="12"/>
    </row>
    <row r="335" spans="1:6" x14ac:dyDescent="0.45">
      <c r="A335" t="s">
        <v>741</v>
      </c>
      <c r="B335" t="s">
        <v>88</v>
      </c>
      <c r="C335">
        <v>8</v>
      </c>
      <c r="D335">
        <v>50</v>
      </c>
      <c r="E335">
        <v>82</v>
      </c>
      <c r="F335" s="12"/>
    </row>
    <row r="336" spans="1:6" x14ac:dyDescent="0.45">
      <c r="A336" t="s">
        <v>742</v>
      </c>
      <c r="B336" t="s">
        <v>88</v>
      </c>
      <c r="C336">
        <v>8</v>
      </c>
      <c r="D336">
        <v>50</v>
      </c>
      <c r="E336">
        <v>99</v>
      </c>
      <c r="F336" s="12"/>
    </row>
    <row r="337" spans="1:6" x14ac:dyDescent="0.45">
      <c r="A337" t="s">
        <v>743</v>
      </c>
      <c r="B337" t="s">
        <v>88</v>
      </c>
      <c r="C337">
        <v>8</v>
      </c>
      <c r="D337">
        <v>50</v>
      </c>
      <c r="E337">
        <v>116</v>
      </c>
      <c r="F337" s="12"/>
    </row>
    <row r="338" spans="1:6" x14ac:dyDescent="0.45">
      <c r="A338" t="s">
        <v>744</v>
      </c>
      <c r="B338" t="s">
        <v>88</v>
      </c>
      <c r="C338">
        <v>8</v>
      </c>
      <c r="D338">
        <v>50</v>
      </c>
      <c r="E338">
        <v>132</v>
      </c>
      <c r="F338" s="12"/>
    </row>
    <row r="339" spans="1:6" x14ac:dyDescent="0.45">
      <c r="A339" t="s">
        <v>745</v>
      </c>
      <c r="B339" t="s">
        <v>88</v>
      </c>
      <c r="C339">
        <v>8</v>
      </c>
      <c r="D339">
        <v>50</v>
      </c>
      <c r="E339">
        <v>149</v>
      </c>
      <c r="F339" s="12"/>
    </row>
    <row r="340" spans="1:6" x14ac:dyDescent="0.45">
      <c r="A340" t="s">
        <v>746</v>
      </c>
      <c r="B340" t="s">
        <v>88</v>
      </c>
      <c r="C340">
        <v>8</v>
      </c>
      <c r="D340">
        <v>50</v>
      </c>
      <c r="E340">
        <v>166</v>
      </c>
      <c r="F340" s="12"/>
    </row>
    <row r="341" spans="1:6" x14ac:dyDescent="0.45">
      <c r="A341" t="s">
        <v>747</v>
      </c>
      <c r="B341" t="s">
        <v>88</v>
      </c>
      <c r="C341">
        <v>8</v>
      </c>
      <c r="D341">
        <v>50</v>
      </c>
      <c r="E341">
        <v>182</v>
      </c>
      <c r="F341" s="12"/>
    </row>
    <row r="342" spans="1:6" x14ac:dyDescent="0.45">
      <c r="A342" t="s">
        <v>748</v>
      </c>
      <c r="B342" t="s">
        <v>88</v>
      </c>
      <c r="C342">
        <v>8</v>
      </c>
      <c r="D342">
        <v>50</v>
      </c>
      <c r="E342">
        <v>199</v>
      </c>
      <c r="F342" s="12"/>
    </row>
    <row r="343" spans="1:6" x14ac:dyDescent="0.45">
      <c r="A343" t="s">
        <v>749</v>
      </c>
      <c r="B343" t="s">
        <v>88</v>
      </c>
      <c r="C343">
        <v>9</v>
      </c>
      <c r="D343">
        <v>50</v>
      </c>
      <c r="E343">
        <v>66</v>
      </c>
      <c r="F343" s="12"/>
    </row>
    <row r="344" spans="1:6" x14ac:dyDescent="0.45">
      <c r="A344" t="s">
        <v>750</v>
      </c>
      <c r="B344" t="s">
        <v>88</v>
      </c>
      <c r="C344">
        <v>9</v>
      </c>
      <c r="D344">
        <v>50</v>
      </c>
      <c r="E344">
        <v>82</v>
      </c>
      <c r="F344" s="12"/>
    </row>
    <row r="345" spans="1:6" x14ac:dyDescent="0.45">
      <c r="A345" t="s">
        <v>751</v>
      </c>
      <c r="B345" t="s">
        <v>88</v>
      </c>
      <c r="C345">
        <v>9</v>
      </c>
      <c r="D345">
        <v>50</v>
      </c>
      <c r="E345">
        <v>99</v>
      </c>
      <c r="F345" s="12"/>
    </row>
    <row r="346" spans="1:6" x14ac:dyDescent="0.45">
      <c r="A346" t="s">
        <v>752</v>
      </c>
      <c r="B346" t="s">
        <v>88</v>
      </c>
      <c r="C346">
        <v>9</v>
      </c>
      <c r="D346">
        <v>50</v>
      </c>
      <c r="E346">
        <v>116</v>
      </c>
      <c r="F346" s="12"/>
    </row>
    <row r="347" spans="1:6" x14ac:dyDescent="0.45">
      <c r="A347" t="s">
        <v>753</v>
      </c>
      <c r="B347" t="s">
        <v>88</v>
      </c>
      <c r="C347">
        <v>9</v>
      </c>
      <c r="D347">
        <v>50</v>
      </c>
      <c r="E347">
        <v>132</v>
      </c>
      <c r="F347" s="12"/>
    </row>
    <row r="348" spans="1:6" x14ac:dyDescent="0.45">
      <c r="A348" t="s">
        <v>754</v>
      </c>
      <c r="B348" t="s">
        <v>88</v>
      </c>
      <c r="C348">
        <v>9</v>
      </c>
      <c r="D348">
        <v>50</v>
      </c>
      <c r="E348">
        <v>149</v>
      </c>
      <c r="F348" s="12"/>
    </row>
    <row r="349" spans="1:6" x14ac:dyDescent="0.45">
      <c r="A349" t="s">
        <v>755</v>
      </c>
      <c r="B349" t="s">
        <v>88</v>
      </c>
      <c r="C349">
        <v>9</v>
      </c>
      <c r="D349">
        <v>50</v>
      </c>
      <c r="E349">
        <v>166</v>
      </c>
      <c r="F349" s="12"/>
    </row>
    <row r="350" spans="1:6" x14ac:dyDescent="0.45">
      <c r="A350" t="s">
        <v>756</v>
      </c>
      <c r="B350" t="s">
        <v>88</v>
      </c>
      <c r="C350">
        <v>9</v>
      </c>
      <c r="D350">
        <v>50</v>
      </c>
      <c r="E350">
        <v>182</v>
      </c>
      <c r="F350" s="12"/>
    </row>
    <row r="351" spans="1:6" x14ac:dyDescent="0.45">
      <c r="A351" t="s">
        <v>757</v>
      </c>
      <c r="B351" t="s">
        <v>88</v>
      </c>
      <c r="C351">
        <v>9</v>
      </c>
      <c r="D351">
        <v>50</v>
      </c>
      <c r="E351">
        <v>199</v>
      </c>
      <c r="F351" s="12"/>
    </row>
    <row r="352" spans="1:6" x14ac:dyDescent="0.45">
      <c r="A352" t="s">
        <v>758</v>
      </c>
      <c r="B352" t="s">
        <v>88</v>
      </c>
      <c r="C352">
        <v>10</v>
      </c>
      <c r="D352">
        <v>50</v>
      </c>
      <c r="E352">
        <v>32</v>
      </c>
      <c r="F352" s="12"/>
    </row>
    <row r="353" spans="1:6" x14ac:dyDescent="0.45">
      <c r="A353" t="s">
        <v>759</v>
      </c>
      <c r="B353" t="s">
        <v>88</v>
      </c>
      <c r="C353">
        <v>10</v>
      </c>
      <c r="D353">
        <v>50</v>
      </c>
      <c r="E353">
        <v>49</v>
      </c>
      <c r="F353" s="12"/>
    </row>
    <row r="354" spans="1:6" x14ac:dyDescent="0.45">
      <c r="A354" t="s">
        <v>760</v>
      </c>
      <c r="B354" t="s">
        <v>88</v>
      </c>
      <c r="C354">
        <v>10</v>
      </c>
      <c r="D354">
        <v>50</v>
      </c>
      <c r="E354">
        <v>66</v>
      </c>
      <c r="F354" s="12"/>
    </row>
    <row r="355" spans="1:6" x14ac:dyDescent="0.45">
      <c r="A355" t="s">
        <v>761</v>
      </c>
      <c r="B355" t="s">
        <v>88</v>
      </c>
      <c r="C355">
        <v>10</v>
      </c>
      <c r="D355">
        <v>50</v>
      </c>
      <c r="E355">
        <v>82</v>
      </c>
      <c r="F355" s="12"/>
    </row>
    <row r="356" spans="1:6" x14ac:dyDescent="0.45">
      <c r="A356" t="s">
        <v>762</v>
      </c>
      <c r="B356" t="s">
        <v>88</v>
      </c>
      <c r="C356">
        <v>10</v>
      </c>
      <c r="D356">
        <v>50</v>
      </c>
      <c r="E356">
        <v>99</v>
      </c>
      <c r="F356" s="12"/>
    </row>
    <row r="357" spans="1:6" x14ac:dyDescent="0.45">
      <c r="A357" t="s">
        <v>763</v>
      </c>
      <c r="B357" t="s">
        <v>88</v>
      </c>
      <c r="C357">
        <v>10</v>
      </c>
      <c r="D357">
        <v>50</v>
      </c>
      <c r="E357">
        <v>116</v>
      </c>
      <c r="F357" s="12"/>
    </row>
    <row r="358" spans="1:6" x14ac:dyDescent="0.45">
      <c r="A358" t="s">
        <v>764</v>
      </c>
      <c r="B358" t="s">
        <v>88</v>
      </c>
      <c r="C358">
        <v>10</v>
      </c>
      <c r="D358">
        <v>50</v>
      </c>
      <c r="E358">
        <v>132</v>
      </c>
      <c r="F358" s="12"/>
    </row>
    <row r="359" spans="1:6" x14ac:dyDescent="0.45">
      <c r="A359" t="s">
        <v>765</v>
      </c>
      <c r="B359" t="s">
        <v>88</v>
      </c>
      <c r="C359">
        <v>10</v>
      </c>
      <c r="D359">
        <v>50</v>
      </c>
      <c r="E359">
        <v>149</v>
      </c>
      <c r="F359" s="12"/>
    </row>
    <row r="360" spans="1:6" x14ac:dyDescent="0.45">
      <c r="A360" t="s">
        <v>766</v>
      </c>
      <c r="B360" t="s">
        <v>88</v>
      </c>
      <c r="C360">
        <v>10</v>
      </c>
      <c r="D360">
        <v>50</v>
      </c>
      <c r="E360">
        <v>166</v>
      </c>
      <c r="F360" s="12"/>
    </row>
    <row r="361" spans="1:6" x14ac:dyDescent="0.45">
      <c r="A361" t="s">
        <v>767</v>
      </c>
      <c r="B361" t="s">
        <v>88</v>
      </c>
      <c r="C361">
        <v>10</v>
      </c>
      <c r="D361">
        <v>50</v>
      </c>
      <c r="E361">
        <v>182</v>
      </c>
      <c r="F361" s="12"/>
    </row>
    <row r="362" spans="1:6" x14ac:dyDescent="0.45">
      <c r="A362" t="s">
        <v>768</v>
      </c>
      <c r="B362" t="s">
        <v>88</v>
      </c>
      <c r="C362">
        <v>10</v>
      </c>
      <c r="D362">
        <v>50</v>
      </c>
      <c r="E362">
        <v>199</v>
      </c>
      <c r="F362" s="12"/>
    </row>
    <row r="363" spans="1:6" x14ac:dyDescent="0.45">
      <c r="A363" t="s">
        <v>769</v>
      </c>
      <c r="B363" t="s">
        <v>88</v>
      </c>
      <c r="C363">
        <v>11</v>
      </c>
      <c r="D363">
        <v>50</v>
      </c>
      <c r="E363">
        <v>32</v>
      </c>
      <c r="F363" s="12"/>
    </row>
    <row r="364" spans="1:6" x14ac:dyDescent="0.45">
      <c r="A364" t="s">
        <v>770</v>
      </c>
      <c r="B364" t="s">
        <v>88</v>
      </c>
      <c r="C364">
        <v>11</v>
      </c>
      <c r="D364">
        <v>50</v>
      </c>
      <c r="E364">
        <v>49</v>
      </c>
      <c r="F364" s="12"/>
    </row>
    <row r="365" spans="1:6" x14ac:dyDescent="0.45">
      <c r="A365" t="s">
        <v>771</v>
      </c>
      <c r="B365" t="s">
        <v>88</v>
      </c>
      <c r="C365">
        <v>11</v>
      </c>
      <c r="D365">
        <v>50</v>
      </c>
      <c r="E365">
        <v>66</v>
      </c>
      <c r="F365" s="12"/>
    </row>
    <row r="366" spans="1:6" x14ac:dyDescent="0.45">
      <c r="A366" t="s">
        <v>772</v>
      </c>
      <c r="B366" t="s">
        <v>88</v>
      </c>
      <c r="C366">
        <v>11</v>
      </c>
      <c r="D366">
        <v>50</v>
      </c>
      <c r="E366">
        <v>82</v>
      </c>
      <c r="F366" s="12"/>
    </row>
    <row r="367" spans="1:6" x14ac:dyDescent="0.45">
      <c r="A367" t="s">
        <v>773</v>
      </c>
      <c r="B367" t="s">
        <v>88</v>
      </c>
      <c r="C367">
        <v>11</v>
      </c>
      <c r="D367">
        <v>50</v>
      </c>
      <c r="E367">
        <v>99</v>
      </c>
      <c r="F367" s="12"/>
    </row>
    <row r="368" spans="1:6" x14ac:dyDescent="0.45">
      <c r="A368" t="s">
        <v>774</v>
      </c>
      <c r="B368" t="s">
        <v>88</v>
      </c>
      <c r="C368">
        <v>11</v>
      </c>
      <c r="D368">
        <v>50</v>
      </c>
      <c r="E368">
        <v>116</v>
      </c>
      <c r="F368" s="12"/>
    </row>
    <row r="369" spans="1:6" x14ac:dyDescent="0.45">
      <c r="A369" t="s">
        <v>775</v>
      </c>
      <c r="B369" t="s">
        <v>88</v>
      </c>
      <c r="C369">
        <v>11</v>
      </c>
      <c r="D369">
        <v>50</v>
      </c>
      <c r="E369">
        <v>132</v>
      </c>
      <c r="F369" s="12"/>
    </row>
    <row r="370" spans="1:6" x14ac:dyDescent="0.45">
      <c r="A370" t="s">
        <v>776</v>
      </c>
      <c r="B370" t="s">
        <v>88</v>
      </c>
      <c r="C370">
        <v>11</v>
      </c>
      <c r="D370">
        <v>50</v>
      </c>
      <c r="E370">
        <v>149</v>
      </c>
      <c r="F370" s="12"/>
    </row>
    <row r="371" spans="1:6" x14ac:dyDescent="0.45">
      <c r="A371" t="s">
        <v>777</v>
      </c>
      <c r="B371" t="s">
        <v>88</v>
      </c>
      <c r="C371">
        <v>11</v>
      </c>
      <c r="D371">
        <v>50</v>
      </c>
      <c r="E371">
        <v>166</v>
      </c>
      <c r="F371" s="12"/>
    </row>
    <row r="372" spans="1:6" x14ac:dyDescent="0.45">
      <c r="A372" t="s">
        <v>778</v>
      </c>
      <c r="B372" t="s">
        <v>88</v>
      </c>
      <c r="C372">
        <v>11</v>
      </c>
      <c r="D372">
        <v>50</v>
      </c>
      <c r="E372">
        <v>182</v>
      </c>
      <c r="F372" s="12"/>
    </row>
    <row r="373" spans="1:6" x14ac:dyDescent="0.45">
      <c r="A373" t="s">
        <v>779</v>
      </c>
      <c r="B373" t="s">
        <v>88</v>
      </c>
      <c r="C373">
        <v>11</v>
      </c>
      <c r="D373">
        <v>50</v>
      </c>
      <c r="E373">
        <v>199</v>
      </c>
      <c r="F373" s="12"/>
    </row>
    <row r="374" spans="1:6" x14ac:dyDescent="0.45">
      <c r="A374" t="s">
        <v>780</v>
      </c>
      <c r="B374" t="s">
        <v>88</v>
      </c>
      <c r="C374">
        <v>12</v>
      </c>
      <c r="D374">
        <v>50</v>
      </c>
      <c r="E374">
        <v>32</v>
      </c>
      <c r="F374" s="12"/>
    </row>
    <row r="375" spans="1:6" x14ac:dyDescent="0.45">
      <c r="A375" t="s">
        <v>781</v>
      </c>
      <c r="B375" t="s">
        <v>88</v>
      </c>
      <c r="C375">
        <v>12</v>
      </c>
      <c r="D375">
        <v>50</v>
      </c>
      <c r="E375">
        <v>49</v>
      </c>
      <c r="F375" s="12"/>
    </row>
    <row r="376" spans="1:6" x14ac:dyDescent="0.45">
      <c r="A376" t="s">
        <v>782</v>
      </c>
      <c r="B376" t="s">
        <v>88</v>
      </c>
      <c r="C376">
        <v>12</v>
      </c>
      <c r="D376">
        <v>50</v>
      </c>
      <c r="E376">
        <v>66</v>
      </c>
      <c r="F376" s="12"/>
    </row>
    <row r="377" spans="1:6" x14ac:dyDescent="0.45">
      <c r="A377" t="s">
        <v>783</v>
      </c>
      <c r="B377" t="s">
        <v>88</v>
      </c>
      <c r="C377">
        <v>12</v>
      </c>
      <c r="D377">
        <v>50</v>
      </c>
      <c r="E377">
        <v>82</v>
      </c>
      <c r="F377" s="12"/>
    </row>
    <row r="378" spans="1:6" x14ac:dyDescent="0.45">
      <c r="A378" t="s">
        <v>784</v>
      </c>
      <c r="B378" t="s">
        <v>88</v>
      </c>
      <c r="C378">
        <v>12</v>
      </c>
      <c r="D378">
        <v>50</v>
      </c>
      <c r="E378">
        <v>99</v>
      </c>
      <c r="F378" s="12"/>
    </row>
    <row r="379" spans="1:6" x14ac:dyDescent="0.45">
      <c r="A379" t="s">
        <v>785</v>
      </c>
      <c r="B379" t="s">
        <v>88</v>
      </c>
      <c r="C379">
        <v>12</v>
      </c>
      <c r="D379">
        <v>50</v>
      </c>
      <c r="E379">
        <v>116</v>
      </c>
      <c r="F379" s="12"/>
    </row>
    <row r="380" spans="1:6" x14ac:dyDescent="0.45">
      <c r="A380" t="s">
        <v>786</v>
      </c>
      <c r="B380" t="s">
        <v>88</v>
      </c>
      <c r="C380">
        <v>12</v>
      </c>
      <c r="D380">
        <v>50</v>
      </c>
      <c r="E380">
        <v>132</v>
      </c>
      <c r="F380" s="12"/>
    </row>
    <row r="381" spans="1:6" x14ac:dyDescent="0.45">
      <c r="A381" t="s">
        <v>787</v>
      </c>
      <c r="B381" t="s">
        <v>88</v>
      </c>
      <c r="C381">
        <v>12</v>
      </c>
      <c r="D381">
        <v>50</v>
      </c>
      <c r="E381">
        <v>149</v>
      </c>
      <c r="F381" s="12"/>
    </row>
    <row r="382" spans="1:6" x14ac:dyDescent="0.45">
      <c r="A382" t="s">
        <v>788</v>
      </c>
      <c r="B382" t="s">
        <v>88</v>
      </c>
      <c r="C382">
        <v>12</v>
      </c>
      <c r="D382">
        <v>50</v>
      </c>
      <c r="E382">
        <v>166</v>
      </c>
      <c r="F382" s="12"/>
    </row>
    <row r="383" spans="1:6" x14ac:dyDescent="0.45">
      <c r="A383" t="s">
        <v>789</v>
      </c>
      <c r="B383" t="s">
        <v>88</v>
      </c>
      <c r="C383">
        <v>12</v>
      </c>
      <c r="D383">
        <v>50</v>
      </c>
      <c r="E383">
        <v>182</v>
      </c>
      <c r="F383" s="12"/>
    </row>
    <row r="384" spans="1:6" x14ac:dyDescent="0.45">
      <c r="A384" t="s">
        <v>790</v>
      </c>
      <c r="B384" t="s">
        <v>88</v>
      </c>
      <c r="C384">
        <v>12</v>
      </c>
      <c r="D384">
        <v>50</v>
      </c>
      <c r="E384">
        <v>199</v>
      </c>
      <c r="F384" s="12"/>
    </row>
    <row r="385" spans="1:6" x14ac:dyDescent="0.45">
      <c r="A385" t="s">
        <v>791</v>
      </c>
      <c r="B385" t="s">
        <v>88</v>
      </c>
      <c r="C385">
        <v>13</v>
      </c>
      <c r="D385">
        <v>50</v>
      </c>
      <c r="E385">
        <v>32</v>
      </c>
      <c r="F385" s="12"/>
    </row>
    <row r="386" spans="1:6" x14ac:dyDescent="0.45">
      <c r="A386" t="s">
        <v>792</v>
      </c>
      <c r="B386" t="s">
        <v>88</v>
      </c>
      <c r="C386">
        <v>13</v>
      </c>
      <c r="D386">
        <v>50</v>
      </c>
      <c r="E386">
        <v>49</v>
      </c>
      <c r="F386" s="12"/>
    </row>
    <row r="387" spans="1:6" x14ac:dyDescent="0.45">
      <c r="A387" t="s">
        <v>793</v>
      </c>
      <c r="B387" t="s">
        <v>88</v>
      </c>
      <c r="C387">
        <v>13</v>
      </c>
      <c r="D387">
        <v>50</v>
      </c>
      <c r="E387">
        <v>66</v>
      </c>
      <c r="F387" s="12"/>
    </row>
    <row r="388" spans="1:6" x14ac:dyDescent="0.45">
      <c r="A388" t="s">
        <v>794</v>
      </c>
      <c r="B388" t="s">
        <v>88</v>
      </c>
      <c r="C388">
        <v>13</v>
      </c>
      <c r="D388">
        <v>50</v>
      </c>
      <c r="E388">
        <v>82</v>
      </c>
      <c r="F388" s="12"/>
    </row>
    <row r="389" spans="1:6" x14ac:dyDescent="0.45">
      <c r="A389" t="s">
        <v>795</v>
      </c>
      <c r="B389" t="s">
        <v>88</v>
      </c>
      <c r="C389">
        <v>13</v>
      </c>
      <c r="D389">
        <v>50</v>
      </c>
      <c r="E389">
        <v>99</v>
      </c>
      <c r="F389" s="12"/>
    </row>
    <row r="390" spans="1:6" x14ac:dyDescent="0.45">
      <c r="A390" t="s">
        <v>796</v>
      </c>
      <c r="B390" t="s">
        <v>88</v>
      </c>
      <c r="C390">
        <v>13</v>
      </c>
      <c r="D390">
        <v>50</v>
      </c>
      <c r="E390">
        <v>116</v>
      </c>
      <c r="F390" s="12"/>
    </row>
    <row r="391" spans="1:6" x14ac:dyDescent="0.45">
      <c r="A391" t="s">
        <v>797</v>
      </c>
      <c r="B391" t="s">
        <v>88</v>
      </c>
      <c r="C391">
        <v>13</v>
      </c>
      <c r="D391">
        <v>50</v>
      </c>
      <c r="E391">
        <v>132</v>
      </c>
      <c r="F391" s="12"/>
    </row>
    <row r="392" spans="1:6" x14ac:dyDescent="0.45">
      <c r="A392" t="s">
        <v>798</v>
      </c>
      <c r="B392" t="s">
        <v>88</v>
      </c>
      <c r="C392">
        <v>13</v>
      </c>
      <c r="D392">
        <v>50</v>
      </c>
      <c r="E392">
        <v>149</v>
      </c>
      <c r="F392" s="12"/>
    </row>
    <row r="393" spans="1:6" x14ac:dyDescent="0.45">
      <c r="A393" t="s">
        <v>799</v>
      </c>
      <c r="B393" t="s">
        <v>88</v>
      </c>
      <c r="C393">
        <v>13</v>
      </c>
      <c r="D393">
        <v>50</v>
      </c>
      <c r="E393">
        <v>166</v>
      </c>
      <c r="F393" s="12"/>
    </row>
    <row r="394" spans="1:6" x14ac:dyDescent="0.45">
      <c r="A394" t="s">
        <v>800</v>
      </c>
      <c r="B394" t="s">
        <v>88</v>
      </c>
      <c r="C394">
        <v>13</v>
      </c>
      <c r="D394">
        <v>50</v>
      </c>
      <c r="E394">
        <v>182</v>
      </c>
      <c r="F394" s="12"/>
    </row>
    <row r="395" spans="1:6" x14ac:dyDescent="0.45">
      <c r="A395" t="s">
        <v>801</v>
      </c>
      <c r="B395" t="s">
        <v>88</v>
      </c>
      <c r="C395">
        <v>13</v>
      </c>
      <c r="D395">
        <v>50</v>
      </c>
      <c r="E395">
        <v>199</v>
      </c>
      <c r="F395" s="12"/>
    </row>
    <row r="396" spans="1:6" x14ac:dyDescent="0.45">
      <c r="A396" t="s">
        <v>802</v>
      </c>
      <c r="B396" t="s">
        <v>88</v>
      </c>
      <c r="C396">
        <v>14</v>
      </c>
      <c r="D396">
        <v>50</v>
      </c>
      <c r="E396">
        <v>32</v>
      </c>
      <c r="F396" s="12"/>
    </row>
    <row r="397" spans="1:6" x14ac:dyDescent="0.45">
      <c r="A397" t="s">
        <v>803</v>
      </c>
      <c r="B397" t="s">
        <v>88</v>
      </c>
      <c r="C397">
        <v>14</v>
      </c>
      <c r="D397">
        <v>50</v>
      </c>
      <c r="E397">
        <v>49</v>
      </c>
      <c r="F397" s="12"/>
    </row>
    <row r="398" spans="1:6" x14ac:dyDescent="0.45">
      <c r="A398" t="s">
        <v>804</v>
      </c>
      <c r="B398" t="s">
        <v>88</v>
      </c>
      <c r="C398">
        <v>14</v>
      </c>
      <c r="D398">
        <v>50</v>
      </c>
      <c r="E398">
        <v>66</v>
      </c>
      <c r="F398" s="12"/>
    </row>
    <row r="399" spans="1:6" x14ac:dyDescent="0.45">
      <c r="A399" t="s">
        <v>805</v>
      </c>
      <c r="B399" t="s">
        <v>88</v>
      </c>
      <c r="C399">
        <v>14</v>
      </c>
      <c r="D399">
        <v>50</v>
      </c>
      <c r="E399">
        <v>82</v>
      </c>
      <c r="F399" s="12"/>
    </row>
    <row r="400" spans="1:6" x14ac:dyDescent="0.45">
      <c r="A400" t="s">
        <v>806</v>
      </c>
      <c r="B400" t="s">
        <v>88</v>
      </c>
      <c r="C400">
        <v>14</v>
      </c>
      <c r="D400">
        <v>50</v>
      </c>
      <c r="E400">
        <v>99</v>
      </c>
      <c r="F400" s="12"/>
    </row>
    <row r="401" spans="1:6" x14ac:dyDescent="0.45">
      <c r="A401" t="s">
        <v>807</v>
      </c>
      <c r="B401" t="s">
        <v>88</v>
      </c>
      <c r="C401">
        <v>14</v>
      </c>
      <c r="D401">
        <v>50</v>
      </c>
      <c r="E401">
        <v>116</v>
      </c>
      <c r="F401" s="12"/>
    </row>
    <row r="402" spans="1:6" x14ac:dyDescent="0.45">
      <c r="A402" t="s">
        <v>808</v>
      </c>
      <c r="B402" t="s">
        <v>88</v>
      </c>
      <c r="C402">
        <v>14</v>
      </c>
      <c r="D402">
        <v>50</v>
      </c>
      <c r="E402">
        <v>132</v>
      </c>
      <c r="F402" s="12"/>
    </row>
    <row r="403" spans="1:6" x14ac:dyDescent="0.45">
      <c r="A403" t="s">
        <v>809</v>
      </c>
      <c r="B403" t="s">
        <v>88</v>
      </c>
      <c r="C403">
        <v>14</v>
      </c>
      <c r="D403">
        <v>50</v>
      </c>
      <c r="E403">
        <v>149</v>
      </c>
      <c r="F403" s="12"/>
    </row>
    <row r="404" spans="1:6" x14ac:dyDescent="0.45">
      <c r="A404" t="s">
        <v>810</v>
      </c>
      <c r="B404" t="s">
        <v>88</v>
      </c>
      <c r="C404">
        <v>14</v>
      </c>
      <c r="D404">
        <v>50</v>
      </c>
      <c r="E404">
        <v>166</v>
      </c>
      <c r="F404" s="12"/>
    </row>
    <row r="405" spans="1:6" x14ac:dyDescent="0.45">
      <c r="A405" t="s">
        <v>811</v>
      </c>
      <c r="B405" t="s">
        <v>88</v>
      </c>
      <c r="C405">
        <v>14</v>
      </c>
      <c r="D405">
        <v>50</v>
      </c>
      <c r="E405">
        <v>182</v>
      </c>
      <c r="F405" s="12"/>
    </row>
    <row r="406" spans="1:6" x14ac:dyDescent="0.45">
      <c r="A406" t="s">
        <v>812</v>
      </c>
      <c r="B406" t="s">
        <v>88</v>
      </c>
      <c r="C406">
        <v>14</v>
      </c>
      <c r="D406">
        <v>50</v>
      </c>
      <c r="E406">
        <v>199</v>
      </c>
      <c r="F406" s="12"/>
    </row>
    <row r="407" spans="1:6" x14ac:dyDescent="0.45">
      <c r="A407" t="s">
        <v>813</v>
      </c>
      <c r="B407" t="s">
        <v>88</v>
      </c>
      <c r="C407">
        <v>15</v>
      </c>
      <c r="D407">
        <v>50</v>
      </c>
      <c r="E407">
        <v>24</v>
      </c>
      <c r="F407" s="12"/>
    </row>
    <row r="408" spans="1:6" x14ac:dyDescent="0.45">
      <c r="A408" t="s">
        <v>814</v>
      </c>
      <c r="B408" t="s">
        <v>88</v>
      </c>
      <c r="C408">
        <v>15</v>
      </c>
      <c r="D408">
        <v>50</v>
      </c>
      <c r="E408">
        <v>32</v>
      </c>
      <c r="F408" s="12"/>
    </row>
    <row r="409" spans="1:6" x14ac:dyDescent="0.45">
      <c r="A409" t="s">
        <v>815</v>
      </c>
      <c r="B409" t="s">
        <v>88</v>
      </c>
      <c r="C409">
        <v>15</v>
      </c>
      <c r="D409">
        <v>50</v>
      </c>
      <c r="E409">
        <v>49</v>
      </c>
      <c r="F409" s="12"/>
    </row>
    <row r="410" spans="1:6" x14ac:dyDescent="0.45">
      <c r="A410" t="s">
        <v>816</v>
      </c>
      <c r="B410" t="s">
        <v>88</v>
      </c>
      <c r="C410">
        <v>15</v>
      </c>
      <c r="D410">
        <v>50</v>
      </c>
      <c r="E410">
        <v>66</v>
      </c>
      <c r="F410" s="12"/>
    </row>
    <row r="411" spans="1:6" x14ac:dyDescent="0.45">
      <c r="A411" t="s">
        <v>817</v>
      </c>
      <c r="B411" t="s">
        <v>88</v>
      </c>
      <c r="C411">
        <v>15</v>
      </c>
      <c r="D411">
        <v>50</v>
      </c>
      <c r="E411">
        <v>82</v>
      </c>
      <c r="F411" s="12"/>
    </row>
    <row r="412" spans="1:6" x14ac:dyDescent="0.45">
      <c r="A412" t="s">
        <v>818</v>
      </c>
      <c r="B412" t="s">
        <v>88</v>
      </c>
      <c r="C412">
        <v>15</v>
      </c>
      <c r="D412">
        <v>50</v>
      </c>
      <c r="E412">
        <v>99</v>
      </c>
      <c r="F412" s="12"/>
    </row>
    <row r="413" spans="1:6" x14ac:dyDescent="0.45">
      <c r="A413" t="s">
        <v>819</v>
      </c>
      <c r="B413" t="s">
        <v>88</v>
      </c>
      <c r="C413">
        <v>15</v>
      </c>
      <c r="D413">
        <v>50</v>
      </c>
      <c r="E413">
        <v>116</v>
      </c>
      <c r="F413" s="12"/>
    </row>
    <row r="414" spans="1:6" x14ac:dyDescent="0.45">
      <c r="A414" t="s">
        <v>820</v>
      </c>
      <c r="B414" t="s">
        <v>88</v>
      </c>
      <c r="C414">
        <v>15</v>
      </c>
      <c r="D414">
        <v>50</v>
      </c>
      <c r="E414">
        <v>132</v>
      </c>
      <c r="F414" s="12"/>
    </row>
    <row r="415" spans="1:6" x14ac:dyDescent="0.45">
      <c r="A415" t="s">
        <v>821</v>
      </c>
      <c r="B415" t="s">
        <v>88</v>
      </c>
      <c r="C415">
        <v>15</v>
      </c>
      <c r="D415">
        <v>50</v>
      </c>
      <c r="E415">
        <v>149</v>
      </c>
      <c r="F415" s="12"/>
    </row>
    <row r="416" spans="1:6" x14ac:dyDescent="0.45">
      <c r="A416" t="s">
        <v>822</v>
      </c>
      <c r="B416" t="s">
        <v>88</v>
      </c>
      <c r="C416">
        <v>15</v>
      </c>
      <c r="D416">
        <v>50</v>
      </c>
      <c r="E416">
        <v>166</v>
      </c>
      <c r="F416" s="12"/>
    </row>
    <row r="417" spans="1:6" x14ac:dyDescent="0.45">
      <c r="A417" t="s">
        <v>823</v>
      </c>
      <c r="B417" t="s">
        <v>88</v>
      </c>
      <c r="C417">
        <v>15</v>
      </c>
      <c r="D417">
        <v>50</v>
      </c>
      <c r="E417">
        <v>182</v>
      </c>
      <c r="F417" s="12"/>
    </row>
    <row r="418" spans="1:6" x14ac:dyDescent="0.45">
      <c r="A418" t="s">
        <v>824</v>
      </c>
      <c r="B418" t="s">
        <v>88</v>
      </c>
      <c r="C418">
        <v>15</v>
      </c>
      <c r="D418">
        <v>50</v>
      </c>
      <c r="E418">
        <v>199</v>
      </c>
      <c r="F418" s="12"/>
    </row>
    <row r="419" spans="1:6" x14ac:dyDescent="0.45">
      <c r="A419" t="s">
        <v>825</v>
      </c>
      <c r="B419" t="s">
        <v>88</v>
      </c>
      <c r="C419">
        <v>16</v>
      </c>
      <c r="D419">
        <v>50</v>
      </c>
      <c r="E419">
        <v>24</v>
      </c>
      <c r="F419" s="12"/>
    </row>
    <row r="420" spans="1:6" x14ac:dyDescent="0.45">
      <c r="A420" t="s">
        <v>826</v>
      </c>
      <c r="B420" t="s">
        <v>88</v>
      </c>
      <c r="C420">
        <v>16</v>
      </c>
      <c r="D420">
        <v>50</v>
      </c>
      <c r="E420">
        <v>32</v>
      </c>
      <c r="F420" s="12"/>
    </row>
    <row r="421" spans="1:6" x14ac:dyDescent="0.45">
      <c r="A421" t="s">
        <v>827</v>
      </c>
      <c r="B421" t="s">
        <v>88</v>
      </c>
      <c r="C421">
        <v>16</v>
      </c>
      <c r="D421">
        <v>50</v>
      </c>
      <c r="E421">
        <v>49</v>
      </c>
      <c r="F421" s="12"/>
    </row>
    <row r="422" spans="1:6" x14ac:dyDescent="0.45">
      <c r="A422" t="s">
        <v>828</v>
      </c>
      <c r="B422" t="s">
        <v>88</v>
      </c>
      <c r="C422">
        <v>16</v>
      </c>
      <c r="D422">
        <v>50</v>
      </c>
      <c r="E422">
        <v>66</v>
      </c>
      <c r="F422" s="12"/>
    </row>
    <row r="423" spans="1:6" x14ac:dyDescent="0.45">
      <c r="A423" t="s">
        <v>829</v>
      </c>
      <c r="B423" t="s">
        <v>88</v>
      </c>
      <c r="C423">
        <v>16</v>
      </c>
      <c r="D423">
        <v>50</v>
      </c>
      <c r="E423">
        <v>82</v>
      </c>
      <c r="F423" s="12"/>
    </row>
    <row r="424" spans="1:6" x14ac:dyDescent="0.45">
      <c r="A424" t="s">
        <v>830</v>
      </c>
      <c r="B424" t="s">
        <v>88</v>
      </c>
      <c r="C424">
        <v>16</v>
      </c>
      <c r="D424">
        <v>50</v>
      </c>
      <c r="E424">
        <v>99</v>
      </c>
      <c r="F424" s="12"/>
    </row>
    <row r="425" spans="1:6" x14ac:dyDescent="0.45">
      <c r="A425" t="s">
        <v>831</v>
      </c>
      <c r="B425" t="s">
        <v>88</v>
      </c>
      <c r="C425">
        <v>16</v>
      </c>
      <c r="D425">
        <v>50</v>
      </c>
      <c r="E425">
        <v>116</v>
      </c>
      <c r="F425" s="12"/>
    </row>
    <row r="426" spans="1:6" x14ac:dyDescent="0.45">
      <c r="A426" t="s">
        <v>832</v>
      </c>
      <c r="B426" t="s">
        <v>88</v>
      </c>
      <c r="C426">
        <v>16</v>
      </c>
      <c r="D426">
        <v>50</v>
      </c>
      <c r="E426">
        <v>132</v>
      </c>
      <c r="F426" s="12"/>
    </row>
    <row r="427" spans="1:6" x14ac:dyDescent="0.45">
      <c r="A427" t="s">
        <v>833</v>
      </c>
      <c r="B427" t="s">
        <v>88</v>
      </c>
      <c r="C427">
        <v>16</v>
      </c>
      <c r="D427">
        <v>50</v>
      </c>
      <c r="E427">
        <v>149</v>
      </c>
      <c r="F427" s="12"/>
    </row>
    <row r="428" spans="1:6" x14ac:dyDescent="0.45">
      <c r="A428" t="s">
        <v>834</v>
      </c>
      <c r="B428" t="s">
        <v>88</v>
      </c>
      <c r="C428">
        <v>16</v>
      </c>
      <c r="D428">
        <v>50</v>
      </c>
      <c r="E428">
        <v>166</v>
      </c>
      <c r="F428" s="12"/>
    </row>
    <row r="429" spans="1:6" x14ac:dyDescent="0.45">
      <c r="A429" t="s">
        <v>835</v>
      </c>
      <c r="B429" t="s">
        <v>88</v>
      </c>
      <c r="C429">
        <v>16</v>
      </c>
      <c r="D429">
        <v>50</v>
      </c>
      <c r="E429">
        <v>182</v>
      </c>
      <c r="F429" s="12"/>
    </row>
    <row r="430" spans="1:6" x14ac:dyDescent="0.45">
      <c r="A430" t="s">
        <v>836</v>
      </c>
      <c r="B430" t="s">
        <v>88</v>
      </c>
      <c r="C430">
        <v>16</v>
      </c>
      <c r="D430">
        <v>50</v>
      </c>
      <c r="E430">
        <v>199</v>
      </c>
      <c r="F430" s="12"/>
    </row>
    <row r="431" spans="1:6" x14ac:dyDescent="0.45">
      <c r="A431" t="s">
        <v>837</v>
      </c>
      <c r="B431" t="s">
        <v>88</v>
      </c>
      <c r="C431">
        <v>17</v>
      </c>
      <c r="D431">
        <v>50</v>
      </c>
      <c r="E431">
        <v>24</v>
      </c>
      <c r="F431" s="12"/>
    </row>
    <row r="432" spans="1:6" x14ac:dyDescent="0.45">
      <c r="A432" t="s">
        <v>838</v>
      </c>
      <c r="B432" t="s">
        <v>88</v>
      </c>
      <c r="C432">
        <v>17</v>
      </c>
      <c r="D432">
        <v>50</v>
      </c>
      <c r="E432">
        <v>32</v>
      </c>
      <c r="F432" s="12"/>
    </row>
    <row r="433" spans="1:6" x14ac:dyDescent="0.45">
      <c r="A433" t="s">
        <v>839</v>
      </c>
      <c r="B433" t="s">
        <v>88</v>
      </c>
      <c r="C433">
        <v>17</v>
      </c>
      <c r="D433">
        <v>50</v>
      </c>
      <c r="E433">
        <v>49</v>
      </c>
      <c r="F433" s="12"/>
    </row>
    <row r="434" spans="1:6" x14ac:dyDescent="0.45">
      <c r="A434" t="s">
        <v>840</v>
      </c>
      <c r="B434" t="s">
        <v>88</v>
      </c>
      <c r="C434">
        <v>17</v>
      </c>
      <c r="D434">
        <v>50</v>
      </c>
      <c r="E434">
        <v>66</v>
      </c>
      <c r="F434" s="12"/>
    </row>
    <row r="435" spans="1:6" x14ac:dyDescent="0.45">
      <c r="A435" t="s">
        <v>841</v>
      </c>
      <c r="B435" t="s">
        <v>88</v>
      </c>
      <c r="C435">
        <v>17</v>
      </c>
      <c r="D435">
        <v>50</v>
      </c>
      <c r="E435">
        <v>82</v>
      </c>
      <c r="F435" s="12"/>
    </row>
    <row r="436" spans="1:6" x14ac:dyDescent="0.45">
      <c r="A436" t="s">
        <v>842</v>
      </c>
      <c r="B436" t="s">
        <v>88</v>
      </c>
      <c r="C436">
        <v>17</v>
      </c>
      <c r="D436">
        <v>50</v>
      </c>
      <c r="E436">
        <v>99</v>
      </c>
      <c r="F436" s="12"/>
    </row>
    <row r="437" spans="1:6" x14ac:dyDescent="0.45">
      <c r="A437" t="s">
        <v>843</v>
      </c>
      <c r="B437" t="s">
        <v>88</v>
      </c>
      <c r="C437">
        <v>17</v>
      </c>
      <c r="D437">
        <v>50</v>
      </c>
      <c r="E437">
        <v>116</v>
      </c>
      <c r="F437" s="12"/>
    </row>
    <row r="438" spans="1:6" x14ac:dyDescent="0.45">
      <c r="A438" t="s">
        <v>844</v>
      </c>
      <c r="B438" t="s">
        <v>88</v>
      </c>
      <c r="C438">
        <v>17</v>
      </c>
      <c r="D438">
        <v>50</v>
      </c>
      <c r="E438">
        <v>132</v>
      </c>
      <c r="F438" s="12"/>
    </row>
    <row r="439" spans="1:6" x14ac:dyDescent="0.45">
      <c r="A439" t="s">
        <v>845</v>
      </c>
      <c r="B439" t="s">
        <v>88</v>
      </c>
      <c r="C439">
        <v>17</v>
      </c>
      <c r="D439">
        <v>50</v>
      </c>
      <c r="E439">
        <v>149</v>
      </c>
      <c r="F439" s="12"/>
    </row>
    <row r="440" spans="1:6" x14ac:dyDescent="0.45">
      <c r="A440" t="s">
        <v>846</v>
      </c>
      <c r="B440" t="s">
        <v>88</v>
      </c>
      <c r="C440">
        <v>17</v>
      </c>
      <c r="D440">
        <v>50</v>
      </c>
      <c r="E440">
        <v>166</v>
      </c>
      <c r="F440" s="12"/>
    </row>
    <row r="441" spans="1:6" x14ac:dyDescent="0.45">
      <c r="A441" t="s">
        <v>847</v>
      </c>
      <c r="B441" t="s">
        <v>88</v>
      </c>
      <c r="C441">
        <v>17</v>
      </c>
      <c r="D441">
        <v>50</v>
      </c>
      <c r="E441">
        <v>182</v>
      </c>
      <c r="F441" s="12"/>
    </row>
    <row r="442" spans="1:6" x14ac:dyDescent="0.45">
      <c r="A442" t="s">
        <v>848</v>
      </c>
      <c r="B442" t="s">
        <v>88</v>
      </c>
      <c r="C442">
        <v>17</v>
      </c>
      <c r="D442">
        <v>50</v>
      </c>
      <c r="E442">
        <v>199</v>
      </c>
      <c r="F442" s="12"/>
    </row>
    <row r="443" spans="1:6" x14ac:dyDescent="0.45">
      <c r="A443" t="s">
        <v>849</v>
      </c>
      <c r="B443" t="s">
        <v>88</v>
      </c>
      <c r="C443">
        <v>18</v>
      </c>
      <c r="D443">
        <v>50</v>
      </c>
      <c r="E443">
        <v>24</v>
      </c>
      <c r="F443" s="12"/>
    </row>
    <row r="444" spans="1:6" x14ac:dyDescent="0.45">
      <c r="A444" t="s">
        <v>850</v>
      </c>
      <c r="B444" t="s">
        <v>88</v>
      </c>
      <c r="C444">
        <v>18</v>
      </c>
      <c r="D444">
        <v>50</v>
      </c>
      <c r="E444">
        <v>32</v>
      </c>
      <c r="F444" s="12"/>
    </row>
    <row r="445" spans="1:6" x14ac:dyDescent="0.45">
      <c r="A445" t="s">
        <v>851</v>
      </c>
      <c r="B445" t="s">
        <v>88</v>
      </c>
      <c r="C445">
        <v>18</v>
      </c>
      <c r="D445">
        <v>50</v>
      </c>
      <c r="E445">
        <v>49</v>
      </c>
      <c r="F445" s="12"/>
    </row>
    <row r="446" spans="1:6" x14ac:dyDescent="0.45">
      <c r="A446" t="s">
        <v>852</v>
      </c>
      <c r="B446" t="s">
        <v>88</v>
      </c>
      <c r="C446">
        <v>18</v>
      </c>
      <c r="D446">
        <v>50</v>
      </c>
      <c r="E446">
        <v>66</v>
      </c>
      <c r="F446" s="12"/>
    </row>
    <row r="447" spans="1:6" x14ac:dyDescent="0.45">
      <c r="A447" t="s">
        <v>853</v>
      </c>
      <c r="B447" t="s">
        <v>88</v>
      </c>
      <c r="C447">
        <v>18</v>
      </c>
      <c r="D447">
        <v>50</v>
      </c>
      <c r="E447">
        <v>82</v>
      </c>
      <c r="F447" s="12"/>
    </row>
    <row r="448" spans="1:6" x14ac:dyDescent="0.45">
      <c r="A448" t="s">
        <v>854</v>
      </c>
      <c r="B448" t="s">
        <v>88</v>
      </c>
      <c r="C448">
        <v>18</v>
      </c>
      <c r="D448">
        <v>50</v>
      </c>
      <c r="E448">
        <v>99</v>
      </c>
      <c r="F448" s="12"/>
    </row>
    <row r="449" spans="1:6" x14ac:dyDescent="0.45">
      <c r="A449" t="s">
        <v>855</v>
      </c>
      <c r="B449" t="s">
        <v>88</v>
      </c>
      <c r="C449">
        <v>18</v>
      </c>
      <c r="D449">
        <v>50</v>
      </c>
      <c r="E449">
        <v>116</v>
      </c>
      <c r="F449" s="12"/>
    </row>
    <row r="450" spans="1:6" x14ac:dyDescent="0.45">
      <c r="A450" t="s">
        <v>856</v>
      </c>
      <c r="B450" t="s">
        <v>88</v>
      </c>
      <c r="C450">
        <v>18</v>
      </c>
      <c r="D450">
        <v>50</v>
      </c>
      <c r="E450">
        <v>132</v>
      </c>
      <c r="F450" s="12"/>
    </row>
    <row r="451" spans="1:6" x14ac:dyDescent="0.45">
      <c r="A451" t="s">
        <v>857</v>
      </c>
      <c r="B451" t="s">
        <v>88</v>
      </c>
      <c r="C451">
        <v>18</v>
      </c>
      <c r="D451">
        <v>50</v>
      </c>
      <c r="E451">
        <v>149</v>
      </c>
      <c r="F451" s="12"/>
    </row>
    <row r="452" spans="1:6" x14ac:dyDescent="0.45">
      <c r="A452" t="s">
        <v>858</v>
      </c>
      <c r="B452" t="s">
        <v>88</v>
      </c>
      <c r="C452">
        <v>18</v>
      </c>
      <c r="D452">
        <v>50</v>
      </c>
      <c r="E452">
        <v>166</v>
      </c>
      <c r="F452" s="12"/>
    </row>
    <row r="453" spans="1:6" x14ac:dyDescent="0.45">
      <c r="A453" t="s">
        <v>859</v>
      </c>
      <c r="B453" t="s">
        <v>88</v>
      </c>
      <c r="C453">
        <v>18</v>
      </c>
      <c r="D453">
        <v>50</v>
      </c>
      <c r="E453">
        <v>182</v>
      </c>
      <c r="F453" s="12"/>
    </row>
    <row r="454" spans="1:6" x14ac:dyDescent="0.45">
      <c r="A454" t="s">
        <v>860</v>
      </c>
      <c r="B454" t="s">
        <v>88</v>
      </c>
      <c r="C454">
        <v>18</v>
      </c>
      <c r="D454">
        <v>50</v>
      </c>
      <c r="E454">
        <v>199</v>
      </c>
      <c r="F454" s="12"/>
    </row>
    <row r="455" spans="1:6" x14ac:dyDescent="0.45">
      <c r="A455" t="s">
        <v>861</v>
      </c>
      <c r="B455" t="s">
        <v>88</v>
      </c>
      <c r="C455">
        <v>19</v>
      </c>
      <c r="D455">
        <v>50</v>
      </c>
      <c r="E455">
        <v>24</v>
      </c>
      <c r="F455" s="12"/>
    </row>
    <row r="456" spans="1:6" x14ac:dyDescent="0.45">
      <c r="A456" t="s">
        <v>862</v>
      </c>
      <c r="B456" t="s">
        <v>88</v>
      </c>
      <c r="C456">
        <v>19</v>
      </c>
      <c r="D456">
        <v>50</v>
      </c>
      <c r="E456">
        <v>32</v>
      </c>
      <c r="F456" s="12"/>
    </row>
    <row r="457" spans="1:6" x14ac:dyDescent="0.45">
      <c r="A457" t="s">
        <v>863</v>
      </c>
      <c r="B457" t="s">
        <v>88</v>
      </c>
      <c r="C457">
        <v>19</v>
      </c>
      <c r="D457">
        <v>50</v>
      </c>
      <c r="E457">
        <v>49</v>
      </c>
      <c r="F457" s="12"/>
    </row>
    <row r="458" spans="1:6" x14ac:dyDescent="0.45">
      <c r="A458" t="s">
        <v>864</v>
      </c>
      <c r="B458" t="s">
        <v>88</v>
      </c>
      <c r="C458">
        <v>19</v>
      </c>
      <c r="D458">
        <v>50</v>
      </c>
      <c r="E458">
        <v>66</v>
      </c>
      <c r="F458" s="12"/>
    </row>
    <row r="459" spans="1:6" x14ac:dyDescent="0.45">
      <c r="A459" t="s">
        <v>865</v>
      </c>
      <c r="B459" t="s">
        <v>88</v>
      </c>
      <c r="C459">
        <v>19</v>
      </c>
      <c r="D459">
        <v>50</v>
      </c>
      <c r="E459">
        <v>82</v>
      </c>
      <c r="F459" s="12"/>
    </row>
    <row r="460" spans="1:6" x14ac:dyDescent="0.45">
      <c r="A460" t="s">
        <v>866</v>
      </c>
      <c r="B460" t="s">
        <v>88</v>
      </c>
      <c r="C460">
        <v>19</v>
      </c>
      <c r="D460">
        <v>50</v>
      </c>
      <c r="E460">
        <v>99</v>
      </c>
      <c r="F460" s="12"/>
    </row>
    <row r="461" spans="1:6" x14ac:dyDescent="0.45">
      <c r="A461" t="s">
        <v>867</v>
      </c>
      <c r="B461" t="s">
        <v>88</v>
      </c>
      <c r="C461">
        <v>19</v>
      </c>
      <c r="D461">
        <v>50</v>
      </c>
      <c r="E461">
        <v>116</v>
      </c>
      <c r="F461" s="12"/>
    </row>
    <row r="462" spans="1:6" x14ac:dyDescent="0.45">
      <c r="A462" t="s">
        <v>868</v>
      </c>
      <c r="B462" t="s">
        <v>88</v>
      </c>
      <c r="C462">
        <v>19</v>
      </c>
      <c r="D462">
        <v>50</v>
      </c>
      <c r="E462">
        <v>132</v>
      </c>
      <c r="F462" s="12"/>
    </row>
    <row r="463" spans="1:6" x14ac:dyDescent="0.45">
      <c r="A463" t="s">
        <v>869</v>
      </c>
      <c r="B463" t="s">
        <v>88</v>
      </c>
      <c r="C463">
        <v>19</v>
      </c>
      <c r="D463">
        <v>50</v>
      </c>
      <c r="E463">
        <v>149</v>
      </c>
      <c r="F463" s="12"/>
    </row>
    <row r="464" spans="1:6" x14ac:dyDescent="0.45">
      <c r="A464" t="s">
        <v>870</v>
      </c>
      <c r="B464" t="s">
        <v>88</v>
      </c>
      <c r="C464">
        <v>19</v>
      </c>
      <c r="D464">
        <v>50</v>
      </c>
      <c r="E464">
        <v>166</v>
      </c>
      <c r="F464" s="12"/>
    </row>
    <row r="465" spans="1:6" x14ac:dyDescent="0.45">
      <c r="A465" t="s">
        <v>871</v>
      </c>
      <c r="B465" t="s">
        <v>88</v>
      </c>
      <c r="C465">
        <v>19</v>
      </c>
      <c r="D465">
        <v>50</v>
      </c>
      <c r="E465">
        <v>182</v>
      </c>
      <c r="F465" s="12"/>
    </row>
    <row r="466" spans="1:6" x14ac:dyDescent="0.45">
      <c r="A466" t="s">
        <v>872</v>
      </c>
      <c r="B466" t="s">
        <v>88</v>
      </c>
      <c r="C466">
        <v>19</v>
      </c>
      <c r="D466">
        <v>50</v>
      </c>
      <c r="E466">
        <v>199</v>
      </c>
      <c r="F466" s="12"/>
    </row>
    <row r="467" spans="1:6" x14ac:dyDescent="0.45">
      <c r="A467" t="s">
        <v>873</v>
      </c>
      <c r="B467" t="s">
        <v>88</v>
      </c>
      <c r="C467">
        <v>20</v>
      </c>
      <c r="D467">
        <v>50</v>
      </c>
      <c r="E467">
        <v>7</v>
      </c>
      <c r="F467" s="12"/>
    </row>
    <row r="468" spans="1:6" x14ac:dyDescent="0.45">
      <c r="A468" t="s">
        <v>874</v>
      </c>
      <c r="B468" t="s">
        <v>88</v>
      </c>
      <c r="C468">
        <v>20</v>
      </c>
      <c r="D468">
        <v>50</v>
      </c>
      <c r="E468">
        <v>24</v>
      </c>
      <c r="F468" s="12"/>
    </row>
    <row r="469" spans="1:6" x14ac:dyDescent="0.45">
      <c r="A469" t="s">
        <v>875</v>
      </c>
      <c r="B469" t="s">
        <v>88</v>
      </c>
      <c r="C469">
        <v>20</v>
      </c>
      <c r="D469">
        <v>50</v>
      </c>
      <c r="E469">
        <v>32</v>
      </c>
      <c r="F469" s="12"/>
    </row>
    <row r="470" spans="1:6" x14ac:dyDescent="0.45">
      <c r="A470" t="s">
        <v>876</v>
      </c>
      <c r="B470" t="s">
        <v>88</v>
      </c>
      <c r="C470">
        <v>20</v>
      </c>
      <c r="D470">
        <v>50</v>
      </c>
      <c r="E470">
        <v>49</v>
      </c>
      <c r="F470" s="12"/>
    </row>
    <row r="471" spans="1:6" x14ac:dyDescent="0.45">
      <c r="A471" t="s">
        <v>877</v>
      </c>
      <c r="B471" t="s">
        <v>88</v>
      </c>
      <c r="C471">
        <v>20</v>
      </c>
      <c r="D471">
        <v>50</v>
      </c>
      <c r="E471">
        <v>66</v>
      </c>
      <c r="F471" s="12"/>
    </row>
    <row r="472" spans="1:6" x14ac:dyDescent="0.45">
      <c r="A472" t="s">
        <v>878</v>
      </c>
      <c r="B472" t="s">
        <v>88</v>
      </c>
      <c r="C472">
        <v>20</v>
      </c>
      <c r="D472">
        <v>50</v>
      </c>
      <c r="E472">
        <v>82</v>
      </c>
      <c r="F472" s="12"/>
    </row>
    <row r="473" spans="1:6" x14ac:dyDescent="0.45">
      <c r="A473" t="s">
        <v>879</v>
      </c>
      <c r="B473" t="s">
        <v>88</v>
      </c>
      <c r="C473">
        <v>20</v>
      </c>
      <c r="D473">
        <v>50</v>
      </c>
      <c r="E473">
        <v>99</v>
      </c>
      <c r="F473" s="12"/>
    </row>
    <row r="474" spans="1:6" x14ac:dyDescent="0.45">
      <c r="A474" t="s">
        <v>880</v>
      </c>
      <c r="B474" t="s">
        <v>88</v>
      </c>
      <c r="C474">
        <v>20</v>
      </c>
      <c r="D474">
        <v>50</v>
      </c>
      <c r="E474">
        <v>116</v>
      </c>
      <c r="F474" s="12"/>
    </row>
    <row r="475" spans="1:6" x14ac:dyDescent="0.45">
      <c r="A475" t="s">
        <v>881</v>
      </c>
      <c r="B475" t="s">
        <v>88</v>
      </c>
      <c r="C475">
        <v>20</v>
      </c>
      <c r="D475">
        <v>50</v>
      </c>
      <c r="E475">
        <v>132</v>
      </c>
      <c r="F475" s="12"/>
    </row>
    <row r="476" spans="1:6" x14ac:dyDescent="0.45">
      <c r="A476" t="s">
        <v>882</v>
      </c>
      <c r="B476" t="s">
        <v>88</v>
      </c>
      <c r="C476">
        <v>20</v>
      </c>
      <c r="D476">
        <v>50</v>
      </c>
      <c r="E476">
        <v>149</v>
      </c>
      <c r="F476" s="12"/>
    </row>
    <row r="477" spans="1:6" x14ac:dyDescent="0.45">
      <c r="A477" t="s">
        <v>883</v>
      </c>
      <c r="B477" t="s">
        <v>88</v>
      </c>
      <c r="C477">
        <v>20</v>
      </c>
      <c r="D477">
        <v>50</v>
      </c>
      <c r="E477">
        <v>166</v>
      </c>
      <c r="F477" s="12"/>
    </row>
    <row r="478" spans="1:6" x14ac:dyDescent="0.45">
      <c r="A478" t="s">
        <v>884</v>
      </c>
      <c r="B478" t="s">
        <v>88</v>
      </c>
      <c r="C478">
        <v>20</v>
      </c>
      <c r="D478">
        <v>50</v>
      </c>
      <c r="E478">
        <v>182</v>
      </c>
      <c r="F478" s="12"/>
    </row>
    <row r="479" spans="1:6" x14ac:dyDescent="0.45">
      <c r="A479" t="s">
        <v>885</v>
      </c>
      <c r="B479" t="s">
        <v>88</v>
      </c>
      <c r="C479">
        <v>20</v>
      </c>
      <c r="D479">
        <v>50</v>
      </c>
      <c r="E479">
        <v>199</v>
      </c>
      <c r="F479" s="12"/>
    </row>
    <row r="480" spans="1:6" x14ac:dyDescent="0.45">
      <c r="A480" t="s">
        <v>886</v>
      </c>
      <c r="B480" t="s">
        <v>88</v>
      </c>
      <c r="C480">
        <v>21</v>
      </c>
      <c r="D480">
        <v>50</v>
      </c>
      <c r="E480">
        <v>7</v>
      </c>
      <c r="F480" s="12"/>
    </row>
    <row r="481" spans="1:6" x14ac:dyDescent="0.45">
      <c r="A481" t="s">
        <v>887</v>
      </c>
      <c r="B481" t="s">
        <v>88</v>
      </c>
      <c r="C481">
        <v>21</v>
      </c>
      <c r="D481">
        <v>50</v>
      </c>
      <c r="E481">
        <v>24</v>
      </c>
      <c r="F481" s="12"/>
    </row>
    <row r="482" spans="1:6" x14ac:dyDescent="0.45">
      <c r="A482" t="s">
        <v>888</v>
      </c>
      <c r="B482" t="s">
        <v>88</v>
      </c>
      <c r="C482">
        <v>21</v>
      </c>
      <c r="D482">
        <v>50</v>
      </c>
      <c r="E482">
        <v>32</v>
      </c>
      <c r="F482" s="12"/>
    </row>
    <row r="483" spans="1:6" x14ac:dyDescent="0.45">
      <c r="A483" t="s">
        <v>889</v>
      </c>
      <c r="B483" t="s">
        <v>88</v>
      </c>
      <c r="C483">
        <v>21</v>
      </c>
      <c r="D483">
        <v>50</v>
      </c>
      <c r="E483">
        <v>49</v>
      </c>
      <c r="F483" s="12"/>
    </row>
    <row r="484" spans="1:6" x14ac:dyDescent="0.45">
      <c r="A484" t="s">
        <v>890</v>
      </c>
      <c r="B484" t="s">
        <v>88</v>
      </c>
      <c r="C484">
        <v>21</v>
      </c>
      <c r="D484">
        <v>50</v>
      </c>
      <c r="E484">
        <v>66</v>
      </c>
      <c r="F484" s="12"/>
    </row>
    <row r="485" spans="1:6" x14ac:dyDescent="0.45">
      <c r="A485" t="s">
        <v>891</v>
      </c>
      <c r="B485" t="s">
        <v>88</v>
      </c>
      <c r="C485">
        <v>21</v>
      </c>
      <c r="D485">
        <v>50</v>
      </c>
      <c r="E485">
        <v>82</v>
      </c>
      <c r="F485" s="12"/>
    </row>
    <row r="486" spans="1:6" x14ac:dyDescent="0.45">
      <c r="A486" t="s">
        <v>892</v>
      </c>
      <c r="B486" t="s">
        <v>88</v>
      </c>
      <c r="C486">
        <v>21</v>
      </c>
      <c r="D486">
        <v>50</v>
      </c>
      <c r="E486">
        <v>99</v>
      </c>
      <c r="F486" s="12"/>
    </row>
    <row r="487" spans="1:6" x14ac:dyDescent="0.45">
      <c r="A487" t="s">
        <v>893</v>
      </c>
      <c r="B487" t="s">
        <v>88</v>
      </c>
      <c r="C487">
        <v>21</v>
      </c>
      <c r="D487">
        <v>50</v>
      </c>
      <c r="E487">
        <v>116</v>
      </c>
      <c r="F487" s="12"/>
    </row>
    <row r="488" spans="1:6" x14ac:dyDescent="0.45">
      <c r="A488" t="s">
        <v>894</v>
      </c>
      <c r="B488" t="s">
        <v>88</v>
      </c>
      <c r="C488">
        <v>21</v>
      </c>
      <c r="D488">
        <v>50</v>
      </c>
      <c r="E488">
        <v>132</v>
      </c>
      <c r="F488" s="12"/>
    </row>
    <row r="489" spans="1:6" x14ac:dyDescent="0.45">
      <c r="A489" t="s">
        <v>895</v>
      </c>
      <c r="B489" t="s">
        <v>88</v>
      </c>
      <c r="C489">
        <v>21</v>
      </c>
      <c r="D489">
        <v>50</v>
      </c>
      <c r="E489">
        <v>149</v>
      </c>
      <c r="F489" s="12"/>
    </row>
    <row r="490" spans="1:6" x14ac:dyDescent="0.45">
      <c r="A490" t="s">
        <v>896</v>
      </c>
      <c r="B490" t="s">
        <v>88</v>
      </c>
      <c r="C490">
        <v>21</v>
      </c>
      <c r="D490">
        <v>50</v>
      </c>
      <c r="E490">
        <v>166</v>
      </c>
      <c r="F490" s="12"/>
    </row>
    <row r="491" spans="1:6" x14ac:dyDescent="0.45">
      <c r="A491" t="s">
        <v>897</v>
      </c>
      <c r="B491" t="s">
        <v>88</v>
      </c>
      <c r="C491">
        <v>21</v>
      </c>
      <c r="D491">
        <v>50</v>
      </c>
      <c r="E491">
        <v>182</v>
      </c>
      <c r="F491" s="12"/>
    </row>
    <row r="492" spans="1:6" x14ac:dyDescent="0.45">
      <c r="A492" t="s">
        <v>898</v>
      </c>
      <c r="B492" t="s">
        <v>88</v>
      </c>
      <c r="C492">
        <v>21</v>
      </c>
      <c r="D492">
        <v>50</v>
      </c>
      <c r="E492">
        <v>199</v>
      </c>
      <c r="F492" s="12"/>
    </row>
    <row r="493" spans="1:6" x14ac:dyDescent="0.45">
      <c r="A493" t="s">
        <v>899</v>
      </c>
      <c r="B493" t="s">
        <v>88</v>
      </c>
      <c r="C493">
        <v>22</v>
      </c>
      <c r="D493">
        <v>50</v>
      </c>
      <c r="E493">
        <v>7</v>
      </c>
      <c r="F493" s="12"/>
    </row>
    <row r="494" spans="1:6" x14ac:dyDescent="0.45">
      <c r="A494" t="s">
        <v>900</v>
      </c>
      <c r="B494" t="s">
        <v>88</v>
      </c>
      <c r="C494">
        <v>22</v>
      </c>
      <c r="D494">
        <v>50</v>
      </c>
      <c r="E494">
        <v>24</v>
      </c>
      <c r="F494" s="12"/>
    </row>
    <row r="495" spans="1:6" x14ac:dyDescent="0.45">
      <c r="A495" t="s">
        <v>901</v>
      </c>
      <c r="B495" t="s">
        <v>88</v>
      </c>
      <c r="C495">
        <v>22</v>
      </c>
      <c r="D495">
        <v>50</v>
      </c>
      <c r="E495">
        <v>32</v>
      </c>
      <c r="F495" s="12"/>
    </row>
    <row r="496" spans="1:6" x14ac:dyDescent="0.45">
      <c r="A496" t="s">
        <v>902</v>
      </c>
      <c r="B496" t="s">
        <v>88</v>
      </c>
      <c r="C496">
        <v>22</v>
      </c>
      <c r="D496">
        <v>50</v>
      </c>
      <c r="E496">
        <v>49</v>
      </c>
      <c r="F496" s="12"/>
    </row>
    <row r="497" spans="1:6" x14ac:dyDescent="0.45">
      <c r="A497" t="s">
        <v>903</v>
      </c>
      <c r="B497" t="s">
        <v>88</v>
      </c>
      <c r="C497">
        <v>22</v>
      </c>
      <c r="D497">
        <v>50</v>
      </c>
      <c r="E497">
        <v>66</v>
      </c>
      <c r="F497" s="12"/>
    </row>
    <row r="498" spans="1:6" x14ac:dyDescent="0.45">
      <c r="A498" t="s">
        <v>904</v>
      </c>
      <c r="B498" t="s">
        <v>88</v>
      </c>
      <c r="C498">
        <v>22</v>
      </c>
      <c r="D498">
        <v>50</v>
      </c>
      <c r="E498">
        <v>82</v>
      </c>
      <c r="F498" s="12"/>
    </row>
    <row r="499" spans="1:6" x14ac:dyDescent="0.45">
      <c r="A499" t="s">
        <v>905</v>
      </c>
      <c r="B499" t="s">
        <v>88</v>
      </c>
      <c r="C499">
        <v>22</v>
      </c>
      <c r="D499">
        <v>50</v>
      </c>
      <c r="E499">
        <v>99</v>
      </c>
      <c r="F499" s="12"/>
    </row>
    <row r="500" spans="1:6" x14ac:dyDescent="0.45">
      <c r="A500" t="s">
        <v>906</v>
      </c>
      <c r="B500" t="s">
        <v>88</v>
      </c>
      <c r="C500">
        <v>22</v>
      </c>
      <c r="D500">
        <v>50</v>
      </c>
      <c r="E500">
        <v>116</v>
      </c>
      <c r="F500" s="12"/>
    </row>
    <row r="501" spans="1:6" x14ac:dyDescent="0.45">
      <c r="A501" t="s">
        <v>907</v>
      </c>
      <c r="B501" t="s">
        <v>88</v>
      </c>
      <c r="C501">
        <v>22</v>
      </c>
      <c r="D501">
        <v>50</v>
      </c>
      <c r="E501">
        <v>132</v>
      </c>
      <c r="F501" s="12"/>
    </row>
    <row r="502" spans="1:6" x14ac:dyDescent="0.45">
      <c r="A502" t="s">
        <v>908</v>
      </c>
      <c r="B502" t="s">
        <v>88</v>
      </c>
      <c r="C502">
        <v>22</v>
      </c>
      <c r="D502">
        <v>50</v>
      </c>
      <c r="E502">
        <v>149</v>
      </c>
      <c r="F502" s="12"/>
    </row>
    <row r="503" spans="1:6" x14ac:dyDescent="0.45">
      <c r="A503" t="s">
        <v>909</v>
      </c>
      <c r="B503" t="s">
        <v>88</v>
      </c>
      <c r="C503">
        <v>22</v>
      </c>
      <c r="D503">
        <v>50</v>
      </c>
      <c r="E503">
        <v>166</v>
      </c>
      <c r="F503" s="12"/>
    </row>
    <row r="504" spans="1:6" x14ac:dyDescent="0.45">
      <c r="A504" t="s">
        <v>910</v>
      </c>
      <c r="B504" t="s">
        <v>88</v>
      </c>
      <c r="C504">
        <v>22</v>
      </c>
      <c r="D504">
        <v>50</v>
      </c>
      <c r="E504">
        <v>182</v>
      </c>
      <c r="F504" s="12"/>
    </row>
    <row r="505" spans="1:6" x14ac:dyDescent="0.45">
      <c r="A505" t="s">
        <v>911</v>
      </c>
      <c r="B505" t="s">
        <v>88</v>
      </c>
      <c r="C505">
        <v>22</v>
      </c>
      <c r="D505">
        <v>50</v>
      </c>
      <c r="E505">
        <v>199</v>
      </c>
      <c r="F505" s="12"/>
    </row>
    <row r="506" spans="1:6" x14ac:dyDescent="0.45">
      <c r="A506" t="s">
        <v>912</v>
      </c>
      <c r="B506" t="s">
        <v>88</v>
      </c>
      <c r="C506">
        <v>23</v>
      </c>
      <c r="D506">
        <v>50</v>
      </c>
      <c r="E506">
        <v>7</v>
      </c>
      <c r="F506" s="12"/>
    </row>
    <row r="507" spans="1:6" x14ac:dyDescent="0.45">
      <c r="A507" t="s">
        <v>913</v>
      </c>
      <c r="B507" t="s">
        <v>88</v>
      </c>
      <c r="C507">
        <v>23</v>
      </c>
      <c r="D507">
        <v>50</v>
      </c>
      <c r="E507">
        <v>24</v>
      </c>
      <c r="F507" s="12"/>
    </row>
    <row r="508" spans="1:6" x14ac:dyDescent="0.45">
      <c r="A508" t="s">
        <v>914</v>
      </c>
      <c r="B508" t="s">
        <v>88</v>
      </c>
      <c r="C508">
        <v>23</v>
      </c>
      <c r="D508">
        <v>50</v>
      </c>
      <c r="E508">
        <v>32</v>
      </c>
      <c r="F508" s="12"/>
    </row>
    <row r="509" spans="1:6" x14ac:dyDescent="0.45">
      <c r="A509" t="s">
        <v>915</v>
      </c>
      <c r="B509" t="s">
        <v>88</v>
      </c>
      <c r="C509">
        <v>23</v>
      </c>
      <c r="D509">
        <v>50</v>
      </c>
      <c r="E509">
        <v>49</v>
      </c>
      <c r="F509" s="12"/>
    </row>
    <row r="510" spans="1:6" x14ac:dyDescent="0.45">
      <c r="A510" t="s">
        <v>916</v>
      </c>
      <c r="B510" t="s">
        <v>88</v>
      </c>
      <c r="C510">
        <v>23</v>
      </c>
      <c r="D510">
        <v>50</v>
      </c>
      <c r="E510">
        <v>66</v>
      </c>
      <c r="F510" s="12"/>
    </row>
    <row r="511" spans="1:6" x14ac:dyDescent="0.45">
      <c r="A511" t="s">
        <v>917</v>
      </c>
      <c r="B511" t="s">
        <v>88</v>
      </c>
      <c r="C511">
        <v>23</v>
      </c>
      <c r="D511">
        <v>50</v>
      </c>
      <c r="E511">
        <v>82</v>
      </c>
      <c r="F511" s="12"/>
    </row>
    <row r="512" spans="1:6" x14ac:dyDescent="0.45">
      <c r="A512" t="s">
        <v>918</v>
      </c>
      <c r="B512" t="s">
        <v>88</v>
      </c>
      <c r="C512">
        <v>23</v>
      </c>
      <c r="D512">
        <v>50</v>
      </c>
      <c r="E512">
        <v>99</v>
      </c>
      <c r="F512" s="12"/>
    </row>
    <row r="513" spans="1:6" x14ac:dyDescent="0.45">
      <c r="A513" t="s">
        <v>919</v>
      </c>
      <c r="B513" t="s">
        <v>88</v>
      </c>
      <c r="C513">
        <v>23</v>
      </c>
      <c r="D513">
        <v>50</v>
      </c>
      <c r="E513">
        <v>116</v>
      </c>
      <c r="F513" s="12"/>
    </row>
    <row r="514" spans="1:6" x14ac:dyDescent="0.45">
      <c r="A514" t="s">
        <v>920</v>
      </c>
      <c r="B514" t="s">
        <v>88</v>
      </c>
      <c r="C514">
        <v>23</v>
      </c>
      <c r="D514">
        <v>50</v>
      </c>
      <c r="E514">
        <v>132</v>
      </c>
      <c r="F514" s="12"/>
    </row>
    <row r="515" spans="1:6" x14ac:dyDescent="0.45">
      <c r="A515" t="s">
        <v>921</v>
      </c>
      <c r="B515" t="s">
        <v>88</v>
      </c>
      <c r="C515">
        <v>23</v>
      </c>
      <c r="D515">
        <v>50</v>
      </c>
      <c r="E515">
        <v>149</v>
      </c>
      <c r="F515" s="12"/>
    </row>
    <row r="516" spans="1:6" x14ac:dyDescent="0.45">
      <c r="A516" t="s">
        <v>922</v>
      </c>
      <c r="B516" t="s">
        <v>88</v>
      </c>
      <c r="C516">
        <v>23</v>
      </c>
      <c r="D516">
        <v>50</v>
      </c>
      <c r="E516">
        <v>166</v>
      </c>
      <c r="F516" s="12"/>
    </row>
    <row r="517" spans="1:6" x14ac:dyDescent="0.45">
      <c r="A517" t="s">
        <v>923</v>
      </c>
      <c r="B517" t="s">
        <v>88</v>
      </c>
      <c r="C517">
        <v>23</v>
      </c>
      <c r="D517">
        <v>50</v>
      </c>
      <c r="E517">
        <v>182</v>
      </c>
      <c r="F517" s="12"/>
    </row>
    <row r="518" spans="1:6" x14ac:dyDescent="0.45">
      <c r="A518" t="s">
        <v>924</v>
      </c>
      <c r="B518" t="s">
        <v>88</v>
      </c>
      <c r="C518">
        <v>23</v>
      </c>
      <c r="D518">
        <v>50</v>
      </c>
      <c r="E518">
        <v>199</v>
      </c>
      <c r="F518" s="12"/>
    </row>
    <row r="519" spans="1:6" x14ac:dyDescent="0.45">
      <c r="A519" t="s">
        <v>925</v>
      </c>
      <c r="B519" t="s">
        <v>88</v>
      </c>
      <c r="C519">
        <v>24</v>
      </c>
      <c r="D519">
        <v>50</v>
      </c>
      <c r="E519">
        <v>7</v>
      </c>
      <c r="F519" s="12"/>
    </row>
    <row r="520" spans="1:6" x14ac:dyDescent="0.45">
      <c r="A520" t="s">
        <v>926</v>
      </c>
      <c r="B520" t="s">
        <v>88</v>
      </c>
      <c r="C520">
        <v>24</v>
      </c>
      <c r="D520">
        <v>50</v>
      </c>
      <c r="E520">
        <v>24</v>
      </c>
      <c r="F520" s="12"/>
    </row>
    <row r="521" spans="1:6" x14ac:dyDescent="0.45">
      <c r="A521" t="s">
        <v>927</v>
      </c>
      <c r="B521" t="s">
        <v>88</v>
      </c>
      <c r="C521">
        <v>24</v>
      </c>
      <c r="D521">
        <v>50</v>
      </c>
      <c r="E521">
        <v>32</v>
      </c>
      <c r="F521" s="12"/>
    </row>
    <row r="522" spans="1:6" x14ac:dyDescent="0.45">
      <c r="A522" t="s">
        <v>928</v>
      </c>
      <c r="B522" t="s">
        <v>88</v>
      </c>
      <c r="C522">
        <v>24</v>
      </c>
      <c r="D522">
        <v>50</v>
      </c>
      <c r="E522">
        <v>49</v>
      </c>
      <c r="F522" s="12"/>
    </row>
    <row r="523" spans="1:6" x14ac:dyDescent="0.45">
      <c r="A523" t="s">
        <v>929</v>
      </c>
      <c r="B523" t="s">
        <v>88</v>
      </c>
      <c r="C523">
        <v>24</v>
      </c>
      <c r="D523">
        <v>50</v>
      </c>
      <c r="E523">
        <v>66</v>
      </c>
      <c r="F523" s="12"/>
    </row>
    <row r="524" spans="1:6" x14ac:dyDescent="0.45">
      <c r="A524" t="s">
        <v>930</v>
      </c>
      <c r="B524" t="s">
        <v>88</v>
      </c>
      <c r="C524">
        <v>24</v>
      </c>
      <c r="D524">
        <v>50</v>
      </c>
      <c r="E524">
        <v>82</v>
      </c>
      <c r="F524" s="12"/>
    </row>
    <row r="525" spans="1:6" x14ac:dyDescent="0.45">
      <c r="A525" t="s">
        <v>931</v>
      </c>
      <c r="B525" t="s">
        <v>88</v>
      </c>
      <c r="C525">
        <v>24</v>
      </c>
      <c r="D525">
        <v>50</v>
      </c>
      <c r="E525">
        <v>99</v>
      </c>
      <c r="F525" s="12"/>
    </row>
    <row r="526" spans="1:6" x14ac:dyDescent="0.45">
      <c r="A526" t="s">
        <v>932</v>
      </c>
      <c r="B526" t="s">
        <v>88</v>
      </c>
      <c r="C526">
        <v>24</v>
      </c>
      <c r="D526">
        <v>50</v>
      </c>
      <c r="E526">
        <v>116</v>
      </c>
      <c r="F526" s="12"/>
    </row>
    <row r="527" spans="1:6" x14ac:dyDescent="0.45">
      <c r="A527" t="s">
        <v>933</v>
      </c>
      <c r="B527" t="s">
        <v>88</v>
      </c>
      <c r="C527">
        <v>24</v>
      </c>
      <c r="D527">
        <v>50</v>
      </c>
      <c r="E527">
        <v>132</v>
      </c>
      <c r="F527" s="12"/>
    </row>
    <row r="528" spans="1:6" x14ac:dyDescent="0.45">
      <c r="A528" t="s">
        <v>934</v>
      </c>
      <c r="B528" t="s">
        <v>88</v>
      </c>
      <c r="C528">
        <v>24</v>
      </c>
      <c r="D528">
        <v>50</v>
      </c>
      <c r="E528">
        <v>149</v>
      </c>
      <c r="F528" s="12"/>
    </row>
    <row r="529" spans="1:6" x14ac:dyDescent="0.45">
      <c r="A529" t="s">
        <v>935</v>
      </c>
      <c r="B529" t="s">
        <v>88</v>
      </c>
      <c r="C529">
        <v>24</v>
      </c>
      <c r="D529">
        <v>50</v>
      </c>
      <c r="E529">
        <v>166</v>
      </c>
      <c r="F529" s="12"/>
    </row>
    <row r="530" spans="1:6" x14ac:dyDescent="0.45">
      <c r="A530" t="s">
        <v>936</v>
      </c>
      <c r="B530" t="s">
        <v>88</v>
      </c>
      <c r="C530">
        <v>24</v>
      </c>
      <c r="D530">
        <v>50</v>
      </c>
      <c r="E530">
        <v>182</v>
      </c>
      <c r="F530" s="12"/>
    </row>
    <row r="531" spans="1:6" x14ac:dyDescent="0.45">
      <c r="A531" t="s">
        <v>937</v>
      </c>
      <c r="B531" t="s">
        <v>88</v>
      </c>
      <c r="C531">
        <v>24</v>
      </c>
      <c r="D531">
        <v>50</v>
      </c>
      <c r="E531">
        <v>199</v>
      </c>
      <c r="F531" s="12"/>
    </row>
    <row r="532" spans="1:6" x14ac:dyDescent="0.45">
      <c r="A532" t="s">
        <v>938</v>
      </c>
      <c r="B532" t="s">
        <v>88</v>
      </c>
      <c r="C532">
        <v>0</v>
      </c>
      <c r="D532">
        <v>150</v>
      </c>
      <c r="E532">
        <v>82</v>
      </c>
      <c r="F532" s="12"/>
    </row>
    <row r="533" spans="1:6" x14ac:dyDescent="0.45">
      <c r="A533" t="s">
        <v>939</v>
      </c>
      <c r="B533" t="s">
        <v>88</v>
      </c>
      <c r="C533">
        <v>0</v>
      </c>
      <c r="D533">
        <v>150</v>
      </c>
      <c r="E533">
        <v>99</v>
      </c>
      <c r="F533" s="12"/>
    </row>
    <row r="534" spans="1:6" x14ac:dyDescent="0.45">
      <c r="A534" t="s">
        <v>940</v>
      </c>
      <c r="B534" t="s">
        <v>88</v>
      </c>
      <c r="C534">
        <v>0</v>
      </c>
      <c r="D534">
        <v>150</v>
      </c>
      <c r="E534">
        <v>116</v>
      </c>
      <c r="F534" s="12"/>
    </row>
    <row r="535" spans="1:6" x14ac:dyDescent="0.45">
      <c r="A535" t="s">
        <v>941</v>
      </c>
      <c r="B535" t="s">
        <v>88</v>
      </c>
      <c r="C535">
        <v>0</v>
      </c>
      <c r="D535">
        <v>150</v>
      </c>
      <c r="E535">
        <v>132</v>
      </c>
      <c r="F535" s="12"/>
    </row>
    <row r="536" spans="1:6" x14ac:dyDescent="0.45">
      <c r="A536" t="s">
        <v>942</v>
      </c>
      <c r="B536" t="s">
        <v>88</v>
      </c>
      <c r="C536">
        <v>0</v>
      </c>
      <c r="D536">
        <v>150</v>
      </c>
      <c r="E536">
        <v>149</v>
      </c>
      <c r="F536" s="12"/>
    </row>
    <row r="537" spans="1:6" x14ac:dyDescent="0.45">
      <c r="A537" t="s">
        <v>943</v>
      </c>
      <c r="B537" t="s">
        <v>88</v>
      </c>
      <c r="C537">
        <v>0</v>
      </c>
      <c r="D537">
        <v>150</v>
      </c>
      <c r="E537">
        <v>166</v>
      </c>
      <c r="F537" s="12"/>
    </row>
    <row r="538" spans="1:6" x14ac:dyDescent="0.45">
      <c r="A538" t="s">
        <v>944</v>
      </c>
      <c r="B538" t="s">
        <v>88</v>
      </c>
      <c r="C538">
        <v>0</v>
      </c>
      <c r="D538">
        <v>150</v>
      </c>
      <c r="E538">
        <v>182</v>
      </c>
      <c r="F538" s="12"/>
    </row>
    <row r="539" spans="1:6" x14ac:dyDescent="0.45">
      <c r="A539" t="s">
        <v>945</v>
      </c>
      <c r="B539" t="s">
        <v>88</v>
      </c>
      <c r="C539">
        <v>0</v>
      </c>
      <c r="D539">
        <v>150</v>
      </c>
      <c r="E539">
        <v>199</v>
      </c>
      <c r="F539" s="12"/>
    </row>
    <row r="540" spans="1:6" x14ac:dyDescent="0.45">
      <c r="A540" t="s">
        <v>946</v>
      </c>
      <c r="B540" t="s">
        <v>88</v>
      </c>
      <c r="C540">
        <v>1</v>
      </c>
      <c r="D540">
        <v>150</v>
      </c>
      <c r="E540">
        <v>82</v>
      </c>
      <c r="F540" s="12"/>
    </row>
    <row r="541" spans="1:6" x14ac:dyDescent="0.45">
      <c r="A541" t="s">
        <v>947</v>
      </c>
      <c r="B541" t="s">
        <v>88</v>
      </c>
      <c r="C541">
        <v>1</v>
      </c>
      <c r="D541">
        <v>150</v>
      </c>
      <c r="E541">
        <v>99</v>
      </c>
      <c r="F541" s="12"/>
    </row>
    <row r="542" spans="1:6" x14ac:dyDescent="0.45">
      <c r="A542" t="s">
        <v>948</v>
      </c>
      <c r="B542" t="s">
        <v>88</v>
      </c>
      <c r="C542">
        <v>1</v>
      </c>
      <c r="D542">
        <v>150</v>
      </c>
      <c r="E542">
        <v>116</v>
      </c>
      <c r="F542" s="12"/>
    </row>
    <row r="543" spans="1:6" x14ac:dyDescent="0.45">
      <c r="A543" t="s">
        <v>949</v>
      </c>
      <c r="B543" t="s">
        <v>88</v>
      </c>
      <c r="C543">
        <v>1</v>
      </c>
      <c r="D543">
        <v>150</v>
      </c>
      <c r="E543">
        <v>132</v>
      </c>
      <c r="F543" s="12"/>
    </row>
    <row r="544" spans="1:6" x14ac:dyDescent="0.45">
      <c r="A544" t="s">
        <v>950</v>
      </c>
      <c r="B544" t="s">
        <v>88</v>
      </c>
      <c r="C544">
        <v>1</v>
      </c>
      <c r="D544">
        <v>150</v>
      </c>
      <c r="E544">
        <v>149</v>
      </c>
      <c r="F544" s="12"/>
    </row>
    <row r="545" spans="1:6" x14ac:dyDescent="0.45">
      <c r="A545" t="s">
        <v>951</v>
      </c>
      <c r="B545" t="s">
        <v>88</v>
      </c>
      <c r="C545">
        <v>1</v>
      </c>
      <c r="D545">
        <v>150</v>
      </c>
      <c r="E545">
        <v>166</v>
      </c>
      <c r="F545" s="12"/>
    </row>
    <row r="546" spans="1:6" x14ac:dyDescent="0.45">
      <c r="A546" t="s">
        <v>952</v>
      </c>
      <c r="B546" t="s">
        <v>88</v>
      </c>
      <c r="C546">
        <v>1</v>
      </c>
      <c r="D546">
        <v>150</v>
      </c>
      <c r="E546">
        <v>182</v>
      </c>
      <c r="F546" s="12"/>
    </row>
    <row r="547" spans="1:6" x14ac:dyDescent="0.45">
      <c r="A547" t="s">
        <v>953</v>
      </c>
      <c r="B547" t="s">
        <v>88</v>
      </c>
      <c r="C547">
        <v>1</v>
      </c>
      <c r="D547">
        <v>150</v>
      </c>
      <c r="E547">
        <v>199</v>
      </c>
      <c r="F547" s="12"/>
    </row>
    <row r="548" spans="1:6" x14ac:dyDescent="0.45">
      <c r="A548" t="s">
        <v>954</v>
      </c>
      <c r="B548" t="s">
        <v>88</v>
      </c>
      <c r="C548">
        <v>2</v>
      </c>
      <c r="D548">
        <v>150</v>
      </c>
      <c r="E548">
        <v>82</v>
      </c>
      <c r="F548" s="12"/>
    </row>
    <row r="549" spans="1:6" x14ac:dyDescent="0.45">
      <c r="A549" t="s">
        <v>955</v>
      </c>
      <c r="B549" t="s">
        <v>88</v>
      </c>
      <c r="C549">
        <v>2</v>
      </c>
      <c r="D549">
        <v>150</v>
      </c>
      <c r="E549">
        <v>99</v>
      </c>
      <c r="F549" s="12"/>
    </row>
    <row r="550" spans="1:6" x14ac:dyDescent="0.45">
      <c r="A550" t="s">
        <v>956</v>
      </c>
      <c r="B550" t="s">
        <v>88</v>
      </c>
      <c r="C550">
        <v>2</v>
      </c>
      <c r="D550">
        <v>150</v>
      </c>
      <c r="E550">
        <v>116</v>
      </c>
      <c r="F550" s="12"/>
    </row>
    <row r="551" spans="1:6" x14ac:dyDescent="0.45">
      <c r="A551" t="s">
        <v>957</v>
      </c>
      <c r="B551" t="s">
        <v>88</v>
      </c>
      <c r="C551">
        <v>2</v>
      </c>
      <c r="D551">
        <v>150</v>
      </c>
      <c r="E551">
        <v>132</v>
      </c>
      <c r="F551" s="12"/>
    </row>
    <row r="552" spans="1:6" x14ac:dyDescent="0.45">
      <c r="A552" t="s">
        <v>958</v>
      </c>
      <c r="B552" t="s">
        <v>88</v>
      </c>
      <c r="C552">
        <v>2</v>
      </c>
      <c r="D552">
        <v>150</v>
      </c>
      <c r="E552">
        <v>149</v>
      </c>
      <c r="F552" s="12"/>
    </row>
    <row r="553" spans="1:6" x14ac:dyDescent="0.45">
      <c r="A553" t="s">
        <v>959</v>
      </c>
      <c r="B553" t="s">
        <v>88</v>
      </c>
      <c r="C553">
        <v>2</v>
      </c>
      <c r="D553">
        <v>150</v>
      </c>
      <c r="E553">
        <v>166</v>
      </c>
      <c r="F553" s="12"/>
    </row>
    <row r="554" spans="1:6" x14ac:dyDescent="0.45">
      <c r="A554" t="s">
        <v>960</v>
      </c>
      <c r="B554" t="s">
        <v>88</v>
      </c>
      <c r="C554">
        <v>2</v>
      </c>
      <c r="D554">
        <v>150</v>
      </c>
      <c r="E554">
        <v>182</v>
      </c>
      <c r="F554" s="12"/>
    </row>
    <row r="555" spans="1:6" x14ac:dyDescent="0.45">
      <c r="A555" t="s">
        <v>961</v>
      </c>
      <c r="B555" t="s">
        <v>88</v>
      </c>
      <c r="C555">
        <v>2</v>
      </c>
      <c r="D555">
        <v>150</v>
      </c>
      <c r="E555">
        <v>199</v>
      </c>
      <c r="F555" s="12"/>
    </row>
    <row r="556" spans="1:6" x14ac:dyDescent="0.45">
      <c r="A556" t="s">
        <v>962</v>
      </c>
      <c r="B556" t="s">
        <v>88</v>
      </c>
      <c r="C556">
        <v>3</v>
      </c>
      <c r="D556">
        <v>150</v>
      </c>
      <c r="E556">
        <v>82</v>
      </c>
      <c r="F556" s="12"/>
    </row>
    <row r="557" spans="1:6" x14ac:dyDescent="0.45">
      <c r="A557" t="s">
        <v>963</v>
      </c>
      <c r="B557" t="s">
        <v>88</v>
      </c>
      <c r="C557">
        <v>3</v>
      </c>
      <c r="D557">
        <v>150</v>
      </c>
      <c r="E557">
        <v>99</v>
      </c>
      <c r="F557" s="12"/>
    </row>
    <row r="558" spans="1:6" x14ac:dyDescent="0.45">
      <c r="A558" t="s">
        <v>964</v>
      </c>
      <c r="B558" t="s">
        <v>88</v>
      </c>
      <c r="C558">
        <v>3</v>
      </c>
      <c r="D558">
        <v>150</v>
      </c>
      <c r="E558">
        <v>116</v>
      </c>
      <c r="F558" s="12"/>
    </row>
    <row r="559" spans="1:6" x14ac:dyDescent="0.45">
      <c r="A559" t="s">
        <v>965</v>
      </c>
      <c r="B559" t="s">
        <v>88</v>
      </c>
      <c r="C559">
        <v>3</v>
      </c>
      <c r="D559">
        <v>150</v>
      </c>
      <c r="E559">
        <v>132</v>
      </c>
      <c r="F559" s="12"/>
    </row>
    <row r="560" spans="1:6" x14ac:dyDescent="0.45">
      <c r="A560" t="s">
        <v>966</v>
      </c>
      <c r="B560" t="s">
        <v>88</v>
      </c>
      <c r="C560">
        <v>3</v>
      </c>
      <c r="D560">
        <v>150</v>
      </c>
      <c r="E560">
        <v>149</v>
      </c>
      <c r="F560" s="12"/>
    </row>
    <row r="561" spans="1:6" x14ac:dyDescent="0.45">
      <c r="A561" t="s">
        <v>967</v>
      </c>
      <c r="B561" t="s">
        <v>88</v>
      </c>
      <c r="C561">
        <v>3</v>
      </c>
      <c r="D561">
        <v>150</v>
      </c>
      <c r="E561">
        <v>166</v>
      </c>
      <c r="F561" s="12"/>
    </row>
    <row r="562" spans="1:6" x14ac:dyDescent="0.45">
      <c r="A562" t="s">
        <v>968</v>
      </c>
      <c r="B562" t="s">
        <v>88</v>
      </c>
      <c r="C562">
        <v>3</v>
      </c>
      <c r="D562">
        <v>150</v>
      </c>
      <c r="E562">
        <v>182</v>
      </c>
      <c r="F562" s="12"/>
    </row>
    <row r="563" spans="1:6" x14ac:dyDescent="0.45">
      <c r="A563" t="s">
        <v>969</v>
      </c>
      <c r="B563" t="s">
        <v>88</v>
      </c>
      <c r="C563">
        <v>3</v>
      </c>
      <c r="D563">
        <v>150</v>
      </c>
      <c r="E563">
        <v>199</v>
      </c>
      <c r="F563" s="12"/>
    </row>
    <row r="564" spans="1:6" x14ac:dyDescent="0.45">
      <c r="A564" t="s">
        <v>970</v>
      </c>
      <c r="B564" t="s">
        <v>88</v>
      </c>
      <c r="C564">
        <v>4</v>
      </c>
      <c r="D564">
        <v>150</v>
      </c>
      <c r="E564">
        <v>82</v>
      </c>
      <c r="F564" s="12"/>
    </row>
    <row r="565" spans="1:6" x14ac:dyDescent="0.45">
      <c r="A565" t="s">
        <v>971</v>
      </c>
      <c r="B565" t="s">
        <v>88</v>
      </c>
      <c r="C565">
        <v>4</v>
      </c>
      <c r="D565">
        <v>150</v>
      </c>
      <c r="E565">
        <v>99</v>
      </c>
      <c r="F565" s="12"/>
    </row>
    <row r="566" spans="1:6" x14ac:dyDescent="0.45">
      <c r="A566" t="s">
        <v>972</v>
      </c>
      <c r="B566" t="s">
        <v>88</v>
      </c>
      <c r="C566">
        <v>4</v>
      </c>
      <c r="D566">
        <v>150</v>
      </c>
      <c r="E566">
        <v>116</v>
      </c>
      <c r="F566" s="12"/>
    </row>
    <row r="567" spans="1:6" x14ac:dyDescent="0.45">
      <c r="A567" t="s">
        <v>973</v>
      </c>
      <c r="B567" t="s">
        <v>88</v>
      </c>
      <c r="C567">
        <v>4</v>
      </c>
      <c r="D567">
        <v>150</v>
      </c>
      <c r="E567">
        <v>132</v>
      </c>
      <c r="F567" s="12"/>
    </row>
    <row r="568" spans="1:6" x14ac:dyDescent="0.45">
      <c r="A568" t="s">
        <v>974</v>
      </c>
      <c r="B568" t="s">
        <v>88</v>
      </c>
      <c r="C568">
        <v>4</v>
      </c>
      <c r="D568">
        <v>150</v>
      </c>
      <c r="E568">
        <v>149</v>
      </c>
      <c r="F568" s="12"/>
    </row>
    <row r="569" spans="1:6" x14ac:dyDescent="0.45">
      <c r="A569" t="s">
        <v>975</v>
      </c>
      <c r="B569" t="s">
        <v>88</v>
      </c>
      <c r="C569">
        <v>4</v>
      </c>
      <c r="D569">
        <v>150</v>
      </c>
      <c r="E569">
        <v>166</v>
      </c>
      <c r="F569" s="12"/>
    </row>
    <row r="570" spans="1:6" x14ac:dyDescent="0.45">
      <c r="A570" t="s">
        <v>976</v>
      </c>
      <c r="B570" t="s">
        <v>88</v>
      </c>
      <c r="C570">
        <v>4</v>
      </c>
      <c r="D570">
        <v>150</v>
      </c>
      <c r="E570">
        <v>182</v>
      </c>
      <c r="F570" s="12"/>
    </row>
    <row r="571" spans="1:6" x14ac:dyDescent="0.45">
      <c r="A571" t="s">
        <v>977</v>
      </c>
      <c r="B571" t="s">
        <v>88</v>
      </c>
      <c r="C571">
        <v>4</v>
      </c>
      <c r="D571">
        <v>150</v>
      </c>
      <c r="E571">
        <v>199</v>
      </c>
      <c r="F571" s="12"/>
    </row>
    <row r="572" spans="1:6" x14ac:dyDescent="0.45">
      <c r="A572" t="s">
        <v>978</v>
      </c>
      <c r="B572" t="s">
        <v>88</v>
      </c>
      <c r="C572">
        <v>5</v>
      </c>
      <c r="D572">
        <v>150</v>
      </c>
      <c r="E572">
        <v>66</v>
      </c>
      <c r="F572" s="12"/>
    </row>
    <row r="573" spans="1:6" x14ac:dyDescent="0.45">
      <c r="A573" t="s">
        <v>979</v>
      </c>
      <c r="B573" t="s">
        <v>88</v>
      </c>
      <c r="C573">
        <v>5</v>
      </c>
      <c r="D573">
        <v>150</v>
      </c>
      <c r="E573">
        <v>82</v>
      </c>
      <c r="F573" s="12"/>
    </row>
    <row r="574" spans="1:6" x14ac:dyDescent="0.45">
      <c r="A574" t="s">
        <v>980</v>
      </c>
      <c r="B574" t="s">
        <v>88</v>
      </c>
      <c r="C574">
        <v>5</v>
      </c>
      <c r="D574">
        <v>150</v>
      </c>
      <c r="E574">
        <v>99</v>
      </c>
      <c r="F574" s="12"/>
    </row>
    <row r="575" spans="1:6" x14ac:dyDescent="0.45">
      <c r="A575" t="s">
        <v>981</v>
      </c>
      <c r="B575" t="s">
        <v>88</v>
      </c>
      <c r="C575">
        <v>5</v>
      </c>
      <c r="D575">
        <v>150</v>
      </c>
      <c r="E575">
        <v>116</v>
      </c>
      <c r="F575" s="12"/>
    </row>
    <row r="576" spans="1:6" x14ac:dyDescent="0.45">
      <c r="A576" t="s">
        <v>982</v>
      </c>
      <c r="B576" t="s">
        <v>88</v>
      </c>
      <c r="C576">
        <v>5</v>
      </c>
      <c r="D576">
        <v>150</v>
      </c>
      <c r="E576">
        <v>132</v>
      </c>
      <c r="F576" s="12"/>
    </row>
    <row r="577" spans="1:6" x14ac:dyDescent="0.45">
      <c r="A577" t="s">
        <v>983</v>
      </c>
      <c r="B577" t="s">
        <v>88</v>
      </c>
      <c r="C577">
        <v>5</v>
      </c>
      <c r="D577">
        <v>150</v>
      </c>
      <c r="E577">
        <v>149</v>
      </c>
      <c r="F577" s="12"/>
    </row>
    <row r="578" spans="1:6" x14ac:dyDescent="0.45">
      <c r="A578" t="s">
        <v>984</v>
      </c>
      <c r="B578" t="s">
        <v>88</v>
      </c>
      <c r="C578">
        <v>5</v>
      </c>
      <c r="D578">
        <v>150</v>
      </c>
      <c r="E578">
        <v>166</v>
      </c>
      <c r="F578" s="12"/>
    </row>
    <row r="579" spans="1:6" x14ac:dyDescent="0.45">
      <c r="A579" t="s">
        <v>985</v>
      </c>
      <c r="B579" t="s">
        <v>88</v>
      </c>
      <c r="C579">
        <v>5</v>
      </c>
      <c r="D579">
        <v>150</v>
      </c>
      <c r="E579">
        <v>182</v>
      </c>
      <c r="F579" s="12"/>
    </row>
    <row r="580" spans="1:6" x14ac:dyDescent="0.45">
      <c r="A580" t="s">
        <v>986</v>
      </c>
      <c r="B580" t="s">
        <v>88</v>
      </c>
      <c r="C580">
        <v>5</v>
      </c>
      <c r="D580">
        <v>150</v>
      </c>
      <c r="E580">
        <v>199</v>
      </c>
      <c r="F580" s="12"/>
    </row>
    <row r="581" spans="1:6" x14ac:dyDescent="0.45">
      <c r="A581" t="s">
        <v>987</v>
      </c>
      <c r="B581" t="s">
        <v>88</v>
      </c>
      <c r="C581">
        <v>6</v>
      </c>
      <c r="D581">
        <v>150</v>
      </c>
      <c r="E581">
        <v>66</v>
      </c>
      <c r="F581" s="12"/>
    </row>
    <row r="582" spans="1:6" x14ac:dyDescent="0.45">
      <c r="A582" t="s">
        <v>988</v>
      </c>
      <c r="B582" t="s">
        <v>88</v>
      </c>
      <c r="C582">
        <v>6</v>
      </c>
      <c r="D582">
        <v>150</v>
      </c>
      <c r="E582">
        <v>82</v>
      </c>
      <c r="F582" s="12"/>
    </row>
    <row r="583" spans="1:6" x14ac:dyDescent="0.45">
      <c r="A583" t="s">
        <v>989</v>
      </c>
      <c r="B583" t="s">
        <v>88</v>
      </c>
      <c r="C583">
        <v>6</v>
      </c>
      <c r="D583">
        <v>150</v>
      </c>
      <c r="E583">
        <v>99</v>
      </c>
      <c r="F583" s="12"/>
    </row>
    <row r="584" spans="1:6" x14ac:dyDescent="0.45">
      <c r="A584" t="s">
        <v>990</v>
      </c>
      <c r="B584" t="s">
        <v>88</v>
      </c>
      <c r="C584">
        <v>6</v>
      </c>
      <c r="D584">
        <v>150</v>
      </c>
      <c r="E584">
        <v>116</v>
      </c>
      <c r="F584" s="12"/>
    </row>
    <row r="585" spans="1:6" x14ac:dyDescent="0.45">
      <c r="A585" t="s">
        <v>991</v>
      </c>
      <c r="B585" t="s">
        <v>88</v>
      </c>
      <c r="C585">
        <v>6</v>
      </c>
      <c r="D585">
        <v>150</v>
      </c>
      <c r="E585">
        <v>132</v>
      </c>
      <c r="F585" s="12"/>
    </row>
    <row r="586" spans="1:6" x14ac:dyDescent="0.45">
      <c r="A586" t="s">
        <v>992</v>
      </c>
      <c r="B586" t="s">
        <v>88</v>
      </c>
      <c r="C586">
        <v>6</v>
      </c>
      <c r="D586">
        <v>150</v>
      </c>
      <c r="E586">
        <v>149</v>
      </c>
      <c r="F586" s="12"/>
    </row>
    <row r="587" spans="1:6" x14ac:dyDescent="0.45">
      <c r="A587" t="s">
        <v>993</v>
      </c>
      <c r="B587" t="s">
        <v>88</v>
      </c>
      <c r="C587">
        <v>6</v>
      </c>
      <c r="D587">
        <v>150</v>
      </c>
      <c r="E587">
        <v>166</v>
      </c>
      <c r="F587" s="12"/>
    </row>
    <row r="588" spans="1:6" x14ac:dyDescent="0.45">
      <c r="A588" t="s">
        <v>994</v>
      </c>
      <c r="B588" t="s">
        <v>88</v>
      </c>
      <c r="C588">
        <v>6</v>
      </c>
      <c r="D588">
        <v>150</v>
      </c>
      <c r="E588">
        <v>182</v>
      </c>
      <c r="F588" s="12"/>
    </row>
    <row r="589" spans="1:6" x14ac:dyDescent="0.45">
      <c r="A589" t="s">
        <v>995</v>
      </c>
      <c r="B589" t="s">
        <v>88</v>
      </c>
      <c r="C589">
        <v>6</v>
      </c>
      <c r="D589">
        <v>150</v>
      </c>
      <c r="E589">
        <v>199</v>
      </c>
      <c r="F589" s="12"/>
    </row>
    <row r="590" spans="1:6" x14ac:dyDescent="0.45">
      <c r="A590" t="s">
        <v>996</v>
      </c>
      <c r="B590" t="s">
        <v>88</v>
      </c>
      <c r="C590">
        <v>7</v>
      </c>
      <c r="D590">
        <v>150</v>
      </c>
      <c r="E590">
        <v>66</v>
      </c>
      <c r="F590" s="12"/>
    </row>
    <row r="591" spans="1:6" x14ac:dyDescent="0.45">
      <c r="A591" t="s">
        <v>997</v>
      </c>
      <c r="B591" t="s">
        <v>88</v>
      </c>
      <c r="C591">
        <v>7</v>
      </c>
      <c r="D591">
        <v>150</v>
      </c>
      <c r="E591">
        <v>82</v>
      </c>
      <c r="F591" s="12"/>
    </row>
    <row r="592" spans="1:6" x14ac:dyDescent="0.45">
      <c r="A592" t="s">
        <v>998</v>
      </c>
      <c r="B592" t="s">
        <v>88</v>
      </c>
      <c r="C592">
        <v>7</v>
      </c>
      <c r="D592">
        <v>150</v>
      </c>
      <c r="E592">
        <v>99</v>
      </c>
      <c r="F592" s="12"/>
    </row>
    <row r="593" spans="1:6" x14ac:dyDescent="0.45">
      <c r="A593" t="s">
        <v>999</v>
      </c>
      <c r="B593" t="s">
        <v>88</v>
      </c>
      <c r="C593">
        <v>7</v>
      </c>
      <c r="D593">
        <v>150</v>
      </c>
      <c r="E593">
        <v>116</v>
      </c>
      <c r="F593" s="12"/>
    </row>
    <row r="594" spans="1:6" x14ac:dyDescent="0.45">
      <c r="A594" t="s">
        <v>1000</v>
      </c>
      <c r="B594" t="s">
        <v>88</v>
      </c>
      <c r="C594">
        <v>7</v>
      </c>
      <c r="D594">
        <v>150</v>
      </c>
      <c r="E594">
        <v>132</v>
      </c>
      <c r="F594" s="12"/>
    </row>
    <row r="595" spans="1:6" x14ac:dyDescent="0.45">
      <c r="A595" t="s">
        <v>1001</v>
      </c>
      <c r="B595" t="s">
        <v>88</v>
      </c>
      <c r="C595">
        <v>7</v>
      </c>
      <c r="D595">
        <v>150</v>
      </c>
      <c r="E595">
        <v>149</v>
      </c>
      <c r="F595" s="12"/>
    </row>
    <row r="596" spans="1:6" x14ac:dyDescent="0.45">
      <c r="A596" t="s">
        <v>1002</v>
      </c>
      <c r="B596" t="s">
        <v>88</v>
      </c>
      <c r="C596">
        <v>7</v>
      </c>
      <c r="D596">
        <v>150</v>
      </c>
      <c r="E596">
        <v>166</v>
      </c>
      <c r="F596" s="12"/>
    </row>
    <row r="597" spans="1:6" x14ac:dyDescent="0.45">
      <c r="A597" t="s">
        <v>1003</v>
      </c>
      <c r="B597" t="s">
        <v>88</v>
      </c>
      <c r="C597">
        <v>7</v>
      </c>
      <c r="D597">
        <v>150</v>
      </c>
      <c r="E597">
        <v>182</v>
      </c>
      <c r="F597" s="12"/>
    </row>
    <row r="598" spans="1:6" x14ac:dyDescent="0.45">
      <c r="A598" t="s">
        <v>1004</v>
      </c>
      <c r="B598" t="s">
        <v>88</v>
      </c>
      <c r="C598">
        <v>7</v>
      </c>
      <c r="D598">
        <v>150</v>
      </c>
      <c r="E598">
        <v>199</v>
      </c>
      <c r="F598" s="12"/>
    </row>
    <row r="599" spans="1:6" x14ac:dyDescent="0.45">
      <c r="A599" t="s">
        <v>1005</v>
      </c>
      <c r="B599" t="s">
        <v>88</v>
      </c>
      <c r="C599">
        <v>8</v>
      </c>
      <c r="D599">
        <v>150</v>
      </c>
      <c r="E599">
        <v>66</v>
      </c>
      <c r="F599" s="12"/>
    </row>
    <row r="600" spans="1:6" x14ac:dyDescent="0.45">
      <c r="A600" t="s">
        <v>1006</v>
      </c>
      <c r="B600" t="s">
        <v>88</v>
      </c>
      <c r="C600">
        <v>8</v>
      </c>
      <c r="D600">
        <v>150</v>
      </c>
      <c r="E600">
        <v>82</v>
      </c>
      <c r="F600" s="12"/>
    </row>
    <row r="601" spans="1:6" x14ac:dyDescent="0.45">
      <c r="A601" t="s">
        <v>1007</v>
      </c>
      <c r="B601" t="s">
        <v>88</v>
      </c>
      <c r="C601">
        <v>8</v>
      </c>
      <c r="D601">
        <v>150</v>
      </c>
      <c r="E601">
        <v>99</v>
      </c>
      <c r="F601" s="12"/>
    </row>
    <row r="602" spans="1:6" x14ac:dyDescent="0.45">
      <c r="A602" t="s">
        <v>1008</v>
      </c>
      <c r="B602" t="s">
        <v>88</v>
      </c>
      <c r="C602">
        <v>8</v>
      </c>
      <c r="D602">
        <v>150</v>
      </c>
      <c r="E602">
        <v>116</v>
      </c>
      <c r="F602" s="12"/>
    </row>
    <row r="603" spans="1:6" x14ac:dyDescent="0.45">
      <c r="A603" t="s">
        <v>1009</v>
      </c>
      <c r="B603" t="s">
        <v>88</v>
      </c>
      <c r="C603">
        <v>8</v>
      </c>
      <c r="D603">
        <v>150</v>
      </c>
      <c r="E603">
        <v>132</v>
      </c>
      <c r="F603" s="12"/>
    </row>
    <row r="604" spans="1:6" x14ac:dyDescent="0.45">
      <c r="A604" t="s">
        <v>1010</v>
      </c>
      <c r="B604" t="s">
        <v>88</v>
      </c>
      <c r="C604">
        <v>8</v>
      </c>
      <c r="D604">
        <v>150</v>
      </c>
      <c r="E604">
        <v>149</v>
      </c>
      <c r="F604" s="12"/>
    </row>
    <row r="605" spans="1:6" x14ac:dyDescent="0.45">
      <c r="A605" t="s">
        <v>1011</v>
      </c>
      <c r="B605" t="s">
        <v>88</v>
      </c>
      <c r="C605">
        <v>8</v>
      </c>
      <c r="D605">
        <v>150</v>
      </c>
      <c r="E605">
        <v>166</v>
      </c>
      <c r="F605" s="12"/>
    </row>
    <row r="606" spans="1:6" x14ac:dyDescent="0.45">
      <c r="A606" t="s">
        <v>1012</v>
      </c>
      <c r="B606" t="s">
        <v>88</v>
      </c>
      <c r="C606">
        <v>8</v>
      </c>
      <c r="D606">
        <v>150</v>
      </c>
      <c r="E606">
        <v>182</v>
      </c>
      <c r="F606" s="12"/>
    </row>
    <row r="607" spans="1:6" x14ac:dyDescent="0.45">
      <c r="A607" t="s">
        <v>1013</v>
      </c>
      <c r="B607" t="s">
        <v>88</v>
      </c>
      <c r="C607">
        <v>8</v>
      </c>
      <c r="D607">
        <v>150</v>
      </c>
      <c r="E607">
        <v>199</v>
      </c>
      <c r="F607" s="12"/>
    </row>
    <row r="608" spans="1:6" x14ac:dyDescent="0.45">
      <c r="A608" t="s">
        <v>1014</v>
      </c>
      <c r="B608" t="s">
        <v>88</v>
      </c>
      <c r="C608">
        <v>9</v>
      </c>
      <c r="D608">
        <v>150</v>
      </c>
      <c r="E608">
        <v>66</v>
      </c>
      <c r="F608" s="12"/>
    </row>
    <row r="609" spans="1:6" x14ac:dyDescent="0.45">
      <c r="A609" t="s">
        <v>1015</v>
      </c>
      <c r="B609" t="s">
        <v>88</v>
      </c>
      <c r="C609">
        <v>9</v>
      </c>
      <c r="D609">
        <v>150</v>
      </c>
      <c r="E609">
        <v>82</v>
      </c>
      <c r="F609" s="12"/>
    </row>
    <row r="610" spans="1:6" x14ac:dyDescent="0.45">
      <c r="A610" t="s">
        <v>1016</v>
      </c>
      <c r="B610" t="s">
        <v>88</v>
      </c>
      <c r="C610">
        <v>9</v>
      </c>
      <c r="D610">
        <v>150</v>
      </c>
      <c r="E610">
        <v>99</v>
      </c>
      <c r="F610" s="12"/>
    </row>
    <row r="611" spans="1:6" x14ac:dyDescent="0.45">
      <c r="A611" t="s">
        <v>1017</v>
      </c>
      <c r="B611" t="s">
        <v>88</v>
      </c>
      <c r="C611">
        <v>9</v>
      </c>
      <c r="D611">
        <v>150</v>
      </c>
      <c r="E611">
        <v>116</v>
      </c>
      <c r="F611" s="12"/>
    </row>
    <row r="612" spans="1:6" x14ac:dyDescent="0.45">
      <c r="A612" t="s">
        <v>1018</v>
      </c>
      <c r="B612" t="s">
        <v>88</v>
      </c>
      <c r="C612">
        <v>9</v>
      </c>
      <c r="D612">
        <v>150</v>
      </c>
      <c r="E612">
        <v>132</v>
      </c>
      <c r="F612" s="12"/>
    </row>
    <row r="613" spans="1:6" x14ac:dyDescent="0.45">
      <c r="A613" t="s">
        <v>1019</v>
      </c>
      <c r="B613" t="s">
        <v>88</v>
      </c>
      <c r="C613">
        <v>9</v>
      </c>
      <c r="D613">
        <v>150</v>
      </c>
      <c r="E613">
        <v>149</v>
      </c>
      <c r="F613" s="12"/>
    </row>
    <row r="614" spans="1:6" x14ac:dyDescent="0.45">
      <c r="A614" t="s">
        <v>1020</v>
      </c>
      <c r="B614" t="s">
        <v>88</v>
      </c>
      <c r="C614">
        <v>9</v>
      </c>
      <c r="D614">
        <v>150</v>
      </c>
      <c r="E614">
        <v>166</v>
      </c>
      <c r="F614" s="12"/>
    </row>
    <row r="615" spans="1:6" x14ac:dyDescent="0.45">
      <c r="A615" t="s">
        <v>1021</v>
      </c>
      <c r="B615" t="s">
        <v>88</v>
      </c>
      <c r="C615">
        <v>9</v>
      </c>
      <c r="D615">
        <v>150</v>
      </c>
      <c r="E615">
        <v>182</v>
      </c>
      <c r="F615" s="12"/>
    </row>
    <row r="616" spans="1:6" x14ac:dyDescent="0.45">
      <c r="A616" t="s">
        <v>1022</v>
      </c>
      <c r="B616" t="s">
        <v>88</v>
      </c>
      <c r="C616">
        <v>9</v>
      </c>
      <c r="D616">
        <v>150</v>
      </c>
      <c r="E616">
        <v>199</v>
      </c>
      <c r="F616" s="12"/>
    </row>
    <row r="617" spans="1:6" x14ac:dyDescent="0.45">
      <c r="A617" t="s">
        <v>1023</v>
      </c>
      <c r="B617" t="s">
        <v>88</v>
      </c>
      <c r="C617">
        <v>10</v>
      </c>
      <c r="D617">
        <v>150</v>
      </c>
      <c r="E617">
        <v>32</v>
      </c>
      <c r="F617" s="12"/>
    </row>
    <row r="618" spans="1:6" x14ac:dyDescent="0.45">
      <c r="A618" t="s">
        <v>1024</v>
      </c>
      <c r="B618" t="s">
        <v>88</v>
      </c>
      <c r="C618">
        <v>10</v>
      </c>
      <c r="D618">
        <v>150</v>
      </c>
      <c r="E618">
        <v>49</v>
      </c>
      <c r="F618" s="12"/>
    </row>
    <row r="619" spans="1:6" x14ac:dyDescent="0.45">
      <c r="A619" t="s">
        <v>1025</v>
      </c>
      <c r="B619" t="s">
        <v>88</v>
      </c>
      <c r="C619">
        <v>10</v>
      </c>
      <c r="D619">
        <v>150</v>
      </c>
      <c r="E619">
        <v>66</v>
      </c>
      <c r="F619" s="12"/>
    </row>
    <row r="620" spans="1:6" x14ac:dyDescent="0.45">
      <c r="A620" t="s">
        <v>1026</v>
      </c>
      <c r="B620" t="s">
        <v>88</v>
      </c>
      <c r="C620">
        <v>10</v>
      </c>
      <c r="D620">
        <v>150</v>
      </c>
      <c r="E620">
        <v>82</v>
      </c>
      <c r="F620" s="12"/>
    </row>
    <row r="621" spans="1:6" x14ac:dyDescent="0.45">
      <c r="A621" t="s">
        <v>1027</v>
      </c>
      <c r="B621" t="s">
        <v>88</v>
      </c>
      <c r="C621">
        <v>10</v>
      </c>
      <c r="D621">
        <v>150</v>
      </c>
      <c r="E621">
        <v>99</v>
      </c>
      <c r="F621" s="12"/>
    </row>
    <row r="622" spans="1:6" x14ac:dyDescent="0.45">
      <c r="A622" t="s">
        <v>1028</v>
      </c>
      <c r="B622" t="s">
        <v>88</v>
      </c>
      <c r="C622">
        <v>10</v>
      </c>
      <c r="D622">
        <v>150</v>
      </c>
      <c r="E622">
        <v>116</v>
      </c>
      <c r="F622" s="12"/>
    </row>
    <row r="623" spans="1:6" x14ac:dyDescent="0.45">
      <c r="A623" t="s">
        <v>1029</v>
      </c>
      <c r="B623" t="s">
        <v>88</v>
      </c>
      <c r="C623">
        <v>10</v>
      </c>
      <c r="D623">
        <v>150</v>
      </c>
      <c r="E623">
        <v>132</v>
      </c>
      <c r="F623" s="12"/>
    </row>
    <row r="624" spans="1:6" x14ac:dyDescent="0.45">
      <c r="A624" t="s">
        <v>1030</v>
      </c>
      <c r="B624" t="s">
        <v>88</v>
      </c>
      <c r="C624">
        <v>10</v>
      </c>
      <c r="D624">
        <v>150</v>
      </c>
      <c r="E624">
        <v>149</v>
      </c>
      <c r="F624" s="12"/>
    </row>
    <row r="625" spans="1:6" x14ac:dyDescent="0.45">
      <c r="A625" t="s">
        <v>1031</v>
      </c>
      <c r="B625" t="s">
        <v>88</v>
      </c>
      <c r="C625">
        <v>10</v>
      </c>
      <c r="D625">
        <v>150</v>
      </c>
      <c r="E625">
        <v>166</v>
      </c>
      <c r="F625" s="12"/>
    </row>
    <row r="626" spans="1:6" x14ac:dyDescent="0.45">
      <c r="A626" t="s">
        <v>1032</v>
      </c>
      <c r="B626" t="s">
        <v>88</v>
      </c>
      <c r="C626">
        <v>10</v>
      </c>
      <c r="D626">
        <v>150</v>
      </c>
      <c r="E626">
        <v>182</v>
      </c>
      <c r="F626" s="12"/>
    </row>
    <row r="627" spans="1:6" x14ac:dyDescent="0.45">
      <c r="A627" t="s">
        <v>1033</v>
      </c>
      <c r="B627" t="s">
        <v>88</v>
      </c>
      <c r="C627">
        <v>10</v>
      </c>
      <c r="D627">
        <v>150</v>
      </c>
      <c r="E627">
        <v>199</v>
      </c>
      <c r="F627" s="12"/>
    </row>
    <row r="628" spans="1:6" x14ac:dyDescent="0.45">
      <c r="A628" t="s">
        <v>1034</v>
      </c>
      <c r="B628" t="s">
        <v>88</v>
      </c>
      <c r="C628">
        <v>11</v>
      </c>
      <c r="D628">
        <v>150</v>
      </c>
      <c r="E628">
        <v>32</v>
      </c>
      <c r="F628" s="12"/>
    </row>
    <row r="629" spans="1:6" x14ac:dyDescent="0.45">
      <c r="A629" t="s">
        <v>1035</v>
      </c>
      <c r="B629" t="s">
        <v>88</v>
      </c>
      <c r="C629">
        <v>11</v>
      </c>
      <c r="D629">
        <v>150</v>
      </c>
      <c r="E629">
        <v>49</v>
      </c>
      <c r="F629" s="12"/>
    </row>
    <row r="630" spans="1:6" x14ac:dyDescent="0.45">
      <c r="A630" t="s">
        <v>1036</v>
      </c>
      <c r="B630" t="s">
        <v>88</v>
      </c>
      <c r="C630">
        <v>11</v>
      </c>
      <c r="D630">
        <v>150</v>
      </c>
      <c r="E630">
        <v>66</v>
      </c>
      <c r="F630" s="12"/>
    </row>
    <row r="631" spans="1:6" x14ac:dyDescent="0.45">
      <c r="A631" t="s">
        <v>1037</v>
      </c>
      <c r="B631" t="s">
        <v>88</v>
      </c>
      <c r="C631">
        <v>11</v>
      </c>
      <c r="D631">
        <v>150</v>
      </c>
      <c r="E631">
        <v>82</v>
      </c>
      <c r="F631" s="12"/>
    </row>
    <row r="632" spans="1:6" x14ac:dyDescent="0.45">
      <c r="A632" t="s">
        <v>1038</v>
      </c>
      <c r="B632" t="s">
        <v>88</v>
      </c>
      <c r="C632">
        <v>11</v>
      </c>
      <c r="D632">
        <v>150</v>
      </c>
      <c r="E632">
        <v>99</v>
      </c>
      <c r="F632" s="12"/>
    </row>
    <row r="633" spans="1:6" x14ac:dyDescent="0.45">
      <c r="A633" t="s">
        <v>1039</v>
      </c>
      <c r="B633" t="s">
        <v>88</v>
      </c>
      <c r="C633">
        <v>11</v>
      </c>
      <c r="D633">
        <v>150</v>
      </c>
      <c r="E633">
        <v>116</v>
      </c>
      <c r="F633" s="12"/>
    </row>
    <row r="634" spans="1:6" x14ac:dyDescent="0.45">
      <c r="A634" t="s">
        <v>1040</v>
      </c>
      <c r="B634" t="s">
        <v>88</v>
      </c>
      <c r="C634">
        <v>11</v>
      </c>
      <c r="D634">
        <v>150</v>
      </c>
      <c r="E634">
        <v>132</v>
      </c>
      <c r="F634" s="12"/>
    </row>
    <row r="635" spans="1:6" x14ac:dyDescent="0.45">
      <c r="A635" t="s">
        <v>1041</v>
      </c>
      <c r="B635" t="s">
        <v>88</v>
      </c>
      <c r="C635">
        <v>11</v>
      </c>
      <c r="D635">
        <v>150</v>
      </c>
      <c r="E635">
        <v>149</v>
      </c>
      <c r="F635" s="12"/>
    </row>
    <row r="636" spans="1:6" x14ac:dyDescent="0.45">
      <c r="A636" t="s">
        <v>1042</v>
      </c>
      <c r="B636" t="s">
        <v>88</v>
      </c>
      <c r="C636">
        <v>11</v>
      </c>
      <c r="D636">
        <v>150</v>
      </c>
      <c r="E636">
        <v>166</v>
      </c>
      <c r="F636" s="12"/>
    </row>
    <row r="637" spans="1:6" x14ac:dyDescent="0.45">
      <c r="A637" t="s">
        <v>1043</v>
      </c>
      <c r="B637" t="s">
        <v>88</v>
      </c>
      <c r="C637">
        <v>11</v>
      </c>
      <c r="D637">
        <v>150</v>
      </c>
      <c r="E637">
        <v>182</v>
      </c>
      <c r="F637" s="12"/>
    </row>
    <row r="638" spans="1:6" x14ac:dyDescent="0.45">
      <c r="A638" t="s">
        <v>1044</v>
      </c>
      <c r="B638" t="s">
        <v>88</v>
      </c>
      <c r="C638">
        <v>11</v>
      </c>
      <c r="D638">
        <v>150</v>
      </c>
      <c r="E638">
        <v>199</v>
      </c>
      <c r="F638" s="12"/>
    </row>
    <row r="639" spans="1:6" x14ac:dyDescent="0.45">
      <c r="A639" t="s">
        <v>1045</v>
      </c>
      <c r="B639" t="s">
        <v>88</v>
      </c>
      <c r="C639">
        <v>12</v>
      </c>
      <c r="D639">
        <v>150</v>
      </c>
      <c r="E639">
        <v>32</v>
      </c>
      <c r="F639" s="12"/>
    </row>
    <row r="640" spans="1:6" x14ac:dyDescent="0.45">
      <c r="A640" t="s">
        <v>1046</v>
      </c>
      <c r="B640" t="s">
        <v>88</v>
      </c>
      <c r="C640">
        <v>12</v>
      </c>
      <c r="D640">
        <v>150</v>
      </c>
      <c r="E640">
        <v>49</v>
      </c>
      <c r="F640" s="12"/>
    </row>
    <row r="641" spans="1:6" x14ac:dyDescent="0.45">
      <c r="A641" t="s">
        <v>1047</v>
      </c>
      <c r="B641" t="s">
        <v>88</v>
      </c>
      <c r="C641">
        <v>12</v>
      </c>
      <c r="D641">
        <v>150</v>
      </c>
      <c r="E641">
        <v>66</v>
      </c>
      <c r="F641" s="12"/>
    </row>
    <row r="642" spans="1:6" x14ac:dyDescent="0.45">
      <c r="A642" t="s">
        <v>1048</v>
      </c>
      <c r="B642" t="s">
        <v>88</v>
      </c>
      <c r="C642">
        <v>12</v>
      </c>
      <c r="D642">
        <v>150</v>
      </c>
      <c r="E642">
        <v>82</v>
      </c>
      <c r="F642" s="12"/>
    </row>
    <row r="643" spans="1:6" x14ac:dyDescent="0.45">
      <c r="A643" t="s">
        <v>1049</v>
      </c>
      <c r="B643" t="s">
        <v>88</v>
      </c>
      <c r="C643">
        <v>12</v>
      </c>
      <c r="D643">
        <v>150</v>
      </c>
      <c r="E643">
        <v>99</v>
      </c>
      <c r="F643" s="12"/>
    </row>
    <row r="644" spans="1:6" x14ac:dyDescent="0.45">
      <c r="A644" t="s">
        <v>1050</v>
      </c>
      <c r="B644" t="s">
        <v>88</v>
      </c>
      <c r="C644">
        <v>12</v>
      </c>
      <c r="D644">
        <v>150</v>
      </c>
      <c r="E644">
        <v>116</v>
      </c>
      <c r="F644" s="12"/>
    </row>
    <row r="645" spans="1:6" x14ac:dyDescent="0.45">
      <c r="A645" t="s">
        <v>1051</v>
      </c>
      <c r="B645" t="s">
        <v>88</v>
      </c>
      <c r="C645">
        <v>12</v>
      </c>
      <c r="D645">
        <v>150</v>
      </c>
      <c r="E645">
        <v>132</v>
      </c>
      <c r="F645" s="12"/>
    </row>
    <row r="646" spans="1:6" x14ac:dyDescent="0.45">
      <c r="A646" t="s">
        <v>1052</v>
      </c>
      <c r="B646" t="s">
        <v>88</v>
      </c>
      <c r="C646">
        <v>12</v>
      </c>
      <c r="D646">
        <v>150</v>
      </c>
      <c r="E646">
        <v>149</v>
      </c>
      <c r="F646" s="12"/>
    </row>
    <row r="647" spans="1:6" x14ac:dyDescent="0.45">
      <c r="A647" t="s">
        <v>1053</v>
      </c>
      <c r="B647" t="s">
        <v>88</v>
      </c>
      <c r="C647">
        <v>12</v>
      </c>
      <c r="D647">
        <v>150</v>
      </c>
      <c r="E647">
        <v>166</v>
      </c>
      <c r="F647" s="12"/>
    </row>
    <row r="648" spans="1:6" x14ac:dyDescent="0.45">
      <c r="A648" t="s">
        <v>1054</v>
      </c>
      <c r="B648" t="s">
        <v>88</v>
      </c>
      <c r="C648">
        <v>12</v>
      </c>
      <c r="D648">
        <v>150</v>
      </c>
      <c r="E648">
        <v>182</v>
      </c>
      <c r="F648" s="12"/>
    </row>
    <row r="649" spans="1:6" x14ac:dyDescent="0.45">
      <c r="A649" t="s">
        <v>1055</v>
      </c>
      <c r="B649" t="s">
        <v>88</v>
      </c>
      <c r="C649">
        <v>12</v>
      </c>
      <c r="D649">
        <v>150</v>
      </c>
      <c r="E649">
        <v>199</v>
      </c>
      <c r="F649" s="12"/>
    </row>
    <row r="650" spans="1:6" x14ac:dyDescent="0.45">
      <c r="A650" t="s">
        <v>1056</v>
      </c>
      <c r="B650" t="s">
        <v>88</v>
      </c>
      <c r="C650">
        <v>13</v>
      </c>
      <c r="D650">
        <v>150</v>
      </c>
      <c r="E650">
        <v>32</v>
      </c>
      <c r="F650" s="12"/>
    </row>
    <row r="651" spans="1:6" x14ac:dyDescent="0.45">
      <c r="A651" t="s">
        <v>1057</v>
      </c>
      <c r="B651" t="s">
        <v>88</v>
      </c>
      <c r="C651">
        <v>13</v>
      </c>
      <c r="D651">
        <v>150</v>
      </c>
      <c r="E651">
        <v>49</v>
      </c>
      <c r="F651" s="12"/>
    </row>
    <row r="652" spans="1:6" x14ac:dyDescent="0.45">
      <c r="A652" t="s">
        <v>1058</v>
      </c>
      <c r="B652" t="s">
        <v>88</v>
      </c>
      <c r="C652">
        <v>13</v>
      </c>
      <c r="D652">
        <v>150</v>
      </c>
      <c r="E652">
        <v>66</v>
      </c>
      <c r="F652" s="12"/>
    </row>
    <row r="653" spans="1:6" x14ac:dyDescent="0.45">
      <c r="A653" t="s">
        <v>1059</v>
      </c>
      <c r="B653" t="s">
        <v>88</v>
      </c>
      <c r="C653">
        <v>13</v>
      </c>
      <c r="D653">
        <v>150</v>
      </c>
      <c r="E653">
        <v>82</v>
      </c>
      <c r="F653" s="12"/>
    </row>
    <row r="654" spans="1:6" x14ac:dyDescent="0.45">
      <c r="A654" t="s">
        <v>1060</v>
      </c>
      <c r="B654" t="s">
        <v>88</v>
      </c>
      <c r="C654">
        <v>13</v>
      </c>
      <c r="D654">
        <v>150</v>
      </c>
      <c r="E654">
        <v>99</v>
      </c>
      <c r="F654" s="12"/>
    </row>
    <row r="655" spans="1:6" x14ac:dyDescent="0.45">
      <c r="A655" t="s">
        <v>1061</v>
      </c>
      <c r="B655" t="s">
        <v>88</v>
      </c>
      <c r="C655">
        <v>13</v>
      </c>
      <c r="D655">
        <v>150</v>
      </c>
      <c r="E655">
        <v>116</v>
      </c>
      <c r="F655" s="12"/>
    </row>
    <row r="656" spans="1:6" x14ac:dyDescent="0.45">
      <c r="A656" t="s">
        <v>1062</v>
      </c>
      <c r="B656" t="s">
        <v>88</v>
      </c>
      <c r="C656">
        <v>13</v>
      </c>
      <c r="D656">
        <v>150</v>
      </c>
      <c r="E656">
        <v>132</v>
      </c>
      <c r="F656" s="12"/>
    </row>
    <row r="657" spans="1:6" x14ac:dyDescent="0.45">
      <c r="A657" t="s">
        <v>1063</v>
      </c>
      <c r="B657" t="s">
        <v>88</v>
      </c>
      <c r="C657">
        <v>13</v>
      </c>
      <c r="D657">
        <v>150</v>
      </c>
      <c r="E657">
        <v>149</v>
      </c>
      <c r="F657" s="12"/>
    </row>
    <row r="658" spans="1:6" x14ac:dyDescent="0.45">
      <c r="A658" t="s">
        <v>1064</v>
      </c>
      <c r="B658" t="s">
        <v>88</v>
      </c>
      <c r="C658">
        <v>13</v>
      </c>
      <c r="D658">
        <v>150</v>
      </c>
      <c r="E658">
        <v>166</v>
      </c>
      <c r="F658" s="12"/>
    </row>
    <row r="659" spans="1:6" x14ac:dyDescent="0.45">
      <c r="A659" t="s">
        <v>1065</v>
      </c>
      <c r="B659" t="s">
        <v>88</v>
      </c>
      <c r="C659">
        <v>13</v>
      </c>
      <c r="D659">
        <v>150</v>
      </c>
      <c r="E659">
        <v>182</v>
      </c>
      <c r="F659" s="12"/>
    </row>
    <row r="660" spans="1:6" x14ac:dyDescent="0.45">
      <c r="A660" t="s">
        <v>1066</v>
      </c>
      <c r="B660" t="s">
        <v>88</v>
      </c>
      <c r="C660">
        <v>13</v>
      </c>
      <c r="D660">
        <v>150</v>
      </c>
      <c r="E660">
        <v>199</v>
      </c>
      <c r="F660" s="12"/>
    </row>
    <row r="661" spans="1:6" x14ac:dyDescent="0.45">
      <c r="A661" t="s">
        <v>1067</v>
      </c>
      <c r="B661" t="s">
        <v>88</v>
      </c>
      <c r="C661">
        <v>14</v>
      </c>
      <c r="D661">
        <v>150</v>
      </c>
      <c r="E661">
        <v>32</v>
      </c>
      <c r="F661" s="12"/>
    </row>
    <row r="662" spans="1:6" x14ac:dyDescent="0.45">
      <c r="A662" t="s">
        <v>1068</v>
      </c>
      <c r="B662" t="s">
        <v>88</v>
      </c>
      <c r="C662">
        <v>14</v>
      </c>
      <c r="D662">
        <v>150</v>
      </c>
      <c r="E662">
        <v>49</v>
      </c>
      <c r="F662" s="12"/>
    </row>
    <row r="663" spans="1:6" x14ac:dyDescent="0.45">
      <c r="A663" t="s">
        <v>1069</v>
      </c>
      <c r="B663" t="s">
        <v>88</v>
      </c>
      <c r="C663">
        <v>14</v>
      </c>
      <c r="D663">
        <v>150</v>
      </c>
      <c r="E663">
        <v>66</v>
      </c>
      <c r="F663" s="12"/>
    </row>
    <row r="664" spans="1:6" x14ac:dyDescent="0.45">
      <c r="A664" t="s">
        <v>1070</v>
      </c>
      <c r="B664" t="s">
        <v>88</v>
      </c>
      <c r="C664">
        <v>14</v>
      </c>
      <c r="D664">
        <v>150</v>
      </c>
      <c r="E664">
        <v>82</v>
      </c>
      <c r="F664" s="12"/>
    </row>
    <row r="665" spans="1:6" x14ac:dyDescent="0.45">
      <c r="A665" t="s">
        <v>1071</v>
      </c>
      <c r="B665" t="s">
        <v>88</v>
      </c>
      <c r="C665">
        <v>14</v>
      </c>
      <c r="D665">
        <v>150</v>
      </c>
      <c r="E665">
        <v>99</v>
      </c>
      <c r="F665" s="12"/>
    </row>
    <row r="666" spans="1:6" x14ac:dyDescent="0.45">
      <c r="A666" t="s">
        <v>1072</v>
      </c>
      <c r="B666" t="s">
        <v>88</v>
      </c>
      <c r="C666">
        <v>14</v>
      </c>
      <c r="D666">
        <v>150</v>
      </c>
      <c r="E666">
        <v>116</v>
      </c>
      <c r="F666" s="12"/>
    </row>
    <row r="667" spans="1:6" x14ac:dyDescent="0.45">
      <c r="A667" t="s">
        <v>1073</v>
      </c>
      <c r="B667" t="s">
        <v>88</v>
      </c>
      <c r="C667">
        <v>14</v>
      </c>
      <c r="D667">
        <v>150</v>
      </c>
      <c r="E667">
        <v>132</v>
      </c>
      <c r="F667" s="12"/>
    </row>
    <row r="668" spans="1:6" x14ac:dyDescent="0.45">
      <c r="A668" t="s">
        <v>1074</v>
      </c>
      <c r="B668" t="s">
        <v>88</v>
      </c>
      <c r="C668">
        <v>14</v>
      </c>
      <c r="D668">
        <v>150</v>
      </c>
      <c r="E668">
        <v>149</v>
      </c>
      <c r="F668" s="12"/>
    </row>
    <row r="669" spans="1:6" x14ac:dyDescent="0.45">
      <c r="A669" t="s">
        <v>1075</v>
      </c>
      <c r="B669" t="s">
        <v>88</v>
      </c>
      <c r="C669">
        <v>14</v>
      </c>
      <c r="D669">
        <v>150</v>
      </c>
      <c r="E669">
        <v>166</v>
      </c>
      <c r="F669" s="12"/>
    </row>
    <row r="670" spans="1:6" x14ac:dyDescent="0.45">
      <c r="A670" t="s">
        <v>1076</v>
      </c>
      <c r="B670" t="s">
        <v>88</v>
      </c>
      <c r="C670">
        <v>14</v>
      </c>
      <c r="D670">
        <v>150</v>
      </c>
      <c r="E670">
        <v>182</v>
      </c>
      <c r="F670" s="12"/>
    </row>
    <row r="671" spans="1:6" x14ac:dyDescent="0.45">
      <c r="A671" t="s">
        <v>1077</v>
      </c>
      <c r="B671" t="s">
        <v>88</v>
      </c>
      <c r="C671">
        <v>14</v>
      </c>
      <c r="D671">
        <v>150</v>
      </c>
      <c r="E671">
        <v>199</v>
      </c>
      <c r="F671" s="12"/>
    </row>
    <row r="672" spans="1:6" x14ac:dyDescent="0.45">
      <c r="A672" t="s">
        <v>1078</v>
      </c>
      <c r="B672" t="s">
        <v>88</v>
      </c>
      <c r="C672">
        <v>15</v>
      </c>
      <c r="D672">
        <v>150</v>
      </c>
      <c r="E672">
        <v>24</v>
      </c>
      <c r="F672" s="12"/>
    </row>
    <row r="673" spans="1:6" x14ac:dyDescent="0.45">
      <c r="A673" t="s">
        <v>1079</v>
      </c>
      <c r="B673" t="s">
        <v>88</v>
      </c>
      <c r="C673">
        <v>15</v>
      </c>
      <c r="D673">
        <v>150</v>
      </c>
      <c r="E673">
        <v>32</v>
      </c>
      <c r="F673" s="12"/>
    </row>
    <row r="674" spans="1:6" x14ac:dyDescent="0.45">
      <c r="A674" t="s">
        <v>1080</v>
      </c>
      <c r="B674" t="s">
        <v>88</v>
      </c>
      <c r="C674">
        <v>15</v>
      </c>
      <c r="D674">
        <v>150</v>
      </c>
      <c r="E674">
        <v>49</v>
      </c>
      <c r="F674" s="12"/>
    </row>
    <row r="675" spans="1:6" x14ac:dyDescent="0.45">
      <c r="A675" t="s">
        <v>1081</v>
      </c>
      <c r="B675" t="s">
        <v>88</v>
      </c>
      <c r="C675">
        <v>15</v>
      </c>
      <c r="D675">
        <v>150</v>
      </c>
      <c r="E675">
        <v>66</v>
      </c>
      <c r="F675" s="12"/>
    </row>
    <row r="676" spans="1:6" x14ac:dyDescent="0.45">
      <c r="A676" t="s">
        <v>1082</v>
      </c>
      <c r="B676" t="s">
        <v>88</v>
      </c>
      <c r="C676">
        <v>15</v>
      </c>
      <c r="D676">
        <v>150</v>
      </c>
      <c r="E676">
        <v>82</v>
      </c>
      <c r="F676" s="12"/>
    </row>
    <row r="677" spans="1:6" x14ac:dyDescent="0.45">
      <c r="A677" t="s">
        <v>1083</v>
      </c>
      <c r="B677" t="s">
        <v>88</v>
      </c>
      <c r="C677">
        <v>15</v>
      </c>
      <c r="D677">
        <v>150</v>
      </c>
      <c r="E677">
        <v>99</v>
      </c>
      <c r="F677" s="12"/>
    </row>
    <row r="678" spans="1:6" x14ac:dyDescent="0.45">
      <c r="A678" t="s">
        <v>1084</v>
      </c>
      <c r="B678" t="s">
        <v>88</v>
      </c>
      <c r="C678">
        <v>15</v>
      </c>
      <c r="D678">
        <v>150</v>
      </c>
      <c r="E678">
        <v>116</v>
      </c>
      <c r="F678" s="12"/>
    </row>
    <row r="679" spans="1:6" x14ac:dyDescent="0.45">
      <c r="A679" t="s">
        <v>1085</v>
      </c>
      <c r="B679" t="s">
        <v>88</v>
      </c>
      <c r="C679">
        <v>15</v>
      </c>
      <c r="D679">
        <v>150</v>
      </c>
      <c r="E679">
        <v>132</v>
      </c>
      <c r="F679" s="12"/>
    </row>
    <row r="680" spans="1:6" x14ac:dyDescent="0.45">
      <c r="A680" t="s">
        <v>1086</v>
      </c>
      <c r="B680" t="s">
        <v>88</v>
      </c>
      <c r="C680">
        <v>15</v>
      </c>
      <c r="D680">
        <v>150</v>
      </c>
      <c r="E680">
        <v>149</v>
      </c>
      <c r="F680" s="12"/>
    </row>
    <row r="681" spans="1:6" x14ac:dyDescent="0.45">
      <c r="A681" t="s">
        <v>1087</v>
      </c>
      <c r="B681" t="s">
        <v>88</v>
      </c>
      <c r="C681">
        <v>15</v>
      </c>
      <c r="D681">
        <v>150</v>
      </c>
      <c r="E681">
        <v>166</v>
      </c>
      <c r="F681" s="12"/>
    </row>
    <row r="682" spans="1:6" x14ac:dyDescent="0.45">
      <c r="A682" t="s">
        <v>1088</v>
      </c>
      <c r="B682" t="s">
        <v>88</v>
      </c>
      <c r="C682">
        <v>15</v>
      </c>
      <c r="D682">
        <v>150</v>
      </c>
      <c r="E682">
        <v>182</v>
      </c>
      <c r="F682" s="12"/>
    </row>
    <row r="683" spans="1:6" x14ac:dyDescent="0.45">
      <c r="A683" t="s">
        <v>1089</v>
      </c>
      <c r="B683" t="s">
        <v>88</v>
      </c>
      <c r="C683">
        <v>15</v>
      </c>
      <c r="D683">
        <v>150</v>
      </c>
      <c r="E683">
        <v>199</v>
      </c>
      <c r="F683" s="12"/>
    </row>
    <row r="684" spans="1:6" x14ac:dyDescent="0.45">
      <c r="A684" t="s">
        <v>1090</v>
      </c>
      <c r="B684" t="s">
        <v>88</v>
      </c>
      <c r="C684">
        <v>16</v>
      </c>
      <c r="D684">
        <v>150</v>
      </c>
      <c r="E684">
        <v>24</v>
      </c>
      <c r="F684" s="12"/>
    </row>
    <row r="685" spans="1:6" x14ac:dyDescent="0.45">
      <c r="A685" t="s">
        <v>1091</v>
      </c>
      <c r="B685" t="s">
        <v>88</v>
      </c>
      <c r="C685">
        <v>16</v>
      </c>
      <c r="D685">
        <v>150</v>
      </c>
      <c r="E685">
        <v>32</v>
      </c>
      <c r="F685" s="12"/>
    </row>
    <row r="686" spans="1:6" x14ac:dyDescent="0.45">
      <c r="A686" t="s">
        <v>1092</v>
      </c>
      <c r="B686" t="s">
        <v>88</v>
      </c>
      <c r="C686">
        <v>16</v>
      </c>
      <c r="D686">
        <v>150</v>
      </c>
      <c r="E686">
        <v>49</v>
      </c>
      <c r="F686" s="12"/>
    </row>
    <row r="687" spans="1:6" x14ac:dyDescent="0.45">
      <c r="A687" t="s">
        <v>1093</v>
      </c>
      <c r="B687" t="s">
        <v>88</v>
      </c>
      <c r="C687">
        <v>16</v>
      </c>
      <c r="D687">
        <v>150</v>
      </c>
      <c r="E687">
        <v>66</v>
      </c>
      <c r="F687" s="12"/>
    </row>
    <row r="688" spans="1:6" x14ac:dyDescent="0.45">
      <c r="A688" t="s">
        <v>1094</v>
      </c>
      <c r="B688" t="s">
        <v>88</v>
      </c>
      <c r="C688">
        <v>16</v>
      </c>
      <c r="D688">
        <v>150</v>
      </c>
      <c r="E688">
        <v>82</v>
      </c>
      <c r="F688" s="12"/>
    </row>
    <row r="689" spans="1:6" x14ac:dyDescent="0.45">
      <c r="A689" t="s">
        <v>1095</v>
      </c>
      <c r="B689" t="s">
        <v>88</v>
      </c>
      <c r="C689">
        <v>16</v>
      </c>
      <c r="D689">
        <v>150</v>
      </c>
      <c r="E689">
        <v>99</v>
      </c>
      <c r="F689" s="12"/>
    </row>
    <row r="690" spans="1:6" x14ac:dyDescent="0.45">
      <c r="A690" t="s">
        <v>1096</v>
      </c>
      <c r="B690" t="s">
        <v>88</v>
      </c>
      <c r="C690">
        <v>16</v>
      </c>
      <c r="D690">
        <v>150</v>
      </c>
      <c r="E690">
        <v>116</v>
      </c>
      <c r="F690" s="12"/>
    </row>
    <row r="691" spans="1:6" x14ac:dyDescent="0.45">
      <c r="A691" t="s">
        <v>1097</v>
      </c>
      <c r="B691" t="s">
        <v>88</v>
      </c>
      <c r="C691">
        <v>16</v>
      </c>
      <c r="D691">
        <v>150</v>
      </c>
      <c r="E691">
        <v>132</v>
      </c>
      <c r="F691" s="12"/>
    </row>
    <row r="692" spans="1:6" x14ac:dyDescent="0.45">
      <c r="A692" t="s">
        <v>1098</v>
      </c>
      <c r="B692" t="s">
        <v>88</v>
      </c>
      <c r="C692">
        <v>16</v>
      </c>
      <c r="D692">
        <v>150</v>
      </c>
      <c r="E692">
        <v>149</v>
      </c>
      <c r="F692" s="12"/>
    </row>
    <row r="693" spans="1:6" x14ac:dyDescent="0.45">
      <c r="A693" t="s">
        <v>1099</v>
      </c>
      <c r="B693" t="s">
        <v>88</v>
      </c>
      <c r="C693">
        <v>16</v>
      </c>
      <c r="D693">
        <v>150</v>
      </c>
      <c r="E693">
        <v>166</v>
      </c>
      <c r="F693" s="12"/>
    </row>
    <row r="694" spans="1:6" x14ac:dyDescent="0.45">
      <c r="A694" t="s">
        <v>1100</v>
      </c>
      <c r="B694" t="s">
        <v>88</v>
      </c>
      <c r="C694">
        <v>16</v>
      </c>
      <c r="D694">
        <v>150</v>
      </c>
      <c r="E694">
        <v>182</v>
      </c>
      <c r="F694" s="12"/>
    </row>
    <row r="695" spans="1:6" x14ac:dyDescent="0.45">
      <c r="A695" t="s">
        <v>1101</v>
      </c>
      <c r="B695" t="s">
        <v>88</v>
      </c>
      <c r="C695">
        <v>16</v>
      </c>
      <c r="D695">
        <v>150</v>
      </c>
      <c r="E695">
        <v>199</v>
      </c>
      <c r="F695" s="12"/>
    </row>
    <row r="696" spans="1:6" x14ac:dyDescent="0.45">
      <c r="A696" t="s">
        <v>1102</v>
      </c>
      <c r="B696" t="s">
        <v>88</v>
      </c>
      <c r="C696">
        <v>17</v>
      </c>
      <c r="D696">
        <v>150</v>
      </c>
      <c r="E696">
        <v>24</v>
      </c>
      <c r="F696" s="12"/>
    </row>
    <row r="697" spans="1:6" x14ac:dyDescent="0.45">
      <c r="A697" t="s">
        <v>1103</v>
      </c>
      <c r="B697" t="s">
        <v>88</v>
      </c>
      <c r="C697">
        <v>17</v>
      </c>
      <c r="D697">
        <v>150</v>
      </c>
      <c r="E697">
        <v>32</v>
      </c>
      <c r="F697" s="12"/>
    </row>
    <row r="698" spans="1:6" x14ac:dyDescent="0.45">
      <c r="A698" t="s">
        <v>1104</v>
      </c>
      <c r="B698" t="s">
        <v>88</v>
      </c>
      <c r="C698">
        <v>17</v>
      </c>
      <c r="D698">
        <v>150</v>
      </c>
      <c r="E698">
        <v>49</v>
      </c>
      <c r="F698" s="12"/>
    </row>
    <row r="699" spans="1:6" x14ac:dyDescent="0.45">
      <c r="A699" t="s">
        <v>1105</v>
      </c>
      <c r="B699" t="s">
        <v>88</v>
      </c>
      <c r="C699">
        <v>17</v>
      </c>
      <c r="D699">
        <v>150</v>
      </c>
      <c r="E699">
        <v>66</v>
      </c>
      <c r="F699" s="12"/>
    </row>
    <row r="700" spans="1:6" x14ac:dyDescent="0.45">
      <c r="A700" t="s">
        <v>1106</v>
      </c>
      <c r="B700" t="s">
        <v>88</v>
      </c>
      <c r="C700">
        <v>17</v>
      </c>
      <c r="D700">
        <v>150</v>
      </c>
      <c r="E700">
        <v>82</v>
      </c>
      <c r="F700" s="12"/>
    </row>
    <row r="701" spans="1:6" x14ac:dyDescent="0.45">
      <c r="A701" t="s">
        <v>1107</v>
      </c>
      <c r="B701" t="s">
        <v>88</v>
      </c>
      <c r="C701">
        <v>17</v>
      </c>
      <c r="D701">
        <v>150</v>
      </c>
      <c r="E701">
        <v>99</v>
      </c>
      <c r="F701" s="12"/>
    </row>
    <row r="702" spans="1:6" x14ac:dyDescent="0.45">
      <c r="A702" t="s">
        <v>1108</v>
      </c>
      <c r="B702" t="s">
        <v>88</v>
      </c>
      <c r="C702">
        <v>17</v>
      </c>
      <c r="D702">
        <v>150</v>
      </c>
      <c r="E702">
        <v>116</v>
      </c>
      <c r="F702" s="12"/>
    </row>
    <row r="703" spans="1:6" x14ac:dyDescent="0.45">
      <c r="A703" t="s">
        <v>1109</v>
      </c>
      <c r="B703" t="s">
        <v>88</v>
      </c>
      <c r="C703">
        <v>17</v>
      </c>
      <c r="D703">
        <v>150</v>
      </c>
      <c r="E703">
        <v>132</v>
      </c>
      <c r="F703" s="12"/>
    </row>
    <row r="704" spans="1:6" x14ac:dyDescent="0.45">
      <c r="A704" t="s">
        <v>1110</v>
      </c>
      <c r="B704" t="s">
        <v>88</v>
      </c>
      <c r="C704">
        <v>17</v>
      </c>
      <c r="D704">
        <v>150</v>
      </c>
      <c r="E704">
        <v>149</v>
      </c>
      <c r="F704" s="12"/>
    </row>
    <row r="705" spans="1:6" x14ac:dyDescent="0.45">
      <c r="A705" t="s">
        <v>1111</v>
      </c>
      <c r="B705" t="s">
        <v>88</v>
      </c>
      <c r="C705">
        <v>17</v>
      </c>
      <c r="D705">
        <v>150</v>
      </c>
      <c r="E705">
        <v>166</v>
      </c>
      <c r="F705" s="12"/>
    </row>
    <row r="706" spans="1:6" x14ac:dyDescent="0.45">
      <c r="A706" t="s">
        <v>1112</v>
      </c>
      <c r="B706" t="s">
        <v>88</v>
      </c>
      <c r="C706">
        <v>17</v>
      </c>
      <c r="D706">
        <v>150</v>
      </c>
      <c r="E706">
        <v>182</v>
      </c>
      <c r="F706" s="12"/>
    </row>
    <row r="707" spans="1:6" x14ac:dyDescent="0.45">
      <c r="A707" t="s">
        <v>1113</v>
      </c>
      <c r="B707" t="s">
        <v>88</v>
      </c>
      <c r="C707">
        <v>17</v>
      </c>
      <c r="D707">
        <v>150</v>
      </c>
      <c r="E707">
        <v>199</v>
      </c>
      <c r="F707" s="12"/>
    </row>
    <row r="708" spans="1:6" x14ac:dyDescent="0.45">
      <c r="A708" t="s">
        <v>1114</v>
      </c>
      <c r="B708" t="s">
        <v>88</v>
      </c>
      <c r="C708">
        <v>18</v>
      </c>
      <c r="D708">
        <v>150</v>
      </c>
      <c r="E708">
        <v>24</v>
      </c>
      <c r="F708" s="12"/>
    </row>
    <row r="709" spans="1:6" x14ac:dyDescent="0.45">
      <c r="A709" t="s">
        <v>1115</v>
      </c>
      <c r="B709" t="s">
        <v>88</v>
      </c>
      <c r="C709">
        <v>18</v>
      </c>
      <c r="D709">
        <v>150</v>
      </c>
      <c r="E709">
        <v>32</v>
      </c>
      <c r="F709" s="12"/>
    </row>
    <row r="710" spans="1:6" x14ac:dyDescent="0.45">
      <c r="A710" t="s">
        <v>1116</v>
      </c>
      <c r="B710" t="s">
        <v>88</v>
      </c>
      <c r="C710">
        <v>18</v>
      </c>
      <c r="D710">
        <v>150</v>
      </c>
      <c r="E710">
        <v>49</v>
      </c>
      <c r="F710" s="12"/>
    </row>
    <row r="711" spans="1:6" x14ac:dyDescent="0.45">
      <c r="A711" t="s">
        <v>1117</v>
      </c>
      <c r="B711" t="s">
        <v>88</v>
      </c>
      <c r="C711">
        <v>18</v>
      </c>
      <c r="D711">
        <v>150</v>
      </c>
      <c r="E711">
        <v>66</v>
      </c>
      <c r="F711" s="12"/>
    </row>
    <row r="712" spans="1:6" x14ac:dyDescent="0.45">
      <c r="A712" t="s">
        <v>1118</v>
      </c>
      <c r="B712" t="s">
        <v>88</v>
      </c>
      <c r="C712">
        <v>18</v>
      </c>
      <c r="D712">
        <v>150</v>
      </c>
      <c r="E712">
        <v>82</v>
      </c>
      <c r="F712" s="12"/>
    </row>
    <row r="713" spans="1:6" x14ac:dyDescent="0.45">
      <c r="A713" t="s">
        <v>1119</v>
      </c>
      <c r="B713" t="s">
        <v>88</v>
      </c>
      <c r="C713">
        <v>18</v>
      </c>
      <c r="D713">
        <v>150</v>
      </c>
      <c r="E713">
        <v>99</v>
      </c>
      <c r="F713" s="12"/>
    </row>
    <row r="714" spans="1:6" x14ac:dyDescent="0.45">
      <c r="A714" t="s">
        <v>1120</v>
      </c>
      <c r="B714" t="s">
        <v>88</v>
      </c>
      <c r="C714">
        <v>18</v>
      </c>
      <c r="D714">
        <v>150</v>
      </c>
      <c r="E714">
        <v>116</v>
      </c>
      <c r="F714" s="12"/>
    </row>
    <row r="715" spans="1:6" x14ac:dyDescent="0.45">
      <c r="A715" t="s">
        <v>1121</v>
      </c>
      <c r="B715" t="s">
        <v>88</v>
      </c>
      <c r="C715">
        <v>18</v>
      </c>
      <c r="D715">
        <v>150</v>
      </c>
      <c r="E715">
        <v>132</v>
      </c>
      <c r="F715" s="12"/>
    </row>
    <row r="716" spans="1:6" x14ac:dyDescent="0.45">
      <c r="A716" t="s">
        <v>1122</v>
      </c>
      <c r="B716" t="s">
        <v>88</v>
      </c>
      <c r="C716">
        <v>18</v>
      </c>
      <c r="D716">
        <v>150</v>
      </c>
      <c r="E716">
        <v>149</v>
      </c>
      <c r="F716" s="12"/>
    </row>
    <row r="717" spans="1:6" x14ac:dyDescent="0.45">
      <c r="A717" t="s">
        <v>1123</v>
      </c>
      <c r="B717" t="s">
        <v>88</v>
      </c>
      <c r="C717">
        <v>18</v>
      </c>
      <c r="D717">
        <v>150</v>
      </c>
      <c r="E717">
        <v>166</v>
      </c>
      <c r="F717" s="12"/>
    </row>
    <row r="718" spans="1:6" x14ac:dyDescent="0.45">
      <c r="A718" t="s">
        <v>1124</v>
      </c>
      <c r="B718" t="s">
        <v>88</v>
      </c>
      <c r="C718">
        <v>18</v>
      </c>
      <c r="D718">
        <v>150</v>
      </c>
      <c r="E718">
        <v>182</v>
      </c>
      <c r="F718" s="12"/>
    </row>
    <row r="719" spans="1:6" x14ac:dyDescent="0.45">
      <c r="A719" t="s">
        <v>1125</v>
      </c>
      <c r="B719" t="s">
        <v>88</v>
      </c>
      <c r="C719">
        <v>18</v>
      </c>
      <c r="D719">
        <v>150</v>
      </c>
      <c r="E719">
        <v>199</v>
      </c>
      <c r="F719" s="12"/>
    </row>
    <row r="720" spans="1:6" x14ac:dyDescent="0.45">
      <c r="A720" t="s">
        <v>1126</v>
      </c>
      <c r="B720" t="s">
        <v>88</v>
      </c>
      <c r="C720">
        <v>19</v>
      </c>
      <c r="D720">
        <v>150</v>
      </c>
      <c r="E720">
        <v>24</v>
      </c>
      <c r="F720" s="12"/>
    </row>
    <row r="721" spans="1:6" x14ac:dyDescent="0.45">
      <c r="A721" t="s">
        <v>1127</v>
      </c>
      <c r="B721" t="s">
        <v>88</v>
      </c>
      <c r="C721">
        <v>19</v>
      </c>
      <c r="D721">
        <v>150</v>
      </c>
      <c r="E721">
        <v>32</v>
      </c>
      <c r="F721" s="12"/>
    </row>
    <row r="722" spans="1:6" x14ac:dyDescent="0.45">
      <c r="A722" t="s">
        <v>1128</v>
      </c>
      <c r="B722" t="s">
        <v>88</v>
      </c>
      <c r="C722">
        <v>19</v>
      </c>
      <c r="D722">
        <v>150</v>
      </c>
      <c r="E722">
        <v>49</v>
      </c>
      <c r="F722" s="12"/>
    </row>
    <row r="723" spans="1:6" x14ac:dyDescent="0.45">
      <c r="A723" t="s">
        <v>1129</v>
      </c>
      <c r="B723" t="s">
        <v>88</v>
      </c>
      <c r="C723">
        <v>19</v>
      </c>
      <c r="D723">
        <v>150</v>
      </c>
      <c r="E723">
        <v>66</v>
      </c>
      <c r="F723" s="12"/>
    </row>
    <row r="724" spans="1:6" x14ac:dyDescent="0.45">
      <c r="A724" t="s">
        <v>1130</v>
      </c>
      <c r="B724" t="s">
        <v>88</v>
      </c>
      <c r="C724">
        <v>19</v>
      </c>
      <c r="D724">
        <v>150</v>
      </c>
      <c r="E724">
        <v>82</v>
      </c>
      <c r="F724" s="12"/>
    </row>
    <row r="725" spans="1:6" x14ac:dyDescent="0.45">
      <c r="A725" t="s">
        <v>1131</v>
      </c>
      <c r="B725" t="s">
        <v>88</v>
      </c>
      <c r="C725">
        <v>19</v>
      </c>
      <c r="D725">
        <v>150</v>
      </c>
      <c r="E725">
        <v>99</v>
      </c>
      <c r="F725" s="12"/>
    </row>
    <row r="726" spans="1:6" x14ac:dyDescent="0.45">
      <c r="A726" t="s">
        <v>1132</v>
      </c>
      <c r="B726" t="s">
        <v>88</v>
      </c>
      <c r="C726">
        <v>19</v>
      </c>
      <c r="D726">
        <v>150</v>
      </c>
      <c r="E726">
        <v>116</v>
      </c>
      <c r="F726" s="12"/>
    </row>
    <row r="727" spans="1:6" x14ac:dyDescent="0.45">
      <c r="A727" t="s">
        <v>1133</v>
      </c>
      <c r="B727" t="s">
        <v>88</v>
      </c>
      <c r="C727">
        <v>19</v>
      </c>
      <c r="D727">
        <v>150</v>
      </c>
      <c r="E727">
        <v>132</v>
      </c>
      <c r="F727" s="12"/>
    </row>
    <row r="728" spans="1:6" x14ac:dyDescent="0.45">
      <c r="A728" t="s">
        <v>1134</v>
      </c>
      <c r="B728" t="s">
        <v>88</v>
      </c>
      <c r="C728">
        <v>19</v>
      </c>
      <c r="D728">
        <v>150</v>
      </c>
      <c r="E728">
        <v>149</v>
      </c>
      <c r="F728" s="12"/>
    </row>
    <row r="729" spans="1:6" x14ac:dyDescent="0.45">
      <c r="A729" t="s">
        <v>1135</v>
      </c>
      <c r="B729" t="s">
        <v>88</v>
      </c>
      <c r="C729">
        <v>19</v>
      </c>
      <c r="D729">
        <v>150</v>
      </c>
      <c r="E729">
        <v>166</v>
      </c>
      <c r="F729" s="12"/>
    </row>
    <row r="730" spans="1:6" x14ac:dyDescent="0.45">
      <c r="A730" t="s">
        <v>1136</v>
      </c>
      <c r="B730" t="s">
        <v>88</v>
      </c>
      <c r="C730">
        <v>19</v>
      </c>
      <c r="D730">
        <v>150</v>
      </c>
      <c r="E730">
        <v>182</v>
      </c>
      <c r="F730" s="12"/>
    </row>
    <row r="731" spans="1:6" x14ac:dyDescent="0.45">
      <c r="A731" t="s">
        <v>1137</v>
      </c>
      <c r="B731" t="s">
        <v>88</v>
      </c>
      <c r="C731">
        <v>19</v>
      </c>
      <c r="D731">
        <v>150</v>
      </c>
      <c r="E731">
        <v>199</v>
      </c>
      <c r="F731" s="12"/>
    </row>
    <row r="732" spans="1:6" x14ac:dyDescent="0.45">
      <c r="A732" t="s">
        <v>1138</v>
      </c>
      <c r="B732" t="s">
        <v>88</v>
      </c>
      <c r="C732">
        <v>20</v>
      </c>
      <c r="D732">
        <v>150</v>
      </c>
      <c r="E732">
        <v>7</v>
      </c>
      <c r="F732" s="12"/>
    </row>
    <row r="733" spans="1:6" x14ac:dyDescent="0.45">
      <c r="A733" t="s">
        <v>1139</v>
      </c>
      <c r="B733" t="s">
        <v>88</v>
      </c>
      <c r="C733">
        <v>20</v>
      </c>
      <c r="D733">
        <v>150</v>
      </c>
      <c r="E733">
        <v>24</v>
      </c>
      <c r="F733" s="12"/>
    </row>
    <row r="734" spans="1:6" x14ac:dyDescent="0.45">
      <c r="A734" t="s">
        <v>1140</v>
      </c>
      <c r="B734" t="s">
        <v>88</v>
      </c>
      <c r="C734">
        <v>20</v>
      </c>
      <c r="D734">
        <v>150</v>
      </c>
      <c r="E734">
        <v>32</v>
      </c>
      <c r="F734" s="12"/>
    </row>
    <row r="735" spans="1:6" x14ac:dyDescent="0.45">
      <c r="A735" t="s">
        <v>1141</v>
      </c>
      <c r="B735" t="s">
        <v>88</v>
      </c>
      <c r="C735">
        <v>20</v>
      </c>
      <c r="D735">
        <v>150</v>
      </c>
      <c r="E735">
        <v>49</v>
      </c>
      <c r="F735" s="12"/>
    </row>
    <row r="736" spans="1:6" x14ac:dyDescent="0.45">
      <c r="A736" t="s">
        <v>1142</v>
      </c>
      <c r="B736" t="s">
        <v>88</v>
      </c>
      <c r="C736">
        <v>20</v>
      </c>
      <c r="D736">
        <v>150</v>
      </c>
      <c r="E736">
        <v>66</v>
      </c>
      <c r="F736" s="12"/>
    </row>
    <row r="737" spans="1:6" x14ac:dyDescent="0.45">
      <c r="A737" t="s">
        <v>1143</v>
      </c>
      <c r="B737" t="s">
        <v>88</v>
      </c>
      <c r="C737">
        <v>20</v>
      </c>
      <c r="D737">
        <v>150</v>
      </c>
      <c r="E737">
        <v>82</v>
      </c>
      <c r="F737" s="12"/>
    </row>
    <row r="738" spans="1:6" x14ac:dyDescent="0.45">
      <c r="A738" t="s">
        <v>1144</v>
      </c>
      <c r="B738" t="s">
        <v>88</v>
      </c>
      <c r="C738">
        <v>20</v>
      </c>
      <c r="D738">
        <v>150</v>
      </c>
      <c r="E738">
        <v>99</v>
      </c>
      <c r="F738" s="12"/>
    </row>
    <row r="739" spans="1:6" x14ac:dyDescent="0.45">
      <c r="A739" t="s">
        <v>1145</v>
      </c>
      <c r="B739" t="s">
        <v>88</v>
      </c>
      <c r="C739">
        <v>20</v>
      </c>
      <c r="D739">
        <v>150</v>
      </c>
      <c r="E739">
        <v>116</v>
      </c>
      <c r="F739" s="12"/>
    </row>
    <row r="740" spans="1:6" x14ac:dyDescent="0.45">
      <c r="A740" t="s">
        <v>1146</v>
      </c>
      <c r="B740" t="s">
        <v>88</v>
      </c>
      <c r="C740">
        <v>20</v>
      </c>
      <c r="D740">
        <v>150</v>
      </c>
      <c r="E740">
        <v>132</v>
      </c>
      <c r="F740" s="12"/>
    </row>
    <row r="741" spans="1:6" x14ac:dyDescent="0.45">
      <c r="A741" t="s">
        <v>1147</v>
      </c>
      <c r="B741" t="s">
        <v>88</v>
      </c>
      <c r="C741">
        <v>20</v>
      </c>
      <c r="D741">
        <v>150</v>
      </c>
      <c r="E741">
        <v>149</v>
      </c>
      <c r="F741" s="12"/>
    </row>
    <row r="742" spans="1:6" x14ac:dyDescent="0.45">
      <c r="A742" t="s">
        <v>1148</v>
      </c>
      <c r="B742" t="s">
        <v>88</v>
      </c>
      <c r="C742">
        <v>20</v>
      </c>
      <c r="D742">
        <v>150</v>
      </c>
      <c r="E742">
        <v>166</v>
      </c>
      <c r="F742" s="12"/>
    </row>
    <row r="743" spans="1:6" x14ac:dyDescent="0.45">
      <c r="A743" t="s">
        <v>1149</v>
      </c>
      <c r="B743" t="s">
        <v>88</v>
      </c>
      <c r="C743">
        <v>20</v>
      </c>
      <c r="D743">
        <v>150</v>
      </c>
      <c r="E743">
        <v>182</v>
      </c>
      <c r="F743" s="12"/>
    </row>
    <row r="744" spans="1:6" x14ac:dyDescent="0.45">
      <c r="A744" t="s">
        <v>1150</v>
      </c>
      <c r="B744" t="s">
        <v>88</v>
      </c>
      <c r="C744">
        <v>20</v>
      </c>
      <c r="D744">
        <v>150</v>
      </c>
      <c r="E744">
        <v>199</v>
      </c>
      <c r="F744" s="12"/>
    </row>
    <row r="745" spans="1:6" x14ac:dyDescent="0.45">
      <c r="A745" t="s">
        <v>1151</v>
      </c>
      <c r="B745" t="s">
        <v>88</v>
      </c>
      <c r="C745">
        <v>21</v>
      </c>
      <c r="D745">
        <v>150</v>
      </c>
      <c r="E745">
        <v>7</v>
      </c>
      <c r="F745" s="12"/>
    </row>
    <row r="746" spans="1:6" x14ac:dyDescent="0.45">
      <c r="A746" t="s">
        <v>1152</v>
      </c>
      <c r="B746" t="s">
        <v>88</v>
      </c>
      <c r="C746">
        <v>21</v>
      </c>
      <c r="D746">
        <v>150</v>
      </c>
      <c r="E746">
        <v>24</v>
      </c>
      <c r="F746" s="12"/>
    </row>
    <row r="747" spans="1:6" x14ac:dyDescent="0.45">
      <c r="A747" t="s">
        <v>1153</v>
      </c>
      <c r="B747" t="s">
        <v>88</v>
      </c>
      <c r="C747">
        <v>21</v>
      </c>
      <c r="D747">
        <v>150</v>
      </c>
      <c r="E747">
        <v>32</v>
      </c>
      <c r="F747" s="12"/>
    </row>
    <row r="748" spans="1:6" x14ac:dyDescent="0.45">
      <c r="A748" t="s">
        <v>1154</v>
      </c>
      <c r="B748" t="s">
        <v>88</v>
      </c>
      <c r="C748">
        <v>21</v>
      </c>
      <c r="D748">
        <v>150</v>
      </c>
      <c r="E748">
        <v>49</v>
      </c>
      <c r="F748" s="12"/>
    </row>
    <row r="749" spans="1:6" x14ac:dyDescent="0.45">
      <c r="A749" t="s">
        <v>1155</v>
      </c>
      <c r="B749" t="s">
        <v>88</v>
      </c>
      <c r="C749">
        <v>21</v>
      </c>
      <c r="D749">
        <v>150</v>
      </c>
      <c r="E749">
        <v>66</v>
      </c>
      <c r="F749" s="12"/>
    </row>
    <row r="750" spans="1:6" x14ac:dyDescent="0.45">
      <c r="A750" t="s">
        <v>1156</v>
      </c>
      <c r="B750" t="s">
        <v>88</v>
      </c>
      <c r="C750">
        <v>21</v>
      </c>
      <c r="D750">
        <v>150</v>
      </c>
      <c r="E750">
        <v>82</v>
      </c>
      <c r="F750" s="12"/>
    </row>
    <row r="751" spans="1:6" x14ac:dyDescent="0.45">
      <c r="A751" t="s">
        <v>1157</v>
      </c>
      <c r="B751" t="s">
        <v>88</v>
      </c>
      <c r="C751">
        <v>21</v>
      </c>
      <c r="D751">
        <v>150</v>
      </c>
      <c r="E751">
        <v>99</v>
      </c>
      <c r="F751" s="12"/>
    </row>
    <row r="752" spans="1:6" x14ac:dyDescent="0.45">
      <c r="A752" t="s">
        <v>1158</v>
      </c>
      <c r="B752" t="s">
        <v>88</v>
      </c>
      <c r="C752">
        <v>21</v>
      </c>
      <c r="D752">
        <v>150</v>
      </c>
      <c r="E752">
        <v>116</v>
      </c>
      <c r="F752" s="12"/>
    </row>
    <row r="753" spans="1:6" x14ac:dyDescent="0.45">
      <c r="A753" t="s">
        <v>1159</v>
      </c>
      <c r="B753" t="s">
        <v>88</v>
      </c>
      <c r="C753">
        <v>21</v>
      </c>
      <c r="D753">
        <v>150</v>
      </c>
      <c r="E753">
        <v>132</v>
      </c>
      <c r="F753" s="12"/>
    </row>
    <row r="754" spans="1:6" x14ac:dyDescent="0.45">
      <c r="A754" t="s">
        <v>1160</v>
      </c>
      <c r="B754" t="s">
        <v>88</v>
      </c>
      <c r="C754">
        <v>21</v>
      </c>
      <c r="D754">
        <v>150</v>
      </c>
      <c r="E754">
        <v>149</v>
      </c>
      <c r="F754" s="12"/>
    </row>
    <row r="755" spans="1:6" x14ac:dyDescent="0.45">
      <c r="A755" t="s">
        <v>1161</v>
      </c>
      <c r="B755" t="s">
        <v>88</v>
      </c>
      <c r="C755">
        <v>21</v>
      </c>
      <c r="D755">
        <v>150</v>
      </c>
      <c r="E755">
        <v>166</v>
      </c>
      <c r="F755" s="12"/>
    </row>
    <row r="756" spans="1:6" x14ac:dyDescent="0.45">
      <c r="A756" t="s">
        <v>1162</v>
      </c>
      <c r="B756" t="s">
        <v>88</v>
      </c>
      <c r="C756">
        <v>21</v>
      </c>
      <c r="D756">
        <v>150</v>
      </c>
      <c r="E756">
        <v>182</v>
      </c>
      <c r="F756" s="12"/>
    </row>
    <row r="757" spans="1:6" x14ac:dyDescent="0.45">
      <c r="A757" t="s">
        <v>1163</v>
      </c>
      <c r="B757" t="s">
        <v>88</v>
      </c>
      <c r="C757">
        <v>21</v>
      </c>
      <c r="D757">
        <v>150</v>
      </c>
      <c r="E757">
        <v>199</v>
      </c>
      <c r="F757" s="12"/>
    </row>
    <row r="758" spans="1:6" x14ac:dyDescent="0.45">
      <c r="A758" t="s">
        <v>1164</v>
      </c>
      <c r="B758" t="s">
        <v>88</v>
      </c>
      <c r="C758">
        <v>22</v>
      </c>
      <c r="D758">
        <v>150</v>
      </c>
      <c r="E758">
        <v>7</v>
      </c>
      <c r="F758" s="12"/>
    </row>
    <row r="759" spans="1:6" x14ac:dyDescent="0.45">
      <c r="A759" t="s">
        <v>1165</v>
      </c>
      <c r="B759" t="s">
        <v>88</v>
      </c>
      <c r="C759">
        <v>22</v>
      </c>
      <c r="D759">
        <v>150</v>
      </c>
      <c r="E759">
        <v>24</v>
      </c>
      <c r="F759" s="12"/>
    </row>
    <row r="760" spans="1:6" x14ac:dyDescent="0.45">
      <c r="A760" t="s">
        <v>1166</v>
      </c>
      <c r="B760" t="s">
        <v>88</v>
      </c>
      <c r="C760">
        <v>22</v>
      </c>
      <c r="D760">
        <v>150</v>
      </c>
      <c r="E760">
        <v>32</v>
      </c>
      <c r="F760" s="12"/>
    </row>
    <row r="761" spans="1:6" x14ac:dyDescent="0.45">
      <c r="A761" t="s">
        <v>1167</v>
      </c>
      <c r="B761" t="s">
        <v>88</v>
      </c>
      <c r="C761">
        <v>22</v>
      </c>
      <c r="D761">
        <v>150</v>
      </c>
      <c r="E761">
        <v>49</v>
      </c>
      <c r="F761" s="12"/>
    </row>
    <row r="762" spans="1:6" x14ac:dyDescent="0.45">
      <c r="A762" t="s">
        <v>1168</v>
      </c>
      <c r="B762" t="s">
        <v>88</v>
      </c>
      <c r="C762">
        <v>22</v>
      </c>
      <c r="D762">
        <v>150</v>
      </c>
      <c r="E762">
        <v>66</v>
      </c>
      <c r="F762" s="12"/>
    </row>
    <row r="763" spans="1:6" x14ac:dyDescent="0.45">
      <c r="A763" t="s">
        <v>1169</v>
      </c>
      <c r="B763" t="s">
        <v>88</v>
      </c>
      <c r="C763">
        <v>22</v>
      </c>
      <c r="D763">
        <v>150</v>
      </c>
      <c r="E763">
        <v>82</v>
      </c>
      <c r="F763" s="12"/>
    </row>
    <row r="764" spans="1:6" x14ac:dyDescent="0.45">
      <c r="A764" t="s">
        <v>1170</v>
      </c>
      <c r="B764" t="s">
        <v>88</v>
      </c>
      <c r="C764">
        <v>22</v>
      </c>
      <c r="D764">
        <v>150</v>
      </c>
      <c r="E764">
        <v>99</v>
      </c>
      <c r="F764" s="12"/>
    </row>
    <row r="765" spans="1:6" x14ac:dyDescent="0.45">
      <c r="A765" t="s">
        <v>1171</v>
      </c>
      <c r="B765" t="s">
        <v>88</v>
      </c>
      <c r="C765">
        <v>22</v>
      </c>
      <c r="D765">
        <v>150</v>
      </c>
      <c r="E765">
        <v>116</v>
      </c>
      <c r="F765" s="12"/>
    </row>
    <row r="766" spans="1:6" x14ac:dyDescent="0.45">
      <c r="A766" t="s">
        <v>1172</v>
      </c>
      <c r="B766" t="s">
        <v>88</v>
      </c>
      <c r="C766">
        <v>22</v>
      </c>
      <c r="D766">
        <v>150</v>
      </c>
      <c r="E766">
        <v>132</v>
      </c>
      <c r="F766" s="12"/>
    </row>
    <row r="767" spans="1:6" x14ac:dyDescent="0.45">
      <c r="A767" t="s">
        <v>1173</v>
      </c>
      <c r="B767" t="s">
        <v>88</v>
      </c>
      <c r="C767">
        <v>22</v>
      </c>
      <c r="D767">
        <v>150</v>
      </c>
      <c r="E767">
        <v>149</v>
      </c>
      <c r="F767" s="12"/>
    </row>
    <row r="768" spans="1:6" x14ac:dyDescent="0.45">
      <c r="A768" t="s">
        <v>1174</v>
      </c>
      <c r="B768" t="s">
        <v>88</v>
      </c>
      <c r="C768">
        <v>22</v>
      </c>
      <c r="D768">
        <v>150</v>
      </c>
      <c r="E768">
        <v>166</v>
      </c>
      <c r="F768" s="12"/>
    </row>
    <row r="769" spans="1:6" x14ac:dyDescent="0.45">
      <c r="A769" t="s">
        <v>1175</v>
      </c>
      <c r="B769" t="s">
        <v>88</v>
      </c>
      <c r="C769">
        <v>22</v>
      </c>
      <c r="D769">
        <v>150</v>
      </c>
      <c r="E769">
        <v>182</v>
      </c>
      <c r="F769" s="12"/>
    </row>
    <row r="770" spans="1:6" x14ac:dyDescent="0.45">
      <c r="A770" t="s">
        <v>1176</v>
      </c>
      <c r="B770" t="s">
        <v>88</v>
      </c>
      <c r="C770">
        <v>22</v>
      </c>
      <c r="D770">
        <v>150</v>
      </c>
      <c r="E770">
        <v>199</v>
      </c>
      <c r="F770" s="12"/>
    </row>
    <row r="771" spans="1:6" x14ac:dyDescent="0.45">
      <c r="A771" t="s">
        <v>1177</v>
      </c>
      <c r="B771" t="s">
        <v>88</v>
      </c>
      <c r="C771">
        <v>23</v>
      </c>
      <c r="D771">
        <v>150</v>
      </c>
      <c r="E771">
        <v>7</v>
      </c>
      <c r="F771" s="12"/>
    </row>
    <row r="772" spans="1:6" x14ac:dyDescent="0.45">
      <c r="A772" t="s">
        <v>1178</v>
      </c>
      <c r="B772" t="s">
        <v>88</v>
      </c>
      <c r="C772">
        <v>23</v>
      </c>
      <c r="D772">
        <v>150</v>
      </c>
      <c r="E772">
        <v>24</v>
      </c>
      <c r="F772" s="12"/>
    </row>
    <row r="773" spans="1:6" x14ac:dyDescent="0.45">
      <c r="A773" t="s">
        <v>1179</v>
      </c>
      <c r="B773" t="s">
        <v>88</v>
      </c>
      <c r="C773">
        <v>23</v>
      </c>
      <c r="D773">
        <v>150</v>
      </c>
      <c r="E773">
        <v>32</v>
      </c>
      <c r="F773" s="12"/>
    </row>
    <row r="774" spans="1:6" x14ac:dyDescent="0.45">
      <c r="A774" t="s">
        <v>1180</v>
      </c>
      <c r="B774" t="s">
        <v>88</v>
      </c>
      <c r="C774">
        <v>23</v>
      </c>
      <c r="D774">
        <v>150</v>
      </c>
      <c r="E774">
        <v>49</v>
      </c>
      <c r="F774" s="12"/>
    </row>
    <row r="775" spans="1:6" x14ac:dyDescent="0.45">
      <c r="A775" t="s">
        <v>1181</v>
      </c>
      <c r="B775" t="s">
        <v>88</v>
      </c>
      <c r="C775">
        <v>23</v>
      </c>
      <c r="D775">
        <v>150</v>
      </c>
      <c r="E775">
        <v>66</v>
      </c>
      <c r="F775" s="12"/>
    </row>
    <row r="776" spans="1:6" x14ac:dyDescent="0.45">
      <c r="A776" t="s">
        <v>1182</v>
      </c>
      <c r="B776" t="s">
        <v>88</v>
      </c>
      <c r="C776">
        <v>23</v>
      </c>
      <c r="D776">
        <v>150</v>
      </c>
      <c r="E776">
        <v>82</v>
      </c>
      <c r="F776" s="12"/>
    </row>
    <row r="777" spans="1:6" x14ac:dyDescent="0.45">
      <c r="A777" t="s">
        <v>1183</v>
      </c>
      <c r="B777" t="s">
        <v>88</v>
      </c>
      <c r="C777">
        <v>23</v>
      </c>
      <c r="D777">
        <v>150</v>
      </c>
      <c r="E777">
        <v>99</v>
      </c>
      <c r="F777" s="12"/>
    </row>
    <row r="778" spans="1:6" x14ac:dyDescent="0.45">
      <c r="A778" t="s">
        <v>1184</v>
      </c>
      <c r="B778" t="s">
        <v>88</v>
      </c>
      <c r="C778">
        <v>23</v>
      </c>
      <c r="D778">
        <v>150</v>
      </c>
      <c r="E778">
        <v>116</v>
      </c>
      <c r="F778" s="12"/>
    </row>
    <row r="779" spans="1:6" x14ac:dyDescent="0.45">
      <c r="A779" t="s">
        <v>1185</v>
      </c>
      <c r="B779" t="s">
        <v>88</v>
      </c>
      <c r="C779">
        <v>23</v>
      </c>
      <c r="D779">
        <v>150</v>
      </c>
      <c r="E779">
        <v>132</v>
      </c>
      <c r="F779" s="12"/>
    </row>
    <row r="780" spans="1:6" x14ac:dyDescent="0.45">
      <c r="A780" t="s">
        <v>1186</v>
      </c>
      <c r="B780" t="s">
        <v>88</v>
      </c>
      <c r="C780">
        <v>23</v>
      </c>
      <c r="D780">
        <v>150</v>
      </c>
      <c r="E780">
        <v>149</v>
      </c>
      <c r="F780" s="12"/>
    </row>
    <row r="781" spans="1:6" x14ac:dyDescent="0.45">
      <c r="A781" t="s">
        <v>1187</v>
      </c>
      <c r="B781" t="s">
        <v>88</v>
      </c>
      <c r="C781">
        <v>23</v>
      </c>
      <c r="D781">
        <v>150</v>
      </c>
      <c r="E781">
        <v>166</v>
      </c>
      <c r="F781" s="12"/>
    </row>
    <row r="782" spans="1:6" x14ac:dyDescent="0.45">
      <c r="A782" t="s">
        <v>1188</v>
      </c>
      <c r="B782" t="s">
        <v>88</v>
      </c>
      <c r="C782">
        <v>23</v>
      </c>
      <c r="D782">
        <v>150</v>
      </c>
      <c r="E782">
        <v>182</v>
      </c>
      <c r="F782" s="12"/>
    </row>
    <row r="783" spans="1:6" x14ac:dyDescent="0.45">
      <c r="A783" t="s">
        <v>1189</v>
      </c>
      <c r="B783" t="s">
        <v>88</v>
      </c>
      <c r="C783">
        <v>23</v>
      </c>
      <c r="D783">
        <v>150</v>
      </c>
      <c r="E783">
        <v>199</v>
      </c>
      <c r="F783" s="12"/>
    </row>
    <row r="784" spans="1:6" x14ac:dyDescent="0.45">
      <c r="A784" t="s">
        <v>1190</v>
      </c>
      <c r="B784" t="s">
        <v>88</v>
      </c>
      <c r="C784">
        <v>24</v>
      </c>
      <c r="D784">
        <v>150</v>
      </c>
      <c r="E784">
        <v>7</v>
      </c>
      <c r="F784" s="12"/>
    </row>
    <row r="785" spans="1:6" x14ac:dyDescent="0.45">
      <c r="A785" t="s">
        <v>1191</v>
      </c>
      <c r="B785" t="s">
        <v>88</v>
      </c>
      <c r="C785">
        <v>24</v>
      </c>
      <c r="D785">
        <v>150</v>
      </c>
      <c r="E785">
        <v>24</v>
      </c>
      <c r="F785" s="12"/>
    </row>
    <row r="786" spans="1:6" x14ac:dyDescent="0.45">
      <c r="A786" t="s">
        <v>1192</v>
      </c>
      <c r="B786" t="s">
        <v>88</v>
      </c>
      <c r="C786">
        <v>24</v>
      </c>
      <c r="D786">
        <v>150</v>
      </c>
      <c r="E786">
        <v>32</v>
      </c>
      <c r="F786" s="12"/>
    </row>
    <row r="787" spans="1:6" x14ac:dyDescent="0.45">
      <c r="A787" t="s">
        <v>1193</v>
      </c>
      <c r="B787" t="s">
        <v>88</v>
      </c>
      <c r="C787">
        <v>24</v>
      </c>
      <c r="D787">
        <v>150</v>
      </c>
      <c r="E787">
        <v>49</v>
      </c>
      <c r="F787" s="12"/>
    </row>
    <row r="788" spans="1:6" x14ac:dyDescent="0.45">
      <c r="A788" t="s">
        <v>1194</v>
      </c>
      <c r="B788" t="s">
        <v>88</v>
      </c>
      <c r="C788">
        <v>24</v>
      </c>
      <c r="D788">
        <v>150</v>
      </c>
      <c r="E788">
        <v>66</v>
      </c>
      <c r="F788" s="12"/>
    </row>
    <row r="789" spans="1:6" x14ac:dyDescent="0.45">
      <c r="A789" t="s">
        <v>1195</v>
      </c>
      <c r="B789" t="s">
        <v>88</v>
      </c>
      <c r="C789">
        <v>24</v>
      </c>
      <c r="D789">
        <v>150</v>
      </c>
      <c r="E789">
        <v>82</v>
      </c>
      <c r="F789" s="12"/>
    </row>
    <row r="790" spans="1:6" x14ac:dyDescent="0.45">
      <c r="A790" t="s">
        <v>1196</v>
      </c>
      <c r="B790" t="s">
        <v>88</v>
      </c>
      <c r="C790">
        <v>24</v>
      </c>
      <c r="D790">
        <v>150</v>
      </c>
      <c r="E790">
        <v>99</v>
      </c>
      <c r="F790" s="12"/>
    </row>
    <row r="791" spans="1:6" x14ac:dyDescent="0.45">
      <c r="A791" t="s">
        <v>1197</v>
      </c>
      <c r="B791" t="s">
        <v>88</v>
      </c>
      <c r="C791">
        <v>24</v>
      </c>
      <c r="D791">
        <v>150</v>
      </c>
      <c r="E791">
        <v>116</v>
      </c>
      <c r="F791" s="12"/>
    </row>
    <row r="792" spans="1:6" x14ac:dyDescent="0.45">
      <c r="A792" t="s">
        <v>1198</v>
      </c>
      <c r="B792" t="s">
        <v>88</v>
      </c>
      <c r="C792">
        <v>24</v>
      </c>
      <c r="D792">
        <v>150</v>
      </c>
      <c r="E792">
        <v>132</v>
      </c>
      <c r="F792" s="12"/>
    </row>
    <row r="793" spans="1:6" x14ac:dyDescent="0.45">
      <c r="A793" t="s">
        <v>1199</v>
      </c>
      <c r="B793" t="s">
        <v>88</v>
      </c>
      <c r="C793">
        <v>24</v>
      </c>
      <c r="D793">
        <v>150</v>
      </c>
      <c r="E793">
        <v>149</v>
      </c>
      <c r="F793" s="12"/>
    </row>
    <row r="794" spans="1:6" x14ac:dyDescent="0.45">
      <c r="A794" t="s">
        <v>1200</v>
      </c>
      <c r="B794" t="s">
        <v>88</v>
      </c>
      <c r="C794">
        <v>24</v>
      </c>
      <c r="D794">
        <v>150</v>
      </c>
      <c r="E794">
        <v>166</v>
      </c>
      <c r="F794" s="12"/>
    </row>
    <row r="795" spans="1:6" x14ac:dyDescent="0.45">
      <c r="A795" t="s">
        <v>1201</v>
      </c>
      <c r="B795" t="s">
        <v>88</v>
      </c>
      <c r="C795">
        <v>24</v>
      </c>
      <c r="D795">
        <v>150</v>
      </c>
      <c r="E795">
        <v>182</v>
      </c>
      <c r="F795" s="12"/>
    </row>
    <row r="796" spans="1:6" x14ac:dyDescent="0.45">
      <c r="A796" t="s">
        <v>1202</v>
      </c>
      <c r="B796" t="s">
        <v>88</v>
      </c>
      <c r="C796">
        <v>24</v>
      </c>
      <c r="D796">
        <v>150</v>
      </c>
      <c r="E796">
        <v>199</v>
      </c>
      <c r="F796" s="12"/>
    </row>
    <row r="797" spans="1:6" x14ac:dyDescent="0.45">
      <c r="A797" s="12" t="s">
        <v>1203</v>
      </c>
      <c r="B797" s="12" t="s">
        <v>88</v>
      </c>
      <c r="C797" s="12">
        <v>12</v>
      </c>
      <c r="D797" s="12">
        <v>100</v>
      </c>
      <c r="E797" s="12">
        <v>131</v>
      </c>
    </row>
    <row r="798" spans="1:6" x14ac:dyDescent="0.45">
      <c r="A798" s="12" t="s">
        <v>1204</v>
      </c>
      <c r="B798" s="12" t="s">
        <v>88</v>
      </c>
      <c r="C798" s="12">
        <v>12</v>
      </c>
      <c r="D798" s="12">
        <v>100</v>
      </c>
      <c r="E798" s="12">
        <v>133</v>
      </c>
    </row>
    <row r="799" spans="1:6" x14ac:dyDescent="0.45">
      <c r="A799" s="12" t="s">
        <v>1205</v>
      </c>
      <c r="B799" s="12" t="s">
        <v>88</v>
      </c>
      <c r="C799" s="12">
        <v>12</v>
      </c>
      <c r="D799" s="12">
        <v>100</v>
      </c>
      <c r="E799" s="12">
        <v>134</v>
      </c>
    </row>
    <row r="800" spans="1:6" x14ac:dyDescent="0.45">
      <c r="A800" s="12" t="s">
        <v>1206</v>
      </c>
      <c r="B800" s="12" t="s">
        <v>88</v>
      </c>
      <c r="C800" s="12">
        <v>12</v>
      </c>
      <c r="D800" s="12">
        <v>100</v>
      </c>
      <c r="E800" s="12">
        <v>130</v>
      </c>
    </row>
    <row r="801" spans="1:5" x14ac:dyDescent="0.45">
      <c r="A801" s="12" t="s">
        <v>1207</v>
      </c>
      <c r="B801" s="12" t="s">
        <v>88</v>
      </c>
      <c r="C801" s="12">
        <v>12</v>
      </c>
      <c r="D801" s="12">
        <v>101</v>
      </c>
      <c r="E801" s="12">
        <v>132</v>
      </c>
    </row>
    <row r="802" spans="1:5" x14ac:dyDescent="0.45">
      <c r="A802" s="12" t="s">
        <v>1208</v>
      </c>
      <c r="B802" s="12" t="s">
        <v>88</v>
      </c>
      <c r="C802" s="12">
        <v>12</v>
      </c>
      <c r="D802" s="12">
        <v>101</v>
      </c>
      <c r="E802" s="12">
        <v>131</v>
      </c>
    </row>
    <row r="803" spans="1:5" x14ac:dyDescent="0.45">
      <c r="A803" s="12" t="s">
        <v>1209</v>
      </c>
      <c r="B803" s="12" t="s">
        <v>88</v>
      </c>
      <c r="C803" s="12">
        <v>12</v>
      </c>
      <c r="D803" s="12">
        <v>101</v>
      </c>
      <c r="E803" s="12">
        <v>133</v>
      </c>
    </row>
    <row r="804" spans="1:5" x14ac:dyDescent="0.45">
      <c r="A804" s="12" t="s">
        <v>1210</v>
      </c>
      <c r="B804" s="12" t="s">
        <v>88</v>
      </c>
      <c r="C804" s="12">
        <v>12</v>
      </c>
      <c r="D804" s="12">
        <v>101</v>
      </c>
      <c r="E804" s="12">
        <v>134</v>
      </c>
    </row>
    <row r="805" spans="1:5" x14ac:dyDescent="0.45">
      <c r="A805" s="12" t="s">
        <v>1211</v>
      </c>
      <c r="B805" s="12" t="s">
        <v>88</v>
      </c>
      <c r="C805" s="12">
        <v>12</v>
      </c>
      <c r="D805" s="12">
        <v>101</v>
      </c>
      <c r="E805" s="12">
        <v>130</v>
      </c>
    </row>
    <row r="806" spans="1:5" x14ac:dyDescent="0.45">
      <c r="A806" s="12" t="s">
        <v>1212</v>
      </c>
      <c r="B806" s="12" t="s">
        <v>88</v>
      </c>
      <c r="C806" s="12">
        <v>12</v>
      </c>
      <c r="D806" s="12">
        <v>99</v>
      </c>
      <c r="E806" s="12">
        <v>132</v>
      </c>
    </row>
    <row r="807" spans="1:5" x14ac:dyDescent="0.45">
      <c r="A807" s="12" t="s">
        <v>1213</v>
      </c>
      <c r="B807" s="12" t="s">
        <v>88</v>
      </c>
      <c r="C807" s="12">
        <v>12</v>
      </c>
      <c r="D807" s="12">
        <v>99</v>
      </c>
      <c r="E807" s="12">
        <v>131</v>
      </c>
    </row>
    <row r="808" spans="1:5" x14ac:dyDescent="0.45">
      <c r="A808" s="12" t="s">
        <v>1214</v>
      </c>
      <c r="B808" s="12" t="s">
        <v>88</v>
      </c>
      <c r="C808" s="12">
        <v>12</v>
      </c>
      <c r="D808" s="12">
        <v>99</v>
      </c>
      <c r="E808" s="12">
        <v>133</v>
      </c>
    </row>
    <row r="809" spans="1:5" x14ac:dyDescent="0.45">
      <c r="A809" s="12" t="s">
        <v>1215</v>
      </c>
      <c r="B809" s="12" t="s">
        <v>88</v>
      </c>
      <c r="C809" s="12">
        <v>12</v>
      </c>
      <c r="D809" s="12">
        <v>99</v>
      </c>
      <c r="E809" s="12">
        <v>134</v>
      </c>
    </row>
    <row r="810" spans="1:5" x14ac:dyDescent="0.45">
      <c r="A810" s="12" t="s">
        <v>1216</v>
      </c>
      <c r="B810" s="12" t="s">
        <v>88</v>
      </c>
      <c r="C810" s="12">
        <v>12</v>
      </c>
      <c r="D810" s="12">
        <v>99</v>
      </c>
      <c r="E810" s="12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>
      <selection activeCell="F30" sqref="F30"/>
    </sheetView>
  </sheetViews>
  <sheetFormatPr baseColWidth="10" defaultColWidth="9.06640625" defaultRowHeight="14.25" x14ac:dyDescent="0.45"/>
  <cols>
    <col min="1" max="1" width="9.06640625" style="12" customWidth="1"/>
    <col min="2" max="2" width="12.265625" style="12" bestFit="1" customWidth="1"/>
    <col min="3" max="3" width="9.06640625" style="12" customWidth="1"/>
    <col min="4" max="16384" width="9.06640625" style="12"/>
  </cols>
  <sheetData>
    <row r="1" spans="1:6" x14ac:dyDescent="0.45">
      <c r="A1" s="3" t="s">
        <v>89</v>
      </c>
      <c r="B1" s="3" t="s">
        <v>82</v>
      </c>
      <c r="C1" s="3" t="s">
        <v>85</v>
      </c>
      <c r="D1" s="3" t="s">
        <v>86</v>
      </c>
      <c r="E1" s="3" t="s">
        <v>87</v>
      </c>
      <c r="F1" s="3" t="s">
        <v>90</v>
      </c>
    </row>
    <row r="2" spans="1:6" x14ac:dyDescent="0.45">
      <c r="A2" t="s">
        <v>91</v>
      </c>
      <c r="B2" s="1">
        <v>0</v>
      </c>
      <c r="C2">
        <v>12</v>
      </c>
      <c r="D2">
        <v>100</v>
      </c>
      <c r="E2">
        <v>132</v>
      </c>
      <c r="F2">
        <v>0</v>
      </c>
    </row>
    <row r="3" spans="1:6" x14ac:dyDescent="0.45">
      <c r="A3" t="s">
        <v>92</v>
      </c>
      <c r="B3" s="1">
        <v>0</v>
      </c>
      <c r="C3">
        <v>12</v>
      </c>
      <c r="D3">
        <v>100</v>
      </c>
      <c r="E3">
        <v>131</v>
      </c>
      <c r="F3" s="12">
        <v>0</v>
      </c>
    </row>
    <row r="4" spans="1:6" x14ac:dyDescent="0.45">
      <c r="A4" t="s">
        <v>93</v>
      </c>
      <c r="B4" s="1">
        <v>0</v>
      </c>
      <c r="C4">
        <v>12</v>
      </c>
      <c r="D4">
        <v>100</v>
      </c>
      <c r="E4">
        <v>133</v>
      </c>
      <c r="F4" s="12">
        <v>0</v>
      </c>
    </row>
    <row r="5" spans="1:6" x14ac:dyDescent="0.45">
      <c r="A5" t="s">
        <v>94</v>
      </c>
      <c r="B5" s="1">
        <v>0</v>
      </c>
      <c r="C5">
        <v>12</v>
      </c>
      <c r="D5">
        <v>100</v>
      </c>
      <c r="E5">
        <v>134</v>
      </c>
      <c r="F5" s="12">
        <v>0</v>
      </c>
    </row>
    <row r="6" spans="1:6" x14ac:dyDescent="0.45">
      <c r="A6" t="s">
        <v>95</v>
      </c>
      <c r="B6" s="1">
        <v>0</v>
      </c>
      <c r="C6">
        <v>12</v>
      </c>
      <c r="D6">
        <v>100</v>
      </c>
      <c r="E6">
        <v>130</v>
      </c>
      <c r="F6" s="12">
        <v>0</v>
      </c>
    </row>
    <row r="7" spans="1:6" x14ac:dyDescent="0.45">
      <c r="A7" s="12" t="s">
        <v>147</v>
      </c>
      <c r="B7" s="1">
        <v>0</v>
      </c>
      <c r="C7" s="12">
        <v>12</v>
      </c>
      <c r="D7" s="12">
        <v>101</v>
      </c>
      <c r="E7" s="12">
        <v>132</v>
      </c>
      <c r="F7" s="12">
        <v>0</v>
      </c>
    </row>
    <row r="8" spans="1:6" x14ac:dyDescent="0.45">
      <c r="A8" s="12" t="s">
        <v>399</v>
      </c>
      <c r="B8" s="1">
        <v>0</v>
      </c>
      <c r="C8" s="12">
        <v>12</v>
      </c>
      <c r="D8" s="12">
        <v>101</v>
      </c>
      <c r="E8" s="12">
        <v>131</v>
      </c>
      <c r="F8" s="12">
        <v>0</v>
      </c>
    </row>
    <row r="9" spans="1:6" x14ac:dyDescent="0.45">
      <c r="A9" s="12" t="s">
        <v>400</v>
      </c>
      <c r="B9" s="1">
        <v>0</v>
      </c>
      <c r="C9" s="12">
        <v>12</v>
      </c>
      <c r="D9" s="12">
        <v>101</v>
      </c>
      <c r="E9" s="12">
        <v>133</v>
      </c>
      <c r="F9" s="12">
        <v>0</v>
      </c>
    </row>
    <row r="10" spans="1:6" x14ac:dyDescent="0.45">
      <c r="A10" s="12" t="s">
        <v>401</v>
      </c>
      <c r="B10" s="1">
        <v>0</v>
      </c>
      <c r="C10" s="12">
        <v>12</v>
      </c>
      <c r="D10" s="12">
        <v>101</v>
      </c>
      <c r="E10" s="12">
        <v>134</v>
      </c>
      <c r="F10" s="12">
        <v>0</v>
      </c>
    </row>
    <row r="11" spans="1:6" x14ac:dyDescent="0.45">
      <c r="A11" s="12" t="s">
        <v>402</v>
      </c>
      <c r="B11" s="1">
        <v>0</v>
      </c>
      <c r="C11" s="12">
        <v>12</v>
      </c>
      <c r="D11" s="12">
        <v>101</v>
      </c>
      <c r="E11" s="12">
        <v>130</v>
      </c>
      <c r="F11" s="12">
        <v>0</v>
      </c>
    </row>
    <row r="12" spans="1:6" x14ac:dyDescent="0.45">
      <c r="A12" s="12" t="s">
        <v>403</v>
      </c>
      <c r="B12" s="1">
        <v>0</v>
      </c>
      <c r="C12" s="12">
        <v>12</v>
      </c>
      <c r="D12" s="12">
        <v>99</v>
      </c>
      <c r="E12" s="12">
        <v>132</v>
      </c>
      <c r="F12" s="12">
        <v>0</v>
      </c>
    </row>
    <row r="13" spans="1:6" x14ac:dyDescent="0.45">
      <c r="A13" s="12" t="s">
        <v>404</v>
      </c>
      <c r="B13" s="1">
        <v>0</v>
      </c>
      <c r="C13" s="12">
        <v>12</v>
      </c>
      <c r="D13" s="12">
        <v>99</v>
      </c>
      <c r="E13" s="12">
        <v>131</v>
      </c>
      <c r="F13" s="12">
        <v>0</v>
      </c>
    </row>
    <row r="14" spans="1:6" x14ac:dyDescent="0.45">
      <c r="A14" s="12" t="s">
        <v>405</v>
      </c>
      <c r="B14" s="1">
        <v>0</v>
      </c>
      <c r="C14" s="12">
        <v>12</v>
      </c>
      <c r="D14" s="12">
        <v>99</v>
      </c>
      <c r="E14" s="12">
        <v>133</v>
      </c>
      <c r="F14" s="12">
        <v>0</v>
      </c>
    </row>
    <row r="15" spans="1:6" x14ac:dyDescent="0.45">
      <c r="A15" s="12" t="s">
        <v>406</v>
      </c>
      <c r="B15" s="1">
        <v>0</v>
      </c>
      <c r="C15" s="12">
        <v>12</v>
      </c>
      <c r="D15" s="12">
        <v>99</v>
      </c>
      <c r="E15" s="12">
        <v>134</v>
      </c>
      <c r="F15" s="12">
        <v>0</v>
      </c>
    </row>
    <row r="16" spans="1:6" x14ac:dyDescent="0.45">
      <c r="A16" s="12" t="s">
        <v>407</v>
      </c>
      <c r="B16" s="1">
        <v>0</v>
      </c>
      <c r="C16" s="12">
        <v>12</v>
      </c>
      <c r="D16" s="12">
        <v>99</v>
      </c>
      <c r="E16" s="12">
        <v>130</v>
      </c>
      <c r="F16" s="12">
        <v>0</v>
      </c>
    </row>
  </sheetData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6"/>
  <sheetViews>
    <sheetView workbookViewId="0">
      <selection activeCell="G38" sqref="G38"/>
    </sheetView>
  </sheetViews>
  <sheetFormatPr baseColWidth="10" defaultColWidth="9.06640625" defaultRowHeight="14.25" x14ac:dyDescent="0.45"/>
  <cols>
    <col min="2" max="2" width="12.265625" style="12" bestFit="1" customWidth="1"/>
  </cols>
  <sheetData>
    <row r="1" spans="1:8" x14ac:dyDescent="0.45">
      <c r="A1" s="3" t="s">
        <v>89</v>
      </c>
      <c r="B1" s="3" t="s">
        <v>82</v>
      </c>
      <c r="C1" s="3" t="s">
        <v>85</v>
      </c>
      <c r="D1" s="3" t="s">
        <v>86</v>
      </c>
      <c r="E1" s="3" t="s">
        <v>87</v>
      </c>
      <c r="F1" s="3" t="s">
        <v>90</v>
      </c>
    </row>
    <row r="2" spans="1:8" x14ac:dyDescent="0.45">
      <c r="A2" t="s">
        <v>91</v>
      </c>
      <c r="B2" s="1">
        <v>0</v>
      </c>
      <c r="C2">
        <v>12</v>
      </c>
      <c r="D2">
        <v>100</v>
      </c>
      <c r="E2">
        <v>132</v>
      </c>
      <c r="F2">
        <v>0</v>
      </c>
      <c r="H2" s="12"/>
    </row>
    <row r="3" spans="1:8" x14ac:dyDescent="0.45">
      <c r="A3" t="s">
        <v>91</v>
      </c>
      <c r="B3" s="1">
        <v>3600000</v>
      </c>
      <c r="C3">
        <v>12</v>
      </c>
      <c r="D3">
        <v>100</v>
      </c>
      <c r="E3">
        <v>132</v>
      </c>
      <c r="F3" s="12">
        <v>0</v>
      </c>
      <c r="G3" s="12"/>
      <c r="H3" s="12"/>
    </row>
    <row r="4" spans="1:8" x14ac:dyDescent="0.45">
      <c r="A4" t="s">
        <v>91</v>
      </c>
      <c r="B4" s="7">
        <v>800000000</v>
      </c>
      <c r="C4">
        <v>12</v>
      </c>
      <c r="D4">
        <v>100</v>
      </c>
      <c r="E4">
        <v>132</v>
      </c>
      <c r="F4" s="12">
        <v>0</v>
      </c>
      <c r="G4" s="12"/>
      <c r="H4" s="12"/>
    </row>
    <row r="5" spans="1:8" x14ac:dyDescent="0.45">
      <c r="A5" t="s">
        <v>92</v>
      </c>
      <c r="B5" s="1">
        <v>0</v>
      </c>
      <c r="C5">
        <v>12</v>
      </c>
      <c r="D5">
        <v>100</v>
      </c>
      <c r="E5">
        <v>131</v>
      </c>
      <c r="F5" s="12">
        <v>0</v>
      </c>
      <c r="G5" s="12"/>
      <c r="H5" s="12"/>
    </row>
    <row r="6" spans="1:8" x14ac:dyDescent="0.45">
      <c r="A6" t="s">
        <v>92</v>
      </c>
      <c r="B6" s="1">
        <v>3600000</v>
      </c>
      <c r="C6">
        <v>12</v>
      </c>
      <c r="D6">
        <v>100</v>
      </c>
      <c r="E6">
        <v>131</v>
      </c>
      <c r="F6" s="12">
        <v>0</v>
      </c>
      <c r="G6" s="12"/>
      <c r="H6" s="12"/>
    </row>
    <row r="7" spans="1:8" x14ac:dyDescent="0.45">
      <c r="A7" t="s">
        <v>92</v>
      </c>
      <c r="B7" s="7">
        <v>800000000</v>
      </c>
      <c r="C7">
        <v>12</v>
      </c>
      <c r="D7">
        <v>100</v>
      </c>
      <c r="E7">
        <v>131</v>
      </c>
      <c r="F7" s="12">
        <v>0</v>
      </c>
      <c r="G7" s="12"/>
    </row>
    <row r="8" spans="1:8" x14ac:dyDescent="0.45">
      <c r="A8" t="s">
        <v>93</v>
      </c>
      <c r="B8" s="1">
        <v>0</v>
      </c>
      <c r="C8">
        <v>12</v>
      </c>
      <c r="D8">
        <v>100</v>
      </c>
      <c r="E8">
        <v>133</v>
      </c>
      <c r="F8" s="12">
        <v>0</v>
      </c>
      <c r="G8" s="12"/>
    </row>
    <row r="9" spans="1:8" x14ac:dyDescent="0.45">
      <c r="A9" t="s">
        <v>93</v>
      </c>
      <c r="B9" s="1">
        <v>3600000</v>
      </c>
      <c r="C9">
        <v>12</v>
      </c>
      <c r="D9">
        <v>100</v>
      </c>
      <c r="E9">
        <v>133</v>
      </c>
      <c r="F9" s="12">
        <v>0</v>
      </c>
      <c r="G9" s="12"/>
    </row>
    <row r="10" spans="1:8" x14ac:dyDescent="0.45">
      <c r="A10" t="s">
        <v>93</v>
      </c>
      <c r="B10" s="7">
        <v>800000000</v>
      </c>
      <c r="C10">
        <v>12</v>
      </c>
      <c r="D10">
        <v>100</v>
      </c>
      <c r="E10">
        <v>133</v>
      </c>
      <c r="F10" s="12">
        <v>0</v>
      </c>
      <c r="G10" s="12"/>
    </row>
    <row r="11" spans="1:8" x14ac:dyDescent="0.45">
      <c r="A11" t="s">
        <v>94</v>
      </c>
      <c r="B11" s="1">
        <v>0</v>
      </c>
      <c r="C11">
        <v>12</v>
      </c>
      <c r="D11">
        <v>100</v>
      </c>
      <c r="E11">
        <v>134</v>
      </c>
      <c r="F11" s="12">
        <v>0</v>
      </c>
      <c r="G11" s="12"/>
    </row>
    <row r="12" spans="1:8" x14ac:dyDescent="0.45">
      <c r="A12" t="s">
        <v>94</v>
      </c>
      <c r="B12" s="1">
        <v>3600000</v>
      </c>
      <c r="C12">
        <v>12</v>
      </c>
      <c r="D12">
        <v>100</v>
      </c>
      <c r="E12">
        <v>134</v>
      </c>
      <c r="F12" s="12">
        <v>0</v>
      </c>
      <c r="G12" s="12"/>
    </row>
    <row r="13" spans="1:8" x14ac:dyDescent="0.45">
      <c r="A13" t="s">
        <v>94</v>
      </c>
      <c r="B13" s="7">
        <v>800000000</v>
      </c>
      <c r="C13">
        <v>12</v>
      </c>
      <c r="D13">
        <v>100</v>
      </c>
      <c r="E13">
        <v>134</v>
      </c>
      <c r="F13" s="12">
        <v>0</v>
      </c>
      <c r="G13" s="12"/>
    </row>
    <row r="14" spans="1:8" x14ac:dyDescent="0.45">
      <c r="A14" t="s">
        <v>95</v>
      </c>
      <c r="B14" s="1">
        <v>0</v>
      </c>
      <c r="C14">
        <v>12</v>
      </c>
      <c r="D14">
        <v>100</v>
      </c>
      <c r="E14">
        <v>130</v>
      </c>
      <c r="F14" s="12">
        <v>0</v>
      </c>
      <c r="G14" s="12"/>
    </row>
    <row r="15" spans="1:8" x14ac:dyDescent="0.45">
      <c r="A15" t="s">
        <v>95</v>
      </c>
      <c r="B15" s="1">
        <v>3600000</v>
      </c>
      <c r="C15">
        <v>12</v>
      </c>
      <c r="D15">
        <v>100</v>
      </c>
      <c r="E15">
        <v>130</v>
      </c>
      <c r="F15" s="12">
        <v>0</v>
      </c>
      <c r="G15" s="12"/>
    </row>
    <row r="16" spans="1:8" x14ac:dyDescent="0.45">
      <c r="A16" t="s">
        <v>95</v>
      </c>
      <c r="B16" s="7">
        <v>800000000</v>
      </c>
      <c r="C16">
        <v>12</v>
      </c>
      <c r="D16">
        <v>100</v>
      </c>
      <c r="E16">
        <v>130</v>
      </c>
      <c r="F16" s="12">
        <v>0</v>
      </c>
      <c r="G16" s="12"/>
    </row>
    <row r="17" spans="1:6" x14ac:dyDescent="0.45">
      <c r="A17" s="12" t="s">
        <v>147</v>
      </c>
      <c r="B17" s="1">
        <v>0</v>
      </c>
      <c r="C17" s="12">
        <v>12</v>
      </c>
      <c r="D17">
        <v>101</v>
      </c>
      <c r="E17" s="12">
        <v>132</v>
      </c>
      <c r="F17" s="12">
        <v>0</v>
      </c>
    </row>
    <row r="18" spans="1:6" x14ac:dyDescent="0.45">
      <c r="A18" s="12" t="s">
        <v>147</v>
      </c>
      <c r="B18" s="1">
        <v>3600000</v>
      </c>
      <c r="C18" s="12">
        <v>12</v>
      </c>
      <c r="D18" s="12">
        <v>101</v>
      </c>
      <c r="E18" s="12">
        <v>132</v>
      </c>
      <c r="F18" s="12">
        <v>0</v>
      </c>
    </row>
    <row r="19" spans="1:6" x14ac:dyDescent="0.45">
      <c r="A19" s="12" t="s">
        <v>147</v>
      </c>
      <c r="B19" s="7">
        <v>800000000</v>
      </c>
      <c r="C19" s="12">
        <v>12</v>
      </c>
      <c r="D19" s="12">
        <v>101</v>
      </c>
      <c r="E19" s="12">
        <v>132</v>
      </c>
      <c r="F19" s="12">
        <v>0</v>
      </c>
    </row>
    <row r="20" spans="1:6" x14ac:dyDescent="0.45">
      <c r="A20" s="12" t="s">
        <v>399</v>
      </c>
      <c r="B20" s="1">
        <v>0</v>
      </c>
      <c r="C20" s="12">
        <v>12</v>
      </c>
      <c r="D20" s="12">
        <v>101</v>
      </c>
      <c r="E20" s="12">
        <v>131</v>
      </c>
      <c r="F20" s="12">
        <v>0</v>
      </c>
    </row>
    <row r="21" spans="1:6" x14ac:dyDescent="0.45">
      <c r="A21" s="12" t="s">
        <v>399</v>
      </c>
      <c r="B21" s="1">
        <v>3600000</v>
      </c>
      <c r="C21" s="12">
        <v>12</v>
      </c>
      <c r="D21" s="12">
        <v>101</v>
      </c>
      <c r="E21" s="12">
        <v>131</v>
      </c>
      <c r="F21" s="12">
        <v>0</v>
      </c>
    </row>
    <row r="22" spans="1:6" x14ac:dyDescent="0.45">
      <c r="A22" s="12" t="s">
        <v>399</v>
      </c>
      <c r="B22" s="7">
        <v>800000000</v>
      </c>
      <c r="C22" s="12">
        <v>12</v>
      </c>
      <c r="D22" s="12">
        <v>101</v>
      </c>
      <c r="E22" s="12">
        <v>131</v>
      </c>
      <c r="F22" s="12">
        <v>0</v>
      </c>
    </row>
    <row r="23" spans="1:6" x14ac:dyDescent="0.45">
      <c r="A23" s="12" t="s">
        <v>400</v>
      </c>
      <c r="B23" s="1">
        <v>0</v>
      </c>
      <c r="C23" s="12">
        <v>12</v>
      </c>
      <c r="D23" s="12">
        <v>101</v>
      </c>
      <c r="E23" s="12">
        <v>133</v>
      </c>
      <c r="F23" s="12">
        <v>0</v>
      </c>
    </row>
    <row r="24" spans="1:6" x14ac:dyDescent="0.45">
      <c r="A24" s="12" t="s">
        <v>400</v>
      </c>
      <c r="B24" s="1">
        <v>3600000</v>
      </c>
      <c r="C24" s="12">
        <v>12</v>
      </c>
      <c r="D24" s="12">
        <v>101</v>
      </c>
      <c r="E24" s="12">
        <v>133</v>
      </c>
      <c r="F24" s="12">
        <v>0</v>
      </c>
    </row>
    <row r="25" spans="1:6" x14ac:dyDescent="0.45">
      <c r="A25" s="12" t="s">
        <v>400</v>
      </c>
      <c r="B25" s="7">
        <v>800000000</v>
      </c>
      <c r="C25" s="12">
        <v>12</v>
      </c>
      <c r="D25" s="12">
        <v>101</v>
      </c>
      <c r="E25" s="12">
        <v>133</v>
      </c>
      <c r="F25" s="12">
        <v>0</v>
      </c>
    </row>
    <row r="26" spans="1:6" x14ac:dyDescent="0.45">
      <c r="A26" s="12" t="s">
        <v>401</v>
      </c>
      <c r="B26" s="1">
        <v>0</v>
      </c>
      <c r="C26" s="12">
        <v>12</v>
      </c>
      <c r="D26" s="12">
        <v>101</v>
      </c>
      <c r="E26" s="12">
        <v>134</v>
      </c>
      <c r="F26" s="12">
        <v>0</v>
      </c>
    </row>
    <row r="27" spans="1:6" x14ac:dyDescent="0.45">
      <c r="A27" s="12" t="s">
        <v>401</v>
      </c>
      <c r="B27" s="1">
        <v>3600000</v>
      </c>
      <c r="C27" s="12">
        <v>12</v>
      </c>
      <c r="D27" s="12">
        <v>101</v>
      </c>
      <c r="E27" s="12">
        <v>134</v>
      </c>
      <c r="F27" s="12">
        <v>0</v>
      </c>
    </row>
    <row r="28" spans="1:6" x14ac:dyDescent="0.45">
      <c r="A28" s="12" t="s">
        <v>401</v>
      </c>
      <c r="B28" s="7">
        <v>800000000</v>
      </c>
      <c r="C28" s="12">
        <v>12</v>
      </c>
      <c r="D28" s="12">
        <v>101</v>
      </c>
      <c r="E28" s="12">
        <v>134</v>
      </c>
      <c r="F28" s="12">
        <v>0</v>
      </c>
    </row>
    <row r="29" spans="1:6" x14ac:dyDescent="0.45">
      <c r="A29" s="12" t="s">
        <v>402</v>
      </c>
      <c r="B29" s="1">
        <v>0</v>
      </c>
      <c r="C29" s="12">
        <v>12</v>
      </c>
      <c r="D29" s="12">
        <v>101</v>
      </c>
      <c r="E29" s="12">
        <v>130</v>
      </c>
      <c r="F29" s="12">
        <v>0</v>
      </c>
    </row>
    <row r="30" spans="1:6" x14ac:dyDescent="0.45">
      <c r="A30" s="12" t="s">
        <v>402</v>
      </c>
      <c r="B30" s="1">
        <v>3600000</v>
      </c>
      <c r="C30" s="12">
        <v>12</v>
      </c>
      <c r="D30" s="12">
        <v>101</v>
      </c>
      <c r="E30" s="12">
        <v>130</v>
      </c>
      <c r="F30" s="12">
        <v>0</v>
      </c>
    </row>
    <row r="31" spans="1:6" x14ac:dyDescent="0.45">
      <c r="A31" s="12" t="s">
        <v>402</v>
      </c>
      <c r="B31" s="7">
        <v>800000000</v>
      </c>
      <c r="C31" s="12">
        <v>12</v>
      </c>
      <c r="D31" s="12">
        <v>101</v>
      </c>
      <c r="E31" s="12">
        <v>130</v>
      </c>
      <c r="F31" s="12">
        <v>0</v>
      </c>
    </row>
    <row r="32" spans="1:6" x14ac:dyDescent="0.45">
      <c r="A32" s="12" t="s">
        <v>403</v>
      </c>
      <c r="B32" s="1">
        <v>0</v>
      </c>
      <c r="C32" s="12">
        <v>12</v>
      </c>
      <c r="D32" s="12">
        <v>99</v>
      </c>
      <c r="E32" s="12">
        <v>132</v>
      </c>
      <c r="F32" s="12">
        <v>0</v>
      </c>
    </row>
    <row r="33" spans="1:6" x14ac:dyDescent="0.45">
      <c r="A33" s="12" t="s">
        <v>403</v>
      </c>
      <c r="B33" s="1">
        <v>3600000</v>
      </c>
      <c r="C33" s="12">
        <v>12</v>
      </c>
      <c r="D33" s="12">
        <v>99</v>
      </c>
      <c r="E33" s="12">
        <v>132</v>
      </c>
      <c r="F33" s="12">
        <v>0</v>
      </c>
    </row>
    <row r="34" spans="1:6" x14ac:dyDescent="0.45">
      <c r="A34" s="12" t="s">
        <v>403</v>
      </c>
      <c r="B34" s="7">
        <v>800000000</v>
      </c>
      <c r="C34" s="12">
        <v>12</v>
      </c>
      <c r="D34" s="12">
        <v>99</v>
      </c>
      <c r="E34" s="12">
        <v>132</v>
      </c>
      <c r="F34" s="12">
        <v>0</v>
      </c>
    </row>
    <row r="35" spans="1:6" x14ac:dyDescent="0.45">
      <c r="A35" s="12" t="s">
        <v>404</v>
      </c>
      <c r="B35" s="1">
        <v>0</v>
      </c>
      <c r="C35" s="12">
        <v>12</v>
      </c>
      <c r="D35" s="12">
        <v>99</v>
      </c>
      <c r="E35" s="12">
        <v>131</v>
      </c>
      <c r="F35" s="12">
        <v>0</v>
      </c>
    </row>
    <row r="36" spans="1:6" x14ac:dyDescent="0.45">
      <c r="A36" s="12" t="s">
        <v>404</v>
      </c>
      <c r="B36" s="1">
        <v>3600000</v>
      </c>
      <c r="C36" s="12">
        <v>12</v>
      </c>
      <c r="D36" s="12">
        <v>99</v>
      </c>
      <c r="E36" s="12">
        <v>131</v>
      </c>
      <c r="F36" s="12">
        <v>0</v>
      </c>
    </row>
    <row r="37" spans="1:6" x14ac:dyDescent="0.45">
      <c r="A37" s="12" t="s">
        <v>404</v>
      </c>
      <c r="B37" s="7">
        <v>800000000</v>
      </c>
      <c r="C37" s="12">
        <v>12</v>
      </c>
      <c r="D37" s="12">
        <v>99</v>
      </c>
      <c r="E37" s="12">
        <v>131</v>
      </c>
      <c r="F37" s="12">
        <v>0</v>
      </c>
    </row>
    <row r="38" spans="1:6" x14ac:dyDescent="0.45">
      <c r="A38" s="12" t="s">
        <v>405</v>
      </c>
      <c r="B38" s="1">
        <v>0</v>
      </c>
      <c r="C38" s="12">
        <v>12</v>
      </c>
      <c r="D38" s="12">
        <v>99</v>
      </c>
      <c r="E38" s="12">
        <v>133</v>
      </c>
      <c r="F38" s="12">
        <v>0</v>
      </c>
    </row>
    <row r="39" spans="1:6" x14ac:dyDescent="0.45">
      <c r="A39" s="12" t="s">
        <v>405</v>
      </c>
      <c r="B39" s="1">
        <v>3600000</v>
      </c>
      <c r="C39" s="12">
        <v>12</v>
      </c>
      <c r="D39" s="12">
        <v>99</v>
      </c>
      <c r="E39" s="12">
        <v>133</v>
      </c>
      <c r="F39" s="12">
        <v>0</v>
      </c>
    </row>
    <row r="40" spans="1:6" x14ac:dyDescent="0.45">
      <c r="A40" s="12" t="s">
        <v>405</v>
      </c>
      <c r="B40" s="7">
        <v>800000000</v>
      </c>
      <c r="C40" s="12">
        <v>12</v>
      </c>
      <c r="D40" s="12">
        <v>99</v>
      </c>
      <c r="E40" s="12">
        <v>133</v>
      </c>
      <c r="F40" s="12">
        <v>0</v>
      </c>
    </row>
    <row r="41" spans="1:6" x14ac:dyDescent="0.45">
      <c r="A41" s="12" t="s">
        <v>406</v>
      </c>
      <c r="B41" s="1">
        <v>0</v>
      </c>
      <c r="C41" s="12">
        <v>12</v>
      </c>
      <c r="D41" s="12">
        <v>99</v>
      </c>
      <c r="E41" s="12">
        <v>134</v>
      </c>
      <c r="F41" s="12">
        <v>0</v>
      </c>
    </row>
    <row r="42" spans="1:6" x14ac:dyDescent="0.45">
      <c r="A42" s="12" t="s">
        <v>406</v>
      </c>
      <c r="B42" s="1">
        <v>3600000</v>
      </c>
      <c r="C42" s="12">
        <v>12</v>
      </c>
      <c r="D42" s="12">
        <v>99</v>
      </c>
      <c r="E42" s="12">
        <v>134</v>
      </c>
      <c r="F42" s="12">
        <v>0</v>
      </c>
    </row>
    <row r="43" spans="1:6" x14ac:dyDescent="0.45">
      <c r="A43" s="12" t="s">
        <v>406</v>
      </c>
      <c r="B43" s="7">
        <v>800000000</v>
      </c>
      <c r="C43" s="12">
        <v>12</v>
      </c>
      <c r="D43" s="12">
        <v>99</v>
      </c>
      <c r="E43" s="12">
        <v>134</v>
      </c>
      <c r="F43" s="12">
        <v>0</v>
      </c>
    </row>
    <row r="44" spans="1:6" x14ac:dyDescent="0.45">
      <c r="A44" s="12" t="s">
        <v>407</v>
      </c>
      <c r="B44" s="1">
        <v>0</v>
      </c>
      <c r="C44" s="12">
        <v>12</v>
      </c>
      <c r="D44" s="12">
        <v>99</v>
      </c>
      <c r="E44" s="12">
        <v>130</v>
      </c>
      <c r="F44" s="12">
        <v>0</v>
      </c>
    </row>
    <row r="45" spans="1:6" x14ac:dyDescent="0.45">
      <c r="A45" s="12" t="s">
        <v>407</v>
      </c>
      <c r="B45" s="1">
        <v>3600000</v>
      </c>
      <c r="C45" s="12">
        <v>12</v>
      </c>
      <c r="D45" s="12">
        <v>99</v>
      </c>
      <c r="E45" s="12">
        <v>130</v>
      </c>
      <c r="F45" s="12">
        <v>0</v>
      </c>
    </row>
    <row r="46" spans="1:6" x14ac:dyDescent="0.45">
      <c r="A46" s="12" t="s">
        <v>407</v>
      </c>
      <c r="B46" s="7">
        <v>800000000</v>
      </c>
      <c r="C46" s="12">
        <v>12</v>
      </c>
      <c r="D46" s="12">
        <v>99</v>
      </c>
      <c r="E46" s="12">
        <v>130</v>
      </c>
      <c r="F46" s="12">
        <v>0</v>
      </c>
    </row>
  </sheetData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C13" sqref="C13"/>
    </sheetView>
  </sheetViews>
  <sheetFormatPr baseColWidth="10" defaultRowHeight="14.25" x14ac:dyDescent="0.45"/>
  <cols>
    <col min="1" max="1" width="15.9296875" style="12" bestFit="1" customWidth="1"/>
    <col min="3" max="3" width="46.796875" bestFit="1" customWidth="1"/>
  </cols>
  <sheetData>
    <row r="1" spans="1:3" x14ac:dyDescent="0.45">
      <c r="A1" t="s">
        <v>96</v>
      </c>
      <c r="B1" t="s">
        <v>36</v>
      </c>
      <c r="C1" t="s">
        <v>32</v>
      </c>
    </row>
    <row r="2" spans="1:3" x14ac:dyDescent="0.45">
      <c r="A2" t="s">
        <v>97</v>
      </c>
      <c r="B2">
        <v>0.01</v>
      </c>
      <c r="C2" t="s">
        <v>98</v>
      </c>
    </row>
    <row r="3" spans="1:3" x14ac:dyDescent="0.45">
      <c r="A3" t="s">
        <v>99</v>
      </c>
      <c r="B3">
        <v>3600000</v>
      </c>
      <c r="C3" t="s">
        <v>100</v>
      </c>
    </row>
    <row r="4" spans="1:3" x14ac:dyDescent="0.45">
      <c r="A4" t="s">
        <v>101</v>
      </c>
      <c r="B4">
        <v>1</v>
      </c>
      <c r="C4" t="s">
        <v>102</v>
      </c>
    </row>
    <row r="5" spans="1:3" x14ac:dyDescent="0.45">
      <c r="A5" t="s">
        <v>103</v>
      </c>
      <c r="B5">
        <v>0.01</v>
      </c>
      <c r="C5" t="s">
        <v>104</v>
      </c>
    </row>
    <row r="6" spans="1:3" x14ac:dyDescent="0.45">
      <c r="A6" t="s">
        <v>105</v>
      </c>
      <c r="B6">
        <v>5</v>
      </c>
      <c r="C6" t="s">
        <v>106</v>
      </c>
    </row>
    <row r="7" spans="1:3" x14ac:dyDescent="0.45">
      <c r="A7" t="s">
        <v>107</v>
      </c>
      <c r="C7" t="s">
        <v>108</v>
      </c>
    </row>
    <row r="8" spans="1:3" x14ac:dyDescent="0.45">
      <c r="A8" t="s">
        <v>109</v>
      </c>
      <c r="B8">
        <v>100</v>
      </c>
      <c r="C8" t="s">
        <v>110</v>
      </c>
    </row>
    <row r="9" spans="1:3" x14ac:dyDescent="0.45">
      <c r="A9" t="s">
        <v>111</v>
      </c>
      <c r="B9">
        <v>100</v>
      </c>
      <c r="C9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"/>
  <sheetViews>
    <sheetView workbookViewId="0">
      <selection activeCell="I38" sqref="I38"/>
    </sheetView>
  </sheetViews>
  <sheetFormatPr baseColWidth="10" defaultRowHeight="14.25" x14ac:dyDescent="0.45"/>
  <sheetData>
    <row r="1" spans="1:12" x14ac:dyDescent="0.45">
      <c r="A1" t="s">
        <v>89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</row>
    <row r="2" spans="1:12" x14ac:dyDescent="0.45">
      <c r="A2" t="s">
        <v>91</v>
      </c>
      <c r="B2">
        <v>0</v>
      </c>
      <c r="C2">
        <v>-10</v>
      </c>
      <c r="D2">
        <v>-50</v>
      </c>
      <c r="E2">
        <v>-100</v>
      </c>
      <c r="F2">
        <v>-200</v>
      </c>
      <c r="G2">
        <v>-1000</v>
      </c>
      <c r="H2">
        <v>-2000</v>
      </c>
      <c r="I2">
        <v>-20000</v>
      </c>
      <c r="J2">
        <v>-100000</v>
      </c>
      <c r="K2">
        <v>-200000</v>
      </c>
      <c r="L2">
        <v>-600000</v>
      </c>
    </row>
    <row r="3" spans="1:12" x14ac:dyDescent="0.45">
      <c r="A3" t="s">
        <v>92</v>
      </c>
      <c r="B3">
        <v>0</v>
      </c>
      <c r="C3">
        <v>-10</v>
      </c>
      <c r="D3">
        <v>-50</v>
      </c>
      <c r="E3">
        <v>-100</v>
      </c>
      <c r="F3">
        <v>-200</v>
      </c>
      <c r="G3">
        <v>-1000</v>
      </c>
      <c r="H3">
        <v>-2000</v>
      </c>
      <c r="I3">
        <v>-20000</v>
      </c>
      <c r="J3">
        <v>-100000</v>
      </c>
      <c r="K3">
        <v>-200000</v>
      </c>
      <c r="L3">
        <v>-600000</v>
      </c>
    </row>
    <row r="4" spans="1:12" x14ac:dyDescent="0.45">
      <c r="A4" t="s">
        <v>93</v>
      </c>
      <c r="B4">
        <v>0</v>
      </c>
      <c r="C4">
        <v>-10</v>
      </c>
      <c r="D4">
        <v>-50</v>
      </c>
      <c r="E4">
        <v>-100</v>
      </c>
      <c r="F4">
        <v>-200</v>
      </c>
      <c r="G4">
        <v>-1000</v>
      </c>
      <c r="H4">
        <v>-2000</v>
      </c>
      <c r="I4">
        <v>-20000</v>
      </c>
      <c r="J4">
        <v>-100000</v>
      </c>
      <c r="K4">
        <v>-200000</v>
      </c>
      <c r="L4">
        <v>-600000</v>
      </c>
    </row>
    <row r="5" spans="1:12" x14ac:dyDescent="0.45">
      <c r="A5" t="s">
        <v>94</v>
      </c>
      <c r="B5">
        <v>0</v>
      </c>
      <c r="C5">
        <v>-10</v>
      </c>
      <c r="D5">
        <v>-50</v>
      </c>
      <c r="E5">
        <v>-100</v>
      </c>
      <c r="F5">
        <v>-200</v>
      </c>
      <c r="G5">
        <v>-1000</v>
      </c>
      <c r="H5">
        <v>-2000</v>
      </c>
      <c r="I5">
        <v>-20000</v>
      </c>
      <c r="J5">
        <v>-100000</v>
      </c>
      <c r="K5">
        <v>-200000</v>
      </c>
      <c r="L5">
        <v>-600000</v>
      </c>
    </row>
    <row r="6" spans="1:12" x14ac:dyDescent="0.45">
      <c r="A6" t="s">
        <v>95</v>
      </c>
      <c r="B6">
        <v>0</v>
      </c>
      <c r="C6">
        <v>-10</v>
      </c>
      <c r="D6">
        <v>-50</v>
      </c>
      <c r="E6">
        <v>-100</v>
      </c>
      <c r="F6">
        <v>-200</v>
      </c>
      <c r="G6">
        <v>-1000</v>
      </c>
      <c r="H6">
        <v>-2000</v>
      </c>
      <c r="I6">
        <v>-20000</v>
      </c>
      <c r="J6">
        <v>-100000</v>
      </c>
      <c r="K6">
        <v>-200000</v>
      </c>
      <c r="L6">
        <v>-600000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4"/>
  <sheetViews>
    <sheetView workbookViewId="0">
      <selection activeCell="H26" sqref="H26"/>
    </sheetView>
  </sheetViews>
  <sheetFormatPr baseColWidth="10" defaultRowHeight="14.25" x14ac:dyDescent="0.45"/>
  <cols>
    <col min="3" max="4" width="10.9296875" style="12" customWidth="1"/>
    <col min="6" max="6" width="10.59765625" style="12" customWidth="1"/>
    <col min="10" max="10" width="10.9296875" style="12" customWidth="1"/>
  </cols>
  <sheetData>
    <row r="1" spans="1:14" x14ac:dyDescent="0.45">
      <c r="A1" s="12" t="s">
        <v>89</v>
      </c>
      <c r="B1" s="12" t="s">
        <v>82</v>
      </c>
      <c r="C1" s="12" t="s">
        <v>124</v>
      </c>
      <c r="D1" s="12" t="s">
        <v>114</v>
      </c>
      <c r="E1" s="12" t="s">
        <v>115</v>
      </c>
      <c r="F1" s="12" t="s">
        <v>116</v>
      </c>
      <c r="G1" s="12" t="s">
        <v>117</v>
      </c>
      <c r="H1" s="12" t="s">
        <v>118</v>
      </c>
      <c r="I1" s="12" t="s">
        <v>119</v>
      </c>
      <c r="J1" s="12" t="s">
        <v>120</v>
      </c>
      <c r="K1" s="12" t="s">
        <v>121</v>
      </c>
      <c r="L1" s="12" t="s">
        <v>122</v>
      </c>
      <c r="M1" s="12" t="s">
        <v>123</v>
      </c>
      <c r="N1" s="12" t="s">
        <v>398</v>
      </c>
    </row>
    <row r="2" spans="1:14" x14ac:dyDescent="0.45">
      <c r="A2" s="12" t="s">
        <v>91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</row>
    <row r="3" spans="1:14" x14ac:dyDescent="0.45">
      <c r="A3" s="12" t="s">
        <v>91</v>
      </c>
      <c r="B3" s="2">
        <v>3600000</v>
      </c>
      <c r="C3" s="12">
        <v>0</v>
      </c>
      <c r="D3" s="12">
        <v>-100</v>
      </c>
      <c r="E3" s="12">
        <v>-200</v>
      </c>
      <c r="F3" s="12">
        <v>-1000</v>
      </c>
      <c r="G3" s="12">
        <v>-2000</v>
      </c>
      <c r="H3" s="12">
        <v>-20000</v>
      </c>
      <c r="I3" s="12">
        <v>-100000</v>
      </c>
      <c r="J3" s="12">
        <v>-200000</v>
      </c>
      <c r="K3" s="12">
        <v>-600000</v>
      </c>
      <c r="L3" s="12">
        <v>-1200000</v>
      </c>
      <c r="M3" s="12">
        <v>-2400000</v>
      </c>
      <c r="N3" s="12">
        <v>-4800000</v>
      </c>
    </row>
    <row r="4" spans="1:14" x14ac:dyDescent="0.45">
      <c r="A4" s="12" t="s">
        <v>91</v>
      </c>
      <c r="B4" s="2">
        <v>800000000</v>
      </c>
      <c r="C4" s="12">
        <v>0</v>
      </c>
      <c r="D4" s="12">
        <v>-100</v>
      </c>
      <c r="E4" s="12">
        <v>-200</v>
      </c>
      <c r="F4" s="12">
        <v>-1000</v>
      </c>
      <c r="G4" s="12">
        <v>-2000</v>
      </c>
      <c r="H4" s="12">
        <v>-20000</v>
      </c>
      <c r="I4" s="12">
        <v>-100000</v>
      </c>
      <c r="J4" s="12">
        <v>-200000</v>
      </c>
      <c r="K4" s="12">
        <v>-600000</v>
      </c>
      <c r="L4" s="12">
        <v>-1200000</v>
      </c>
      <c r="M4" s="12">
        <v>-2400000</v>
      </c>
      <c r="N4" s="12">
        <v>-4800000</v>
      </c>
    </row>
    <row r="5" spans="1:14" x14ac:dyDescent="0.45">
      <c r="A5" s="12" t="s">
        <v>92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</row>
    <row r="6" spans="1:14" x14ac:dyDescent="0.45">
      <c r="A6" s="12" t="s">
        <v>92</v>
      </c>
      <c r="B6" s="2">
        <v>3600000</v>
      </c>
      <c r="C6" s="12">
        <v>0</v>
      </c>
      <c r="D6" s="12">
        <v>-100</v>
      </c>
      <c r="E6" s="12">
        <v>-200</v>
      </c>
      <c r="F6" s="12">
        <v>-1000</v>
      </c>
      <c r="G6" s="12">
        <v>-2000</v>
      </c>
      <c r="H6" s="12">
        <v>-20000</v>
      </c>
      <c r="I6" s="12">
        <v>-100000</v>
      </c>
      <c r="J6" s="12">
        <v>-200000</v>
      </c>
      <c r="K6" s="12">
        <v>-600000</v>
      </c>
      <c r="L6" s="12">
        <v>-1200000</v>
      </c>
      <c r="M6" s="12">
        <v>-2400000</v>
      </c>
      <c r="N6" s="12">
        <v>-4800000</v>
      </c>
    </row>
    <row r="7" spans="1:14" x14ac:dyDescent="0.45">
      <c r="A7" s="12" t="s">
        <v>92</v>
      </c>
      <c r="B7" s="2">
        <v>800000000</v>
      </c>
      <c r="C7" s="12">
        <v>0</v>
      </c>
      <c r="D7" s="12">
        <v>-100</v>
      </c>
      <c r="E7" s="12">
        <v>-200</v>
      </c>
      <c r="F7" s="12">
        <v>-1000</v>
      </c>
      <c r="G7" s="12">
        <v>-2000</v>
      </c>
      <c r="H7" s="12">
        <v>-20000</v>
      </c>
      <c r="I7" s="12">
        <v>-100000</v>
      </c>
      <c r="J7" s="12">
        <v>-200000</v>
      </c>
      <c r="K7" s="12">
        <v>-600000</v>
      </c>
      <c r="L7" s="12">
        <v>-1200000</v>
      </c>
      <c r="M7" s="12">
        <v>-2400000</v>
      </c>
      <c r="N7" s="12">
        <v>-4800000</v>
      </c>
    </row>
    <row r="8" spans="1:14" x14ac:dyDescent="0.45">
      <c r="A8" s="12" t="s">
        <v>93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</row>
    <row r="9" spans="1:14" x14ac:dyDescent="0.45">
      <c r="A9" s="12" t="s">
        <v>93</v>
      </c>
      <c r="B9" s="2">
        <v>3600000</v>
      </c>
      <c r="C9" s="12">
        <v>0</v>
      </c>
      <c r="D9" s="12">
        <v>-100</v>
      </c>
      <c r="E9" s="12">
        <v>-200</v>
      </c>
      <c r="F9" s="12">
        <v>-1000</v>
      </c>
      <c r="G9" s="12">
        <v>-2000</v>
      </c>
      <c r="H9" s="12">
        <v>-20000</v>
      </c>
      <c r="I9" s="12">
        <v>-100000</v>
      </c>
      <c r="J9" s="12">
        <v>-200000</v>
      </c>
      <c r="K9" s="12">
        <v>-600000</v>
      </c>
      <c r="L9" s="12">
        <v>-1200000</v>
      </c>
      <c r="M9" s="12">
        <v>-2400000</v>
      </c>
      <c r="N9" s="12">
        <v>-4800000</v>
      </c>
    </row>
    <row r="10" spans="1:14" x14ac:dyDescent="0.45">
      <c r="A10" s="12" t="s">
        <v>93</v>
      </c>
      <c r="B10" s="2">
        <v>800000000</v>
      </c>
      <c r="C10" s="12">
        <v>0</v>
      </c>
      <c r="D10" s="12">
        <v>-100</v>
      </c>
      <c r="E10" s="12">
        <v>-200</v>
      </c>
      <c r="F10" s="12">
        <v>-1000</v>
      </c>
      <c r="G10" s="12">
        <v>-2000</v>
      </c>
      <c r="H10" s="12">
        <v>-20000</v>
      </c>
      <c r="I10" s="12">
        <v>-100000</v>
      </c>
      <c r="J10" s="12">
        <v>-200000</v>
      </c>
      <c r="K10" s="12">
        <v>-600000</v>
      </c>
      <c r="L10" s="12">
        <v>-1200000</v>
      </c>
      <c r="M10" s="12">
        <v>-2400000</v>
      </c>
      <c r="N10" s="12">
        <v>-4800000</v>
      </c>
    </row>
    <row r="11" spans="1:14" x14ac:dyDescent="0.45">
      <c r="A11" s="12" t="s">
        <v>94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</row>
    <row r="12" spans="1:14" x14ac:dyDescent="0.45">
      <c r="A12" s="12" t="s">
        <v>94</v>
      </c>
      <c r="B12" s="2">
        <v>3600000</v>
      </c>
      <c r="C12" s="12">
        <v>0</v>
      </c>
      <c r="D12" s="12">
        <v>-100</v>
      </c>
      <c r="E12" s="12">
        <v>-200</v>
      </c>
      <c r="F12" s="12">
        <v>-1000</v>
      </c>
      <c r="G12" s="12">
        <v>-2000</v>
      </c>
      <c r="H12" s="12">
        <v>-20000</v>
      </c>
      <c r="I12" s="12">
        <v>-100000</v>
      </c>
      <c r="J12" s="12">
        <v>-200000</v>
      </c>
      <c r="K12" s="12">
        <v>-600000</v>
      </c>
      <c r="L12" s="12">
        <v>-1200000</v>
      </c>
      <c r="M12" s="12">
        <v>-2400000</v>
      </c>
      <c r="N12" s="12">
        <v>-4800000</v>
      </c>
    </row>
    <row r="13" spans="1:14" x14ac:dyDescent="0.45">
      <c r="A13" s="12" t="s">
        <v>94</v>
      </c>
      <c r="B13" s="2">
        <v>800000000</v>
      </c>
      <c r="C13" s="12">
        <v>0</v>
      </c>
      <c r="D13" s="12">
        <v>-100</v>
      </c>
      <c r="E13" s="12">
        <v>-200</v>
      </c>
      <c r="F13" s="12">
        <v>-1000</v>
      </c>
      <c r="G13" s="12">
        <v>-2000</v>
      </c>
      <c r="H13" s="12">
        <v>-20000</v>
      </c>
      <c r="I13" s="12">
        <v>-100000</v>
      </c>
      <c r="J13" s="12">
        <v>-200000</v>
      </c>
      <c r="K13" s="12">
        <v>-600000</v>
      </c>
      <c r="L13" s="12">
        <v>-1200000</v>
      </c>
      <c r="M13" s="12">
        <v>-2400000</v>
      </c>
      <c r="N13" s="12">
        <v>-4800000</v>
      </c>
    </row>
    <row r="14" spans="1:14" x14ac:dyDescent="0.45">
      <c r="A14" s="12" t="s">
        <v>95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</row>
    <row r="15" spans="1:14" x14ac:dyDescent="0.45">
      <c r="A15" s="12" t="s">
        <v>95</v>
      </c>
      <c r="B15" s="2">
        <v>3600000</v>
      </c>
      <c r="C15" s="12">
        <v>0</v>
      </c>
      <c r="D15" s="12">
        <v>-100</v>
      </c>
      <c r="E15" s="12">
        <v>-200</v>
      </c>
      <c r="F15" s="12">
        <v>-1000</v>
      </c>
      <c r="G15" s="12">
        <v>-2000</v>
      </c>
      <c r="H15" s="12">
        <v>-20000</v>
      </c>
      <c r="I15" s="12">
        <v>-100000</v>
      </c>
      <c r="J15" s="12">
        <v>-200000</v>
      </c>
      <c r="K15" s="12">
        <v>-600000</v>
      </c>
      <c r="L15" s="12">
        <v>-1200000</v>
      </c>
      <c r="M15" s="12">
        <v>-2400000</v>
      </c>
      <c r="N15" s="12">
        <v>-4800000</v>
      </c>
    </row>
    <row r="16" spans="1:14" x14ac:dyDescent="0.45">
      <c r="A16" s="12" t="s">
        <v>95</v>
      </c>
      <c r="B16" s="2">
        <v>800000000</v>
      </c>
      <c r="C16" s="12">
        <v>0</v>
      </c>
      <c r="D16" s="12">
        <v>-100</v>
      </c>
      <c r="E16" s="12">
        <v>-200</v>
      </c>
      <c r="F16" s="12">
        <v>-1000</v>
      </c>
      <c r="G16" s="12">
        <v>-2000</v>
      </c>
      <c r="H16" s="12">
        <v>-20000</v>
      </c>
      <c r="I16" s="12">
        <v>-100000</v>
      </c>
      <c r="J16" s="12">
        <v>-200000</v>
      </c>
      <c r="K16" s="12">
        <v>-600000</v>
      </c>
      <c r="L16" s="12">
        <v>-1200000</v>
      </c>
      <c r="M16" s="12">
        <v>-2400000</v>
      </c>
      <c r="N16" s="12">
        <v>-4800000</v>
      </c>
    </row>
    <row r="18" spans="2:18" x14ac:dyDescent="0.4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O18" s="2"/>
      <c r="P18" s="2"/>
      <c r="Q18" s="2"/>
      <c r="R18" s="2"/>
    </row>
    <row r="19" spans="2:18" x14ac:dyDescent="0.45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2:18" x14ac:dyDescent="0.4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8" x14ac:dyDescent="0.45">
      <c r="E21" s="2"/>
      <c r="F21" s="2"/>
      <c r="G21" s="2"/>
      <c r="H21" s="2"/>
      <c r="I21" s="2"/>
      <c r="J21" s="2"/>
      <c r="K21" s="2"/>
      <c r="L21" s="2"/>
      <c r="M21" s="2"/>
    </row>
    <row r="22" spans="2:18" x14ac:dyDescent="0.45">
      <c r="E22" s="2"/>
      <c r="F22" s="2"/>
      <c r="G22" s="2"/>
      <c r="H22" s="2"/>
      <c r="I22" s="2"/>
      <c r="J22" s="2"/>
      <c r="K22" s="2"/>
      <c r="L22" s="2"/>
      <c r="M22" s="2"/>
    </row>
    <row r="23" spans="2:18" x14ac:dyDescent="0.4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8" x14ac:dyDescent="0.45">
      <c r="E24" s="2"/>
      <c r="F24" s="2"/>
      <c r="G24" s="2"/>
      <c r="H24" s="2"/>
      <c r="I24" s="2"/>
      <c r="J24" s="2"/>
      <c r="K24" s="2"/>
      <c r="L24" s="2"/>
      <c r="M24" s="2"/>
    </row>
    <row r="25" spans="2:18" x14ac:dyDescent="0.45">
      <c r="E25" s="2"/>
      <c r="F25" s="2"/>
      <c r="G25" s="2"/>
      <c r="H25" s="2"/>
      <c r="I25" s="2"/>
      <c r="J25" s="2"/>
      <c r="K25" s="2"/>
      <c r="L25" s="2"/>
      <c r="M25" s="2"/>
    </row>
    <row r="26" spans="2:18" x14ac:dyDescent="0.4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8" x14ac:dyDescent="0.45">
      <c r="E27" s="2"/>
      <c r="F27" s="2"/>
      <c r="G27" s="2"/>
      <c r="H27" s="2"/>
      <c r="I27" s="2"/>
      <c r="J27" s="2"/>
      <c r="K27" s="2"/>
      <c r="L27" s="2"/>
      <c r="M27" s="2"/>
    </row>
    <row r="28" spans="2:18" x14ac:dyDescent="0.45">
      <c r="E28" s="2"/>
      <c r="F28" s="2"/>
      <c r="G28" s="2"/>
      <c r="H28" s="2"/>
      <c r="I28" s="2"/>
      <c r="J28" s="2"/>
      <c r="K28" s="2"/>
      <c r="L28" s="2"/>
      <c r="M28" s="2"/>
    </row>
    <row r="29" spans="2:18" x14ac:dyDescent="0.45">
      <c r="E29" s="2"/>
      <c r="F29" s="2"/>
      <c r="G29" s="2"/>
      <c r="H29" s="2"/>
      <c r="I29" s="2"/>
      <c r="J29" s="2"/>
      <c r="K29" s="2"/>
      <c r="L29" s="2"/>
      <c r="M29" s="2"/>
    </row>
    <row r="30" spans="2:18" x14ac:dyDescent="0.45">
      <c r="E30" s="2"/>
      <c r="F30" s="2"/>
      <c r="G30" s="2"/>
      <c r="H30" s="2"/>
      <c r="I30" s="2"/>
      <c r="J30" s="2"/>
      <c r="K30" s="2"/>
      <c r="L30" s="2"/>
      <c r="M30" s="2"/>
    </row>
    <row r="31" spans="2:18" x14ac:dyDescent="0.45">
      <c r="E31" s="2"/>
      <c r="F31" s="2"/>
      <c r="G31" s="2"/>
      <c r="H31" s="2"/>
      <c r="I31" s="2"/>
      <c r="J31" s="2"/>
      <c r="K31" s="2"/>
      <c r="L31" s="2"/>
      <c r="M31" s="2"/>
    </row>
    <row r="32" spans="2:18" x14ac:dyDescent="0.45">
      <c r="E32" s="2"/>
      <c r="F32" s="2"/>
    </row>
    <row r="33" spans="5:13" x14ac:dyDescent="0.45">
      <c r="E33" s="2"/>
      <c r="F33" s="2"/>
      <c r="G33" s="2"/>
      <c r="H33" s="2"/>
      <c r="I33" s="2"/>
      <c r="J33" s="2"/>
      <c r="K33" s="2"/>
      <c r="L33" s="2"/>
      <c r="M33" s="2"/>
    </row>
    <row r="34" spans="5:13" x14ac:dyDescent="0.45">
      <c r="E34" s="2"/>
      <c r="F34" s="2"/>
    </row>
    <row r="35" spans="5:13" x14ac:dyDescent="0.45">
      <c r="E35" s="2"/>
      <c r="F35" s="2"/>
    </row>
    <row r="36" spans="5:13" x14ac:dyDescent="0.45">
      <c r="E36" s="2"/>
      <c r="F36" s="2"/>
    </row>
    <row r="37" spans="5:13" x14ac:dyDescent="0.45">
      <c r="E37" s="2"/>
      <c r="F37" s="2"/>
    </row>
    <row r="38" spans="5:13" x14ac:dyDescent="0.45">
      <c r="E38" s="2"/>
      <c r="F38" s="2"/>
    </row>
    <row r="39" spans="5:13" x14ac:dyDescent="0.45">
      <c r="E39" s="2"/>
      <c r="F39" s="2"/>
    </row>
    <row r="40" spans="5:13" x14ac:dyDescent="0.45">
      <c r="E40" s="2"/>
      <c r="F40" s="2"/>
    </row>
    <row r="41" spans="5:13" x14ac:dyDescent="0.45">
      <c r="E41" s="2"/>
      <c r="F41" s="2"/>
    </row>
    <row r="42" spans="5:13" x14ac:dyDescent="0.45">
      <c r="E42" s="2"/>
      <c r="F42" s="2"/>
    </row>
    <row r="43" spans="5:13" x14ac:dyDescent="0.45">
      <c r="E43" s="2"/>
      <c r="F43" s="2"/>
    </row>
    <row r="44" spans="5:13" x14ac:dyDescent="0.45">
      <c r="E44" s="2"/>
      <c r="F44" s="2"/>
    </row>
  </sheetData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1BDA-8DD4-46BA-AD8C-0AB3FD0C776D}">
  <dimension ref="A1:AJ36"/>
  <sheetViews>
    <sheetView workbookViewId="0">
      <selection activeCell="D10" sqref="D10"/>
    </sheetView>
  </sheetViews>
  <sheetFormatPr baseColWidth="10" defaultRowHeight="14.25" x14ac:dyDescent="0.45"/>
  <cols>
    <col min="1" max="1" width="16.265625" style="17" bestFit="1" customWidth="1"/>
    <col min="2" max="16384" width="10.6640625" style="17"/>
  </cols>
  <sheetData>
    <row r="1" spans="1:36" x14ac:dyDescent="0.45">
      <c r="A1" s="17" t="s">
        <v>35</v>
      </c>
      <c r="B1" s="17" t="s">
        <v>397</v>
      </c>
    </row>
    <row r="2" spans="1:36" x14ac:dyDescent="0.45">
      <c r="A2" s="17" t="s">
        <v>264</v>
      </c>
      <c r="B2" s="18">
        <v>-6.666666666666667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x14ac:dyDescent="0.45">
      <c r="A3" s="17" t="s">
        <v>265</v>
      </c>
      <c r="B3" s="18">
        <v>-55.666666666666664</v>
      </c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F3" s="19"/>
      <c r="AG3" s="19"/>
      <c r="AH3" s="19"/>
      <c r="AI3" s="19"/>
      <c r="AJ3" s="19"/>
    </row>
    <row r="4" spans="1:36" x14ac:dyDescent="0.45">
      <c r="A4" s="17" t="s">
        <v>266</v>
      </c>
      <c r="B4" s="18">
        <v>-536.33333333333337</v>
      </c>
      <c r="C4" s="18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</row>
    <row r="5" spans="1:36" x14ac:dyDescent="0.45">
      <c r="A5" s="17" t="s">
        <v>267</v>
      </c>
      <c r="B5" s="18">
        <v>-5336</v>
      </c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F5" s="19"/>
      <c r="AG5" s="19"/>
      <c r="AH5" s="19"/>
      <c r="AI5" s="19"/>
      <c r="AJ5" s="19"/>
    </row>
    <row r="6" spans="1:36" x14ac:dyDescent="0.45">
      <c r="A6" s="17" t="s">
        <v>125</v>
      </c>
      <c r="B6" s="18">
        <v>-53131.666666666664</v>
      </c>
      <c r="C6" s="18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</row>
    <row r="7" spans="1:36" x14ac:dyDescent="0.45">
      <c r="A7" s="17" t="s">
        <v>268</v>
      </c>
      <c r="B7" s="18">
        <v>-9</v>
      </c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</row>
    <row r="8" spans="1:36" x14ac:dyDescent="0.45">
      <c r="A8" s="17" t="s">
        <v>269</v>
      </c>
      <c r="B8" s="18">
        <v>-66.666666666666671</v>
      </c>
      <c r="C8" s="18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F8" s="19"/>
      <c r="AG8" s="19"/>
      <c r="AH8" s="19"/>
      <c r="AI8" s="19"/>
      <c r="AJ8" s="19"/>
    </row>
    <row r="9" spans="1:36" x14ac:dyDescent="0.45">
      <c r="A9" s="17" t="s">
        <v>270</v>
      </c>
      <c r="B9" s="18">
        <v>-556</v>
      </c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</row>
    <row r="10" spans="1:36" x14ac:dyDescent="0.45">
      <c r="A10" s="17" t="s">
        <v>271</v>
      </c>
      <c r="B10" s="18">
        <v>-5358</v>
      </c>
      <c r="C10" s="18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F10" s="19"/>
      <c r="AG10" s="19"/>
      <c r="AH10" s="19"/>
      <c r="AI10" s="19"/>
      <c r="AJ10" s="19"/>
    </row>
    <row r="11" spans="1:36" x14ac:dyDescent="0.45">
      <c r="A11" s="17" t="s">
        <v>126</v>
      </c>
      <c r="B11" s="18">
        <v>-53153</v>
      </c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</row>
    <row r="12" spans="1:36" x14ac:dyDescent="0.45">
      <c r="A12" s="17" t="s">
        <v>272</v>
      </c>
      <c r="B12" s="18">
        <v>-13</v>
      </c>
      <c r="C12" s="18"/>
      <c r="D12" s="18"/>
    </row>
    <row r="13" spans="1:36" x14ac:dyDescent="0.45">
      <c r="A13" s="17" t="s">
        <v>273</v>
      </c>
      <c r="B13" s="18">
        <v>-90</v>
      </c>
      <c r="C13" s="18"/>
      <c r="D13" s="18"/>
    </row>
    <row r="14" spans="1:36" x14ac:dyDescent="0.45">
      <c r="A14" s="17" t="s">
        <v>274</v>
      </c>
      <c r="B14" s="18">
        <v>-663.66666666666663</v>
      </c>
      <c r="C14" s="18"/>
      <c r="D14" s="18"/>
    </row>
    <row r="15" spans="1:36" x14ac:dyDescent="0.45">
      <c r="A15" s="17" t="s">
        <v>275</v>
      </c>
      <c r="B15" s="18">
        <v>-5556.666666666667</v>
      </c>
      <c r="C15" s="18"/>
      <c r="D15" s="18"/>
    </row>
    <row r="16" spans="1:36" x14ac:dyDescent="0.45">
      <c r="A16" s="17" t="s">
        <v>276</v>
      </c>
      <c r="B16" s="18">
        <v>-53385</v>
      </c>
      <c r="C16" s="18"/>
      <c r="D16" s="18"/>
    </row>
    <row r="17" spans="1:4" x14ac:dyDescent="0.45">
      <c r="A17" s="17" t="s">
        <v>291</v>
      </c>
      <c r="B17" s="18">
        <v>-21</v>
      </c>
      <c r="C17" s="18"/>
      <c r="D17" s="18"/>
    </row>
    <row r="18" spans="1:4" x14ac:dyDescent="0.45">
      <c r="A18" s="17" t="s">
        <v>292</v>
      </c>
      <c r="B18" s="18">
        <v>-127.66666666666667</v>
      </c>
      <c r="C18" s="18"/>
      <c r="D18" s="18"/>
    </row>
    <row r="19" spans="1:4" x14ac:dyDescent="0.45">
      <c r="A19" s="17" t="s">
        <v>293</v>
      </c>
      <c r="B19" s="18">
        <v>-898.33333333333337</v>
      </c>
      <c r="C19" s="18"/>
      <c r="D19" s="18"/>
    </row>
    <row r="20" spans="1:4" x14ac:dyDescent="0.45">
      <c r="A20" s="17" t="s">
        <v>294</v>
      </c>
      <c r="B20" s="18">
        <v>-6638</v>
      </c>
      <c r="C20" s="18"/>
      <c r="D20" s="18"/>
    </row>
    <row r="21" spans="1:4" x14ac:dyDescent="0.45">
      <c r="A21" s="17" t="s">
        <v>295</v>
      </c>
      <c r="B21" s="18">
        <v>-55480.666666666664</v>
      </c>
      <c r="C21" s="18"/>
      <c r="D21" s="18"/>
    </row>
    <row r="22" spans="1:4" x14ac:dyDescent="0.45">
      <c r="A22" s="17" t="s">
        <v>240</v>
      </c>
      <c r="B22" s="18">
        <v>-46</v>
      </c>
      <c r="C22" s="18"/>
      <c r="D22" s="18"/>
    </row>
    <row r="23" spans="1:4" x14ac:dyDescent="0.45">
      <c r="A23" s="17" t="s">
        <v>241</v>
      </c>
      <c r="B23" s="18">
        <v>-209</v>
      </c>
      <c r="C23" s="18"/>
      <c r="D23" s="18"/>
    </row>
    <row r="24" spans="1:4" x14ac:dyDescent="0.45">
      <c r="A24" s="17" t="s">
        <v>242</v>
      </c>
      <c r="B24" s="18">
        <v>-1274.3333333333333</v>
      </c>
      <c r="C24" s="18"/>
      <c r="D24" s="18"/>
    </row>
    <row r="25" spans="1:4" x14ac:dyDescent="0.45">
      <c r="A25" s="17" t="s">
        <v>243</v>
      </c>
      <c r="B25" s="18">
        <v>-8967.3333333333339</v>
      </c>
      <c r="C25" s="18"/>
      <c r="D25" s="18"/>
    </row>
    <row r="26" spans="1:4" x14ac:dyDescent="0.45">
      <c r="A26" s="17" t="s">
        <v>244</v>
      </c>
      <c r="B26" s="18">
        <v>-66793</v>
      </c>
      <c r="C26" s="18"/>
      <c r="D26" s="18"/>
    </row>
    <row r="27" spans="1:4" x14ac:dyDescent="0.45">
      <c r="A27" s="17" t="s">
        <v>296</v>
      </c>
      <c r="B27" s="18">
        <v>-150.66666666666666</v>
      </c>
      <c r="C27" s="18"/>
      <c r="D27" s="18"/>
    </row>
    <row r="28" spans="1:4" x14ac:dyDescent="0.45">
      <c r="A28" s="17" t="s">
        <v>297</v>
      </c>
      <c r="B28" s="18">
        <v>-458</v>
      </c>
      <c r="C28" s="18"/>
      <c r="D28" s="18"/>
    </row>
    <row r="29" spans="1:4" x14ac:dyDescent="0.45">
      <c r="A29" s="17" t="s">
        <v>298</v>
      </c>
      <c r="B29" s="18">
        <v>-2087</v>
      </c>
      <c r="C29" s="18"/>
      <c r="D29" s="18"/>
    </row>
    <row r="30" spans="1:4" x14ac:dyDescent="0.45">
      <c r="A30" s="17" t="s">
        <v>299</v>
      </c>
      <c r="B30" s="18">
        <v>-12728.666666666666</v>
      </c>
      <c r="C30" s="18"/>
      <c r="D30" s="18"/>
    </row>
    <row r="31" spans="1:4" x14ac:dyDescent="0.45">
      <c r="A31" s="17" t="s">
        <v>300</v>
      </c>
      <c r="B31" s="18">
        <v>-89361.333333333328</v>
      </c>
      <c r="C31" s="18"/>
      <c r="D31" s="18"/>
    </row>
    <row r="32" spans="1:4" x14ac:dyDescent="0.45">
      <c r="A32" s="17" t="s">
        <v>245</v>
      </c>
      <c r="B32" s="18">
        <v>-458.33333333333331</v>
      </c>
      <c r="C32" s="18"/>
      <c r="D32" s="18"/>
    </row>
    <row r="33" spans="1:4" x14ac:dyDescent="0.45">
      <c r="A33" s="17" t="s">
        <v>246</v>
      </c>
      <c r="B33" s="18">
        <v>-1468.6666666666667</v>
      </c>
      <c r="C33" s="18"/>
      <c r="D33" s="18"/>
    </row>
    <row r="34" spans="1:4" x14ac:dyDescent="0.45">
      <c r="A34" s="17" t="s">
        <v>247</v>
      </c>
      <c r="B34" s="18">
        <v>-4507.333333333333</v>
      </c>
      <c r="C34" s="18"/>
      <c r="D34" s="18"/>
    </row>
    <row r="35" spans="1:4" x14ac:dyDescent="0.45">
      <c r="A35" s="17" t="s">
        <v>248</v>
      </c>
      <c r="B35" s="18">
        <v>-20684.333333333332</v>
      </c>
      <c r="C35" s="18"/>
      <c r="D35" s="18"/>
    </row>
    <row r="36" spans="1:4" x14ac:dyDescent="0.45">
      <c r="A36" s="17" t="s">
        <v>249</v>
      </c>
      <c r="B36" s="18">
        <v>-126543.33333333333</v>
      </c>
      <c r="C36" s="18"/>
      <c r="D36" s="18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0"/>
  <sheetViews>
    <sheetView zoomScale="60" zoomScaleNormal="60" workbookViewId="0">
      <selection activeCell="C14" sqref="C14"/>
    </sheetView>
  </sheetViews>
  <sheetFormatPr baseColWidth="10" defaultRowHeight="14.25" x14ac:dyDescent="0.45"/>
  <cols>
    <col min="2" max="4" width="17.06640625" bestFit="1" customWidth="1"/>
  </cols>
  <sheetData>
    <row r="1" spans="1:36" x14ac:dyDescent="0.45">
      <c r="A1" s="12" t="s">
        <v>35</v>
      </c>
      <c r="B1" s="12" t="s">
        <v>264</v>
      </c>
      <c r="C1" s="12" t="s">
        <v>265</v>
      </c>
      <c r="D1" s="12" t="s">
        <v>266</v>
      </c>
      <c r="E1" s="12" t="s">
        <v>267</v>
      </c>
      <c r="F1" s="12" t="s">
        <v>125</v>
      </c>
      <c r="G1" s="12" t="s">
        <v>268</v>
      </c>
      <c r="H1" s="12" t="s">
        <v>269</v>
      </c>
      <c r="I1" s="12" t="s">
        <v>270</v>
      </c>
      <c r="J1" s="12" t="s">
        <v>271</v>
      </c>
      <c r="K1" s="12" t="s">
        <v>126</v>
      </c>
      <c r="L1" s="12" t="s">
        <v>272</v>
      </c>
      <c r="M1" s="12" t="s">
        <v>273</v>
      </c>
      <c r="N1" s="12" t="s">
        <v>274</v>
      </c>
      <c r="O1" s="12" t="s">
        <v>275</v>
      </c>
      <c r="P1" s="12" t="s">
        <v>276</v>
      </c>
      <c r="Q1" s="12" t="s">
        <v>291</v>
      </c>
      <c r="R1" s="12" t="s">
        <v>292</v>
      </c>
      <c r="S1" s="12" t="s">
        <v>293</v>
      </c>
      <c r="T1" s="12" t="s">
        <v>294</v>
      </c>
      <c r="U1" s="12" t="s">
        <v>295</v>
      </c>
      <c r="V1" s="12" t="s">
        <v>240</v>
      </c>
      <c r="W1" s="12" t="s">
        <v>241</v>
      </c>
      <c r="X1" s="12" t="s">
        <v>242</v>
      </c>
      <c r="Y1" s="12" t="s">
        <v>243</v>
      </c>
      <c r="Z1" s="12" t="s">
        <v>244</v>
      </c>
      <c r="AA1" s="12" t="s">
        <v>296</v>
      </c>
      <c r="AB1" s="12" t="s">
        <v>297</v>
      </c>
      <c r="AC1" s="12" t="s">
        <v>298</v>
      </c>
      <c r="AD1" s="12" t="s">
        <v>299</v>
      </c>
      <c r="AE1" s="12" t="s">
        <v>300</v>
      </c>
      <c r="AF1" s="12" t="s">
        <v>245</v>
      </c>
      <c r="AG1" s="12" t="s">
        <v>246</v>
      </c>
      <c r="AH1" s="12" t="s">
        <v>247</v>
      </c>
      <c r="AI1" s="12" t="s">
        <v>248</v>
      </c>
      <c r="AJ1" s="12" t="s">
        <v>249</v>
      </c>
    </row>
    <row r="2" spans="1:36" x14ac:dyDescent="0.45">
      <c r="A2" s="16" t="s">
        <v>42</v>
      </c>
      <c r="B2" s="13">
        <v>8.6400000000000001E-3</v>
      </c>
      <c r="C2" s="13">
        <v>8.6400000000000005E-2</v>
      </c>
      <c r="D2" s="13">
        <v>0.86399999999999999</v>
      </c>
      <c r="E2" s="13">
        <v>8.64</v>
      </c>
      <c r="F2" s="13">
        <v>86.4</v>
      </c>
      <c r="G2" s="13">
        <v>8.6400000000000001E-3</v>
      </c>
      <c r="H2" s="13">
        <v>8.6400000000000005E-2</v>
      </c>
      <c r="I2" s="13">
        <v>0.86399999999999999</v>
      </c>
      <c r="J2" s="13">
        <v>8.64</v>
      </c>
      <c r="K2" s="13">
        <v>86.4</v>
      </c>
      <c r="L2" s="13">
        <v>8.6400000000000001E-3</v>
      </c>
      <c r="M2" s="13">
        <v>8.6400000000000005E-2</v>
      </c>
      <c r="N2" s="13">
        <v>0.86399999999999999</v>
      </c>
      <c r="O2" s="13">
        <v>8.64</v>
      </c>
      <c r="P2" s="13">
        <v>86.4</v>
      </c>
      <c r="Q2" s="13">
        <v>8.6400000000000001E-3</v>
      </c>
      <c r="R2" s="13">
        <v>8.6400000000000005E-2</v>
      </c>
      <c r="S2" s="13">
        <v>0.86399999999999999</v>
      </c>
      <c r="T2" s="13">
        <v>8.64</v>
      </c>
      <c r="U2" s="13">
        <v>86.4</v>
      </c>
      <c r="V2" s="13">
        <v>8.6400000000000001E-3</v>
      </c>
      <c r="W2" s="13">
        <v>8.6400000000000005E-2</v>
      </c>
      <c r="X2" s="13">
        <v>0.86399999999999999</v>
      </c>
      <c r="Y2" s="13">
        <v>8.64</v>
      </c>
      <c r="Z2" s="13">
        <v>86.4</v>
      </c>
      <c r="AA2" s="13">
        <v>8.6400000000000001E-3</v>
      </c>
      <c r="AB2" s="13">
        <v>8.6400000000000005E-2</v>
      </c>
      <c r="AC2" s="13">
        <v>0.86399999999999999</v>
      </c>
      <c r="AD2" s="13">
        <v>8.64</v>
      </c>
      <c r="AE2" s="13">
        <v>86.4</v>
      </c>
      <c r="AF2" s="13">
        <v>8.6400000000000001E-3</v>
      </c>
      <c r="AG2" s="13">
        <v>8.6400000000000005E-2</v>
      </c>
      <c r="AH2" s="13">
        <v>0.86399999999999999</v>
      </c>
      <c r="AI2" s="13">
        <v>8.64</v>
      </c>
      <c r="AJ2" s="13">
        <v>86.4</v>
      </c>
    </row>
    <row r="3" spans="1:36" x14ac:dyDescent="0.45">
      <c r="A3" s="16" t="s">
        <v>46</v>
      </c>
      <c r="B3" s="14">
        <v>8.6399999999999999E-9</v>
      </c>
      <c r="C3" s="14">
        <v>8.6399999999999999E-9</v>
      </c>
      <c r="D3" s="14">
        <v>8.6399999999999999E-9</v>
      </c>
      <c r="E3" s="14">
        <v>8.6399999999999999E-9</v>
      </c>
      <c r="F3" s="14">
        <v>8.6399999999999999E-9</v>
      </c>
      <c r="G3" s="11">
        <v>8.6400000000000006E-8</v>
      </c>
      <c r="H3" s="11">
        <v>8.6400000000000006E-8</v>
      </c>
      <c r="I3" s="11">
        <v>8.6400000000000006E-8</v>
      </c>
      <c r="J3" s="11">
        <v>8.6400000000000006E-8</v>
      </c>
      <c r="K3" s="11">
        <v>8.6400000000000006E-8</v>
      </c>
      <c r="L3" s="14">
        <v>8.6400000000000001E-7</v>
      </c>
      <c r="M3" s="14">
        <v>8.6400000000000001E-7</v>
      </c>
      <c r="N3" s="14">
        <v>8.6400000000000001E-7</v>
      </c>
      <c r="O3" s="14">
        <v>8.6400000000000001E-7</v>
      </c>
      <c r="P3" s="14">
        <v>8.6400000000000001E-7</v>
      </c>
      <c r="Q3" s="14">
        <v>8.6400000000000003E-6</v>
      </c>
      <c r="R3" s="14">
        <v>8.6400000000000003E-6</v>
      </c>
      <c r="S3" s="14">
        <v>8.6400000000000003E-6</v>
      </c>
      <c r="T3" s="14">
        <v>8.6400000000000003E-6</v>
      </c>
      <c r="U3" s="14">
        <v>8.6400000000000003E-6</v>
      </c>
      <c r="V3" s="14">
        <v>8.6399999999999999E-5</v>
      </c>
      <c r="W3" s="14">
        <v>8.6399999999999999E-5</v>
      </c>
      <c r="X3" s="14">
        <v>8.6399999999999999E-5</v>
      </c>
      <c r="Y3" s="14">
        <v>8.6399999999999999E-5</v>
      </c>
      <c r="Z3" s="14">
        <v>8.6399999999999999E-5</v>
      </c>
      <c r="AA3" s="14">
        <v>8.6399999999999997E-4</v>
      </c>
      <c r="AB3" s="14">
        <v>8.6399999999999997E-4</v>
      </c>
      <c r="AC3" s="14">
        <v>8.6399999999999997E-4</v>
      </c>
      <c r="AD3" s="14">
        <v>8.6399999999999997E-4</v>
      </c>
      <c r="AE3" s="14">
        <v>8.6399999999999997E-4</v>
      </c>
      <c r="AF3" s="14">
        <v>8.6400000000000001E-3</v>
      </c>
      <c r="AG3" s="14">
        <v>8.6400000000000001E-3</v>
      </c>
      <c r="AH3" s="14">
        <v>8.6400000000000001E-3</v>
      </c>
      <c r="AI3" s="14">
        <v>8.6400000000000001E-3</v>
      </c>
      <c r="AJ3" s="14">
        <v>8.6400000000000001E-3</v>
      </c>
    </row>
    <row r="4" spans="1:36" x14ac:dyDescent="0.45">
      <c r="A4" s="16" t="s">
        <v>48</v>
      </c>
      <c r="B4" s="13">
        <v>8.6400000000000001E-3</v>
      </c>
      <c r="C4" s="13">
        <v>8.6400000000000005E-2</v>
      </c>
      <c r="D4" s="13">
        <v>0.86399999999999999</v>
      </c>
      <c r="E4" s="13">
        <v>8.64</v>
      </c>
      <c r="F4" s="13">
        <v>86.4</v>
      </c>
      <c r="G4" s="13">
        <v>8.6400000000000001E-3</v>
      </c>
      <c r="H4" s="13">
        <v>8.6400000000000005E-2</v>
      </c>
      <c r="I4" s="13">
        <v>0.86399999999999999</v>
      </c>
      <c r="J4" s="13">
        <v>8.64</v>
      </c>
      <c r="K4" s="13">
        <v>86.4</v>
      </c>
      <c r="L4" s="13">
        <v>8.6400000000000001E-3</v>
      </c>
      <c r="M4" s="13">
        <v>8.6400000000000005E-2</v>
      </c>
      <c r="N4" s="13">
        <v>0.86399999999999999</v>
      </c>
      <c r="O4" s="13">
        <v>8.64</v>
      </c>
      <c r="P4" s="13">
        <v>86.4</v>
      </c>
      <c r="Q4" s="13">
        <v>8.6400000000000001E-3</v>
      </c>
      <c r="R4" s="13">
        <v>8.6400000000000005E-2</v>
      </c>
      <c r="S4" s="13">
        <v>0.86399999999999999</v>
      </c>
      <c r="T4" s="13">
        <v>8.64</v>
      </c>
      <c r="U4" s="13">
        <v>86.4</v>
      </c>
      <c r="V4" s="13">
        <v>8.6400000000000001E-3</v>
      </c>
      <c r="W4" s="13">
        <v>8.6400000000000005E-2</v>
      </c>
      <c r="X4" s="13">
        <v>0.86399999999999999</v>
      </c>
      <c r="Y4" s="13">
        <v>8.64</v>
      </c>
      <c r="Z4" s="13">
        <v>86.4</v>
      </c>
      <c r="AA4" s="13">
        <v>8.6400000000000001E-3</v>
      </c>
      <c r="AB4" s="13">
        <v>8.6400000000000005E-2</v>
      </c>
      <c r="AC4" s="13">
        <v>0.86399999999999999</v>
      </c>
      <c r="AD4" s="13">
        <v>8.64</v>
      </c>
      <c r="AE4" s="13">
        <v>86.4</v>
      </c>
      <c r="AF4" s="13">
        <v>8.6400000000000001E-3</v>
      </c>
      <c r="AG4" s="13">
        <v>8.6400000000000005E-2</v>
      </c>
      <c r="AH4" s="13">
        <v>0.86399999999999999</v>
      </c>
      <c r="AI4" s="13">
        <v>8.64</v>
      </c>
      <c r="AJ4" s="13">
        <v>86.4</v>
      </c>
    </row>
    <row r="5" spans="1:36" x14ac:dyDescent="0.45">
      <c r="A5" s="16" t="s">
        <v>50</v>
      </c>
      <c r="B5" s="14">
        <v>8.6399999999999999E-9</v>
      </c>
      <c r="C5" s="14">
        <v>8.6399999999999999E-9</v>
      </c>
      <c r="D5" s="14">
        <v>8.6399999999999999E-9</v>
      </c>
      <c r="E5" s="14">
        <v>8.6399999999999999E-9</v>
      </c>
      <c r="F5" s="14">
        <v>8.6399999999999999E-9</v>
      </c>
      <c r="G5" s="11">
        <v>8.6400000000000006E-8</v>
      </c>
      <c r="H5" s="11">
        <v>8.6400000000000006E-8</v>
      </c>
      <c r="I5" s="11">
        <v>8.6400000000000006E-8</v>
      </c>
      <c r="J5" s="11">
        <v>8.6400000000000006E-8</v>
      </c>
      <c r="K5" s="11">
        <v>8.6400000000000006E-8</v>
      </c>
      <c r="L5" s="14">
        <v>8.6400000000000001E-7</v>
      </c>
      <c r="M5" s="14">
        <v>8.6400000000000001E-7</v>
      </c>
      <c r="N5" s="14">
        <v>8.6400000000000001E-7</v>
      </c>
      <c r="O5" s="14">
        <v>8.6400000000000001E-7</v>
      </c>
      <c r="P5" s="14">
        <v>8.6400000000000001E-7</v>
      </c>
      <c r="Q5" s="14">
        <v>8.6400000000000003E-6</v>
      </c>
      <c r="R5" s="14">
        <v>8.6400000000000003E-6</v>
      </c>
      <c r="S5" s="14">
        <v>8.6400000000000003E-6</v>
      </c>
      <c r="T5" s="14">
        <v>8.6400000000000003E-6</v>
      </c>
      <c r="U5" s="14">
        <v>8.6400000000000003E-6</v>
      </c>
      <c r="V5" s="14">
        <v>8.6399999999999999E-5</v>
      </c>
      <c r="W5" s="14">
        <v>8.6399999999999999E-5</v>
      </c>
      <c r="X5" s="14">
        <v>8.6399999999999999E-5</v>
      </c>
      <c r="Y5" s="14">
        <v>8.6399999999999999E-5</v>
      </c>
      <c r="Z5" s="14">
        <v>8.6399999999999999E-5</v>
      </c>
      <c r="AA5" s="14">
        <v>8.6399999999999997E-4</v>
      </c>
      <c r="AB5" s="14">
        <v>8.6399999999999997E-4</v>
      </c>
      <c r="AC5" s="14">
        <v>8.6399999999999997E-4</v>
      </c>
      <c r="AD5" s="14">
        <v>8.6399999999999997E-4</v>
      </c>
      <c r="AE5" s="14">
        <v>8.6399999999999997E-4</v>
      </c>
      <c r="AF5" s="14">
        <v>8.6400000000000001E-3</v>
      </c>
      <c r="AG5" s="14">
        <v>8.6400000000000001E-3</v>
      </c>
      <c r="AH5" s="14">
        <v>8.6400000000000001E-3</v>
      </c>
      <c r="AI5" s="14">
        <v>8.6400000000000001E-3</v>
      </c>
      <c r="AJ5" s="14">
        <v>8.6400000000000001E-3</v>
      </c>
    </row>
    <row r="6" spans="1:36" x14ac:dyDescent="0.45">
      <c r="A6" s="16" t="s">
        <v>52</v>
      </c>
      <c r="B6" s="13">
        <v>8.6400000000000001E-3</v>
      </c>
      <c r="C6" s="13">
        <v>8.6400000000000005E-2</v>
      </c>
      <c r="D6" s="13">
        <v>0.86399999999999999</v>
      </c>
      <c r="E6" s="13">
        <v>8.64</v>
      </c>
      <c r="F6" s="13">
        <v>86.4</v>
      </c>
      <c r="G6" s="13">
        <v>8.6400000000000001E-3</v>
      </c>
      <c r="H6" s="13">
        <v>8.6400000000000005E-2</v>
      </c>
      <c r="I6" s="13">
        <v>0.86399999999999999</v>
      </c>
      <c r="J6" s="13">
        <v>8.64</v>
      </c>
      <c r="K6" s="13">
        <v>86.4</v>
      </c>
      <c r="L6" s="13">
        <v>8.6400000000000001E-3</v>
      </c>
      <c r="M6" s="13">
        <v>8.6400000000000005E-2</v>
      </c>
      <c r="N6" s="13">
        <v>0.86399999999999999</v>
      </c>
      <c r="O6" s="13">
        <v>8.64</v>
      </c>
      <c r="P6" s="13">
        <v>86.4</v>
      </c>
      <c r="Q6" s="13">
        <v>8.6400000000000001E-3</v>
      </c>
      <c r="R6" s="13">
        <v>8.6400000000000005E-2</v>
      </c>
      <c r="S6" s="13">
        <v>0.86399999999999999</v>
      </c>
      <c r="T6" s="13">
        <v>8.64</v>
      </c>
      <c r="U6" s="13">
        <v>86.4</v>
      </c>
      <c r="V6" s="13">
        <v>8.6400000000000001E-3</v>
      </c>
      <c r="W6" s="13">
        <v>8.6400000000000005E-2</v>
      </c>
      <c r="X6" s="13">
        <v>0.86399999999999999</v>
      </c>
      <c r="Y6" s="13">
        <v>8.64</v>
      </c>
      <c r="Z6" s="13">
        <v>86.4</v>
      </c>
      <c r="AA6" s="13">
        <v>8.6400000000000001E-3</v>
      </c>
      <c r="AB6" s="13">
        <v>8.6400000000000005E-2</v>
      </c>
      <c r="AC6" s="13">
        <v>0.86399999999999999</v>
      </c>
      <c r="AD6" s="13">
        <v>8.64</v>
      </c>
      <c r="AE6" s="13">
        <v>86.4</v>
      </c>
      <c r="AF6" s="13">
        <v>8.6400000000000001E-3</v>
      </c>
      <c r="AG6" s="13">
        <v>8.6400000000000005E-2</v>
      </c>
      <c r="AH6" s="13">
        <v>0.86399999999999999</v>
      </c>
      <c r="AI6" s="13">
        <v>8.64</v>
      </c>
      <c r="AJ6" s="13">
        <v>86.4</v>
      </c>
    </row>
    <row r="7" spans="1:36" x14ac:dyDescent="0.45">
      <c r="A7" s="16" t="s">
        <v>54</v>
      </c>
      <c r="B7" s="13">
        <v>8.6400000000000001E-3</v>
      </c>
      <c r="C7" s="13">
        <v>8.6400000000000005E-2</v>
      </c>
      <c r="D7" s="13">
        <v>0.86399999999999999</v>
      </c>
      <c r="E7" s="13">
        <v>8.64</v>
      </c>
      <c r="F7" s="13">
        <v>86.4</v>
      </c>
      <c r="G7" s="13">
        <v>8.6400000000000001E-3</v>
      </c>
      <c r="H7" s="13">
        <v>8.6400000000000005E-2</v>
      </c>
      <c r="I7" s="13">
        <v>0.86399999999999999</v>
      </c>
      <c r="J7" s="13">
        <v>8.64</v>
      </c>
      <c r="K7" s="13">
        <v>86.4</v>
      </c>
      <c r="L7" s="13">
        <v>8.6400000000000001E-3</v>
      </c>
      <c r="M7" s="13">
        <v>8.6400000000000005E-2</v>
      </c>
      <c r="N7" s="13">
        <v>0.86399999999999999</v>
      </c>
      <c r="O7" s="13">
        <v>8.64</v>
      </c>
      <c r="P7" s="13">
        <v>86.4</v>
      </c>
      <c r="Q7" s="13">
        <v>8.6400000000000001E-3</v>
      </c>
      <c r="R7" s="13">
        <v>8.6400000000000005E-2</v>
      </c>
      <c r="S7" s="13">
        <v>0.86399999999999999</v>
      </c>
      <c r="T7" s="13">
        <v>8.64</v>
      </c>
      <c r="U7" s="13">
        <v>86.4</v>
      </c>
      <c r="V7" s="13">
        <v>8.6400000000000001E-3</v>
      </c>
      <c r="W7" s="13">
        <v>8.6400000000000005E-2</v>
      </c>
      <c r="X7" s="13">
        <v>0.86399999999999999</v>
      </c>
      <c r="Y7" s="13">
        <v>8.64</v>
      </c>
      <c r="Z7" s="13">
        <v>86.4</v>
      </c>
      <c r="AA7" s="13">
        <v>8.6400000000000001E-3</v>
      </c>
      <c r="AB7" s="13">
        <v>8.6400000000000005E-2</v>
      </c>
      <c r="AC7" s="13">
        <v>0.86399999999999999</v>
      </c>
      <c r="AD7" s="13">
        <v>8.64</v>
      </c>
      <c r="AE7" s="13">
        <v>86.4</v>
      </c>
      <c r="AF7" s="13">
        <v>8.6400000000000001E-3</v>
      </c>
      <c r="AG7" s="13">
        <v>8.6400000000000005E-2</v>
      </c>
      <c r="AH7" s="13">
        <v>0.86399999999999999</v>
      </c>
      <c r="AI7" s="13">
        <v>8.64</v>
      </c>
      <c r="AJ7" s="13">
        <v>86.4</v>
      </c>
    </row>
    <row r="8" spans="1:36" x14ac:dyDescent="0.45">
      <c r="A8" s="16" t="s">
        <v>55</v>
      </c>
      <c r="B8" s="14">
        <v>8.6399999999999999E-9</v>
      </c>
      <c r="C8" s="14">
        <v>8.6399999999999999E-9</v>
      </c>
      <c r="D8" s="14">
        <v>8.6399999999999999E-9</v>
      </c>
      <c r="E8" s="14">
        <v>8.6399999999999999E-9</v>
      </c>
      <c r="F8" s="14">
        <v>8.6399999999999999E-9</v>
      </c>
      <c r="G8" s="11">
        <v>8.6400000000000006E-8</v>
      </c>
      <c r="H8" s="11">
        <v>8.6400000000000006E-8</v>
      </c>
      <c r="I8" s="11">
        <v>8.6400000000000006E-8</v>
      </c>
      <c r="J8" s="11">
        <v>8.6400000000000006E-8</v>
      </c>
      <c r="K8" s="11">
        <v>8.6400000000000006E-8</v>
      </c>
      <c r="L8" s="14">
        <v>8.6400000000000001E-7</v>
      </c>
      <c r="M8" s="14">
        <v>8.6400000000000001E-7</v>
      </c>
      <c r="N8" s="14">
        <v>8.6400000000000001E-7</v>
      </c>
      <c r="O8" s="14">
        <v>8.6400000000000001E-7</v>
      </c>
      <c r="P8" s="14">
        <v>8.6400000000000001E-7</v>
      </c>
      <c r="Q8" s="14">
        <v>8.6400000000000003E-6</v>
      </c>
      <c r="R8" s="14">
        <v>8.6400000000000003E-6</v>
      </c>
      <c r="S8" s="14">
        <v>8.6400000000000003E-6</v>
      </c>
      <c r="T8" s="14">
        <v>8.6400000000000003E-6</v>
      </c>
      <c r="U8" s="14">
        <v>8.6400000000000003E-6</v>
      </c>
      <c r="V8" s="14">
        <v>8.6399999999999999E-5</v>
      </c>
      <c r="W8" s="14">
        <v>8.6399999999999999E-5</v>
      </c>
      <c r="X8" s="14">
        <v>8.6399999999999999E-5</v>
      </c>
      <c r="Y8" s="14">
        <v>8.6399999999999999E-5</v>
      </c>
      <c r="Z8" s="14">
        <v>8.6399999999999999E-5</v>
      </c>
      <c r="AA8" s="14">
        <v>8.6399999999999997E-4</v>
      </c>
      <c r="AB8" s="14">
        <v>8.6399999999999997E-4</v>
      </c>
      <c r="AC8" s="14">
        <v>8.6399999999999997E-4</v>
      </c>
      <c r="AD8" s="14">
        <v>8.6399999999999997E-4</v>
      </c>
      <c r="AE8" s="14">
        <v>8.6399999999999997E-4</v>
      </c>
      <c r="AF8" s="14">
        <v>8.6400000000000001E-3</v>
      </c>
      <c r="AG8" s="14">
        <v>8.6400000000000001E-3</v>
      </c>
      <c r="AH8" s="14">
        <v>8.6400000000000001E-3</v>
      </c>
      <c r="AI8" s="14">
        <v>8.6400000000000001E-3</v>
      </c>
      <c r="AJ8" s="14">
        <v>8.6400000000000001E-3</v>
      </c>
    </row>
    <row r="9" spans="1:36" x14ac:dyDescent="0.45">
      <c r="A9" s="16" t="s">
        <v>56</v>
      </c>
      <c r="B9" s="13">
        <v>8.6400000000000001E-3</v>
      </c>
      <c r="C9" s="13">
        <v>8.6400000000000005E-2</v>
      </c>
      <c r="D9" s="13">
        <v>0.86399999999999999</v>
      </c>
      <c r="E9" s="13">
        <v>8.64</v>
      </c>
      <c r="F9" s="13">
        <v>86.4</v>
      </c>
      <c r="G9" s="13">
        <v>8.6400000000000001E-3</v>
      </c>
      <c r="H9" s="13">
        <v>8.6400000000000005E-2</v>
      </c>
      <c r="I9" s="13">
        <v>0.86399999999999999</v>
      </c>
      <c r="J9" s="13">
        <v>8.64</v>
      </c>
      <c r="K9" s="13">
        <v>86.4</v>
      </c>
      <c r="L9" s="13">
        <v>8.6400000000000001E-3</v>
      </c>
      <c r="M9" s="13">
        <v>8.6400000000000005E-2</v>
      </c>
      <c r="N9" s="13">
        <v>0.86399999999999999</v>
      </c>
      <c r="O9" s="13">
        <v>8.64</v>
      </c>
      <c r="P9" s="13">
        <v>86.4</v>
      </c>
      <c r="Q9" s="13">
        <v>8.6400000000000001E-3</v>
      </c>
      <c r="R9" s="13">
        <v>8.6400000000000005E-2</v>
      </c>
      <c r="S9" s="13">
        <v>0.86399999999999999</v>
      </c>
      <c r="T9" s="13">
        <v>8.64</v>
      </c>
      <c r="U9" s="13">
        <v>86.4</v>
      </c>
      <c r="V9" s="13">
        <v>8.6400000000000001E-3</v>
      </c>
      <c r="W9" s="13">
        <v>8.6400000000000005E-2</v>
      </c>
      <c r="X9" s="13">
        <v>0.86399999999999999</v>
      </c>
      <c r="Y9" s="13">
        <v>8.64</v>
      </c>
      <c r="Z9" s="13">
        <v>86.4</v>
      </c>
      <c r="AA9" s="13">
        <v>8.6400000000000001E-3</v>
      </c>
      <c r="AB9" s="13">
        <v>8.6400000000000005E-2</v>
      </c>
      <c r="AC9" s="13">
        <v>0.86399999999999999</v>
      </c>
      <c r="AD9" s="13">
        <v>8.64</v>
      </c>
      <c r="AE9" s="13">
        <v>86.4</v>
      </c>
      <c r="AF9" s="13">
        <v>8.6400000000000001E-3</v>
      </c>
      <c r="AG9" s="13">
        <v>8.6400000000000005E-2</v>
      </c>
      <c r="AH9" s="13">
        <v>0.86399999999999999</v>
      </c>
      <c r="AI9" s="13">
        <v>8.64</v>
      </c>
      <c r="AJ9" s="13">
        <v>86.4</v>
      </c>
    </row>
    <row r="10" spans="1:36" x14ac:dyDescent="0.45">
      <c r="A10" s="16" t="s">
        <v>57</v>
      </c>
      <c r="B10" s="14">
        <v>8.6399999999999999E-9</v>
      </c>
      <c r="C10" s="14">
        <v>8.6399999999999999E-9</v>
      </c>
      <c r="D10" s="14">
        <v>8.6399999999999999E-9</v>
      </c>
      <c r="E10" s="14">
        <v>8.6399999999999999E-9</v>
      </c>
      <c r="F10" s="14">
        <v>8.6399999999999999E-9</v>
      </c>
      <c r="G10" s="11">
        <v>8.6400000000000006E-8</v>
      </c>
      <c r="H10" s="11">
        <v>8.6400000000000006E-8</v>
      </c>
      <c r="I10" s="11">
        <v>8.6400000000000006E-8</v>
      </c>
      <c r="J10" s="11">
        <v>8.6400000000000006E-8</v>
      </c>
      <c r="K10" s="11">
        <v>8.6400000000000006E-8</v>
      </c>
      <c r="L10" s="14">
        <v>8.6400000000000001E-7</v>
      </c>
      <c r="M10" s="14">
        <v>8.6400000000000001E-7</v>
      </c>
      <c r="N10" s="14">
        <v>8.6400000000000001E-7</v>
      </c>
      <c r="O10" s="14">
        <v>8.6400000000000001E-7</v>
      </c>
      <c r="P10" s="14">
        <v>8.6400000000000001E-7</v>
      </c>
      <c r="Q10" s="14">
        <v>8.6400000000000003E-6</v>
      </c>
      <c r="R10" s="14">
        <v>8.6400000000000003E-6</v>
      </c>
      <c r="S10" s="14">
        <v>8.6400000000000003E-6</v>
      </c>
      <c r="T10" s="14">
        <v>8.6400000000000003E-6</v>
      </c>
      <c r="U10" s="14">
        <v>8.6400000000000003E-6</v>
      </c>
      <c r="V10" s="14">
        <v>8.6399999999999999E-5</v>
      </c>
      <c r="W10" s="14">
        <v>8.6399999999999999E-5</v>
      </c>
      <c r="X10" s="14">
        <v>8.6399999999999999E-5</v>
      </c>
      <c r="Y10" s="14">
        <v>8.6399999999999999E-5</v>
      </c>
      <c r="Z10" s="14">
        <v>8.6399999999999999E-5</v>
      </c>
      <c r="AA10" s="14">
        <v>8.6399999999999997E-4</v>
      </c>
      <c r="AB10" s="14">
        <v>8.6399999999999997E-4</v>
      </c>
      <c r="AC10" s="14">
        <v>8.6399999999999997E-4</v>
      </c>
      <c r="AD10" s="14">
        <v>8.6399999999999997E-4</v>
      </c>
      <c r="AE10" s="14">
        <v>8.6399999999999997E-4</v>
      </c>
      <c r="AF10" s="14">
        <v>8.6400000000000001E-3</v>
      </c>
      <c r="AG10" s="14">
        <v>8.6400000000000001E-3</v>
      </c>
      <c r="AH10" s="14">
        <v>8.6400000000000001E-3</v>
      </c>
      <c r="AI10" s="14">
        <v>8.6400000000000001E-3</v>
      </c>
      <c r="AJ10" s="14">
        <v>8.6400000000000001E-3</v>
      </c>
    </row>
    <row r="11" spans="1:36" x14ac:dyDescent="0.45">
      <c r="A11" s="16" t="s">
        <v>58</v>
      </c>
      <c r="B11" s="13">
        <v>8.6400000000000001E-3</v>
      </c>
      <c r="C11" s="13">
        <v>8.6400000000000005E-2</v>
      </c>
      <c r="D11" s="13">
        <v>0.86399999999999999</v>
      </c>
      <c r="E11" s="13">
        <v>8.64</v>
      </c>
      <c r="F11" s="13">
        <v>86.4</v>
      </c>
      <c r="G11" s="13">
        <v>8.6400000000000001E-3</v>
      </c>
      <c r="H11" s="13">
        <v>8.6400000000000005E-2</v>
      </c>
      <c r="I11" s="13">
        <v>0.86399999999999999</v>
      </c>
      <c r="J11" s="13">
        <v>8.64</v>
      </c>
      <c r="K11" s="13">
        <v>86.4</v>
      </c>
      <c r="L11" s="13">
        <v>8.6400000000000001E-3</v>
      </c>
      <c r="M11" s="13">
        <v>8.6400000000000005E-2</v>
      </c>
      <c r="N11" s="13">
        <v>0.86399999999999999</v>
      </c>
      <c r="O11" s="13">
        <v>8.64</v>
      </c>
      <c r="P11" s="13">
        <v>86.4</v>
      </c>
      <c r="Q11" s="13">
        <v>8.6400000000000001E-3</v>
      </c>
      <c r="R11" s="13">
        <v>8.6400000000000005E-2</v>
      </c>
      <c r="S11" s="13">
        <v>0.86399999999999999</v>
      </c>
      <c r="T11" s="13">
        <v>8.64</v>
      </c>
      <c r="U11" s="13">
        <v>86.4</v>
      </c>
      <c r="V11" s="13">
        <v>8.6400000000000001E-3</v>
      </c>
      <c r="W11" s="13">
        <v>8.6400000000000005E-2</v>
      </c>
      <c r="X11" s="13">
        <v>0.86399999999999999</v>
      </c>
      <c r="Y11" s="13">
        <v>8.64</v>
      </c>
      <c r="Z11" s="13">
        <v>86.4</v>
      </c>
      <c r="AA11" s="13">
        <v>8.6400000000000001E-3</v>
      </c>
      <c r="AB11" s="13">
        <v>8.6400000000000005E-2</v>
      </c>
      <c r="AC11" s="13">
        <v>0.86399999999999999</v>
      </c>
      <c r="AD11" s="13">
        <v>8.64</v>
      </c>
      <c r="AE11" s="13">
        <v>86.4</v>
      </c>
      <c r="AF11" s="13">
        <v>8.6400000000000001E-3</v>
      </c>
      <c r="AG11" s="13">
        <v>8.6400000000000005E-2</v>
      </c>
      <c r="AH11" s="13">
        <v>0.86399999999999999</v>
      </c>
      <c r="AI11" s="13">
        <v>8.64</v>
      </c>
      <c r="AJ11" s="13">
        <v>86.4</v>
      </c>
    </row>
    <row r="17" spans="2:3" x14ac:dyDescent="0.45">
      <c r="B17" s="17"/>
      <c r="C17" s="17"/>
    </row>
    <row r="20" spans="2:3" x14ac:dyDescent="0.45">
      <c r="B20" s="12"/>
      <c r="C20" s="12"/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Z364"/>
  <sheetViews>
    <sheetView tabSelected="1" topLeftCell="U86" zoomScale="51" workbookViewId="0">
      <selection activeCell="AN104" sqref="AN104:AN114"/>
    </sheetView>
  </sheetViews>
  <sheetFormatPr baseColWidth="10" defaultRowHeight="14.25" x14ac:dyDescent="0.45"/>
  <cols>
    <col min="1" max="1" width="15.46484375" style="12" bestFit="1" customWidth="1"/>
    <col min="32" max="32" width="18.59765625" style="12" bestFit="1" customWidth="1"/>
    <col min="33" max="33" width="27.19921875" style="12" bestFit="1" customWidth="1"/>
  </cols>
  <sheetData>
    <row r="1" spans="1:37" x14ac:dyDescent="0.45">
      <c r="A1" t="s">
        <v>127</v>
      </c>
      <c r="B1" t="s">
        <v>82</v>
      </c>
      <c r="C1" t="s">
        <v>70</v>
      </c>
      <c r="D1" t="s">
        <v>72</v>
      </c>
      <c r="E1" t="s">
        <v>73</v>
      </c>
      <c r="F1" t="s">
        <v>74</v>
      </c>
      <c r="G1" t="s">
        <v>75</v>
      </c>
      <c r="H1" t="s">
        <v>28</v>
      </c>
      <c r="I1" t="s">
        <v>29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R1" t="s">
        <v>91</v>
      </c>
      <c r="S1">
        <v>0</v>
      </c>
      <c r="U1" t="s">
        <v>127</v>
      </c>
      <c r="V1" t="s">
        <v>82</v>
      </c>
      <c r="W1" t="s">
        <v>70</v>
      </c>
      <c r="X1" t="s">
        <v>72</v>
      </c>
      <c r="Y1" t="s">
        <v>73</v>
      </c>
      <c r="Z1" t="s">
        <v>74</v>
      </c>
      <c r="AA1" t="s">
        <v>75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J1" t="s">
        <v>91</v>
      </c>
      <c r="AK1">
        <v>0</v>
      </c>
    </row>
    <row r="2" spans="1:37" x14ac:dyDescent="0.45">
      <c r="A2" t="s">
        <v>128</v>
      </c>
      <c r="B2">
        <v>0</v>
      </c>
      <c r="C2" s="13">
        <v>3.4615812627652098E-4</v>
      </c>
      <c r="D2" s="13">
        <v>3.46158126276521E-6</v>
      </c>
      <c r="E2" s="13">
        <v>3.4615812627652098E-4</v>
      </c>
      <c r="F2" s="13">
        <v>3.46158126276521E-6</v>
      </c>
      <c r="G2" s="13">
        <v>3.4615812627652098E-4</v>
      </c>
      <c r="H2" s="1">
        <v>1</v>
      </c>
      <c r="I2">
        <v>36000</v>
      </c>
      <c r="K2">
        <v>0</v>
      </c>
      <c r="L2">
        <v>0</v>
      </c>
      <c r="M2">
        <v>1</v>
      </c>
      <c r="N2">
        <v>1</v>
      </c>
      <c r="O2" t="s">
        <v>33</v>
      </c>
      <c r="R2" t="s">
        <v>91</v>
      </c>
      <c r="S2">
        <v>7587000</v>
      </c>
      <c r="U2">
        <v>1950</v>
      </c>
      <c r="V2">
        <v>0</v>
      </c>
      <c r="W2" s="13">
        <v>5.7254552261878477E-4</v>
      </c>
      <c r="X2" s="13">
        <f t="shared" ref="X2:X33" si="0">+W2/100</f>
        <v>5.7254552261878478E-6</v>
      </c>
      <c r="Y2" s="13">
        <f t="shared" ref="Y2:Y33" si="1">+W2</f>
        <v>5.7254552261878477E-4</v>
      </c>
      <c r="Z2" s="13">
        <f t="shared" ref="Z2:Z33" si="2">+Y2/100</f>
        <v>5.7254552261878478E-6</v>
      </c>
      <c r="AA2" s="13">
        <f t="shared" ref="AA2:AA33" si="3">+W2</f>
        <v>5.7254552261878477E-4</v>
      </c>
      <c r="AC2">
        <v>0</v>
      </c>
      <c r="AD2">
        <v>0</v>
      </c>
      <c r="AE2">
        <v>1</v>
      </c>
      <c r="AF2">
        <v>1</v>
      </c>
      <c r="AG2" t="s">
        <v>33</v>
      </c>
      <c r="AJ2" t="s">
        <v>91</v>
      </c>
      <c r="AK2">
        <v>27000</v>
      </c>
    </row>
    <row r="3" spans="1:37" x14ac:dyDescent="0.45">
      <c r="A3" t="s">
        <v>129</v>
      </c>
      <c r="B3">
        <v>36000</v>
      </c>
      <c r="C3" s="13">
        <v>3.1683849107460839E-4</v>
      </c>
      <c r="D3" s="13">
        <v>3.1683849107460841E-6</v>
      </c>
      <c r="E3" s="13">
        <v>3.1683849107460839E-4</v>
      </c>
      <c r="F3" s="13">
        <v>3.1683849107460841E-6</v>
      </c>
      <c r="G3" s="13">
        <v>3.1683849107460839E-4</v>
      </c>
      <c r="H3" s="1">
        <v>2</v>
      </c>
      <c r="I3">
        <v>36000</v>
      </c>
      <c r="K3">
        <v>1</v>
      </c>
      <c r="L3">
        <v>7560000</v>
      </c>
      <c r="M3">
        <v>210</v>
      </c>
      <c r="N3">
        <v>1</v>
      </c>
      <c r="O3" t="s">
        <v>130</v>
      </c>
      <c r="R3" t="s">
        <v>91</v>
      </c>
      <c r="S3">
        <v>20000000</v>
      </c>
      <c r="U3">
        <v>1951</v>
      </c>
      <c r="V3">
        <v>360</v>
      </c>
      <c r="W3" s="13">
        <v>5.9297851039605948E-4</v>
      </c>
      <c r="X3" s="13">
        <f t="shared" si="0"/>
        <v>5.9297851039605949E-6</v>
      </c>
      <c r="Y3" s="13">
        <f t="shared" si="1"/>
        <v>5.9297851039605948E-4</v>
      </c>
      <c r="Z3" s="13">
        <f t="shared" si="2"/>
        <v>5.9297851039605949E-6</v>
      </c>
      <c r="AA3" s="13">
        <f t="shared" si="3"/>
        <v>5.9297851039605948E-4</v>
      </c>
      <c r="AC3">
        <v>1</v>
      </c>
      <c r="AD3">
        <v>20160</v>
      </c>
      <c r="AE3">
        <v>56</v>
      </c>
      <c r="AF3">
        <v>1</v>
      </c>
      <c r="AG3" t="s">
        <v>131</v>
      </c>
      <c r="AJ3" t="s">
        <v>91</v>
      </c>
      <c r="AK3">
        <v>20000000</v>
      </c>
    </row>
    <row r="4" spans="1:37" x14ac:dyDescent="0.45">
      <c r="A4" t="s">
        <v>132</v>
      </c>
      <c r="B4">
        <v>72000</v>
      </c>
      <c r="C4" s="13">
        <v>3.0706776290785679E-4</v>
      </c>
      <c r="D4" s="13">
        <v>3.070677629078568E-6</v>
      </c>
      <c r="E4" s="13">
        <v>3.0706776290785679E-4</v>
      </c>
      <c r="F4" s="13">
        <v>3.070677629078568E-6</v>
      </c>
      <c r="G4" s="13">
        <v>3.0706776290785679E-4</v>
      </c>
      <c r="H4" s="1">
        <v>3</v>
      </c>
      <c r="I4">
        <v>36000</v>
      </c>
      <c r="K4">
        <v>2</v>
      </c>
      <c r="L4">
        <v>20160</v>
      </c>
      <c r="M4">
        <v>56</v>
      </c>
      <c r="N4">
        <v>1</v>
      </c>
      <c r="O4" t="s">
        <v>131</v>
      </c>
      <c r="R4" t="s">
        <v>92</v>
      </c>
      <c r="S4">
        <v>0</v>
      </c>
      <c r="U4">
        <v>1952</v>
      </c>
      <c r="V4">
        <v>720</v>
      </c>
      <c r="W4" s="13">
        <v>5.7784216108986981E-4</v>
      </c>
      <c r="X4" s="13">
        <f t="shared" si="0"/>
        <v>5.7784216108986984E-6</v>
      </c>
      <c r="Y4" s="13">
        <f t="shared" si="1"/>
        <v>5.7784216108986981E-4</v>
      </c>
      <c r="Z4" s="13">
        <f t="shared" si="2"/>
        <v>5.7784216108986984E-6</v>
      </c>
      <c r="AA4" s="13">
        <f t="shared" si="3"/>
        <v>5.7784216108986981E-4</v>
      </c>
      <c r="AC4">
        <v>2</v>
      </c>
      <c r="AD4">
        <v>34200</v>
      </c>
      <c r="AE4">
        <v>95</v>
      </c>
      <c r="AF4">
        <v>1</v>
      </c>
      <c r="AG4" t="s">
        <v>133</v>
      </c>
      <c r="AJ4" t="s">
        <v>92</v>
      </c>
      <c r="AK4">
        <v>0</v>
      </c>
    </row>
    <row r="5" spans="1:37" x14ac:dyDescent="0.45">
      <c r="A5" t="s">
        <v>134</v>
      </c>
      <c r="B5">
        <v>108000</v>
      </c>
      <c r="C5" s="13">
        <v>3.4876266125087818E-4</v>
      </c>
      <c r="D5" s="13">
        <v>3.487626612508782E-6</v>
      </c>
      <c r="E5" s="13">
        <v>3.4876266125087818E-4</v>
      </c>
      <c r="F5" s="13">
        <v>3.487626612508782E-6</v>
      </c>
      <c r="G5" s="13">
        <v>3.4876266125087818E-4</v>
      </c>
      <c r="H5" s="1">
        <v>4</v>
      </c>
      <c r="I5">
        <v>36000</v>
      </c>
      <c r="K5">
        <v>3</v>
      </c>
      <c r="L5">
        <v>34200</v>
      </c>
      <c r="M5">
        <v>95</v>
      </c>
      <c r="N5">
        <v>1</v>
      </c>
      <c r="O5" t="s">
        <v>133</v>
      </c>
      <c r="R5" t="s">
        <v>92</v>
      </c>
      <c r="S5">
        <v>7587000</v>
      </c>
      <c r="U5">
        <v>1953</v>
      </c>
      <c r="V5">
        <v>1080</v>
      </c>
      <c r="W5" s="13">
        <v>7.01225780780004E-4</v>
      </c>
      <c r="X5" s="13">
        <f t="shared" si="0"/>
        <v>7.0122578078000401E-6</v>
      </c>
      <c r="Y5" s="13">
        <f t="shared" si="1"/>
        <v>7.01225780780004E-4</v>
      </c>
      <c r="Z5" s="13">
        <f t="shared" si="2"/>
        <v>7.0122578078000401E-6</v>
      </c>
      <c r="AA5" s="13">
        <f t="shared" si="3"/>
        <v>7.01225780780004E-4</v>
      </c>
      <c r="AC5">
        <v>3</v>
      </c>
      <c r="AD5">
        <v>3186000</v>
      </c>
      <c r="AE5">
        <v>100</v>
      </c>
      <c r="AF5">
        <v>1</v>
      </c>
      <c r="AG5" t="s">
        <v>135</v>
      </c>
      <c r="AJ5" t="s">
        <v>92</v>
      </c>
      <c r="AK5">
        <v>27000</v>
      </c>
    </row>
    <row r="6" spans="1:37" x14ac:dyDescent="0.45">
      <c r="A6" t="s">
        <v>136</v>
      </c>
      <c r="B6">
        <v>144000</v>
      </c>
      <c r="C6" s="13">
        <v>3.4846427246295919E-4</v>
      </c>
      <c r="D6" s="13">
        <v>3.484642724629592E-6</v>
      </c>
      <c r="E6" s="13">
        <v>3.4846427246295919E-4</v>
      </c>
      <c r="F6" s="13">
        <v>3.484642724629592E-6</v>
      </c>
      <c r="G6" s="13">
        <v>3.4846427246295919E-4</v>
      </c>
      <c r="H6" s="1">
        <v>5</v>
      </c>
      <c r="I6">
        <v>36000</v>
      </c>
      <c r="K6">
        <v>4</v>
      </c>
      <c r="L6">
        <v>3186000</v>
      </c>
      <c r="M6">
        <v>100</v>
      </c>
      <c r="N6">
        <v>1</v>
      </c>
      <c r="O6" t="s">
        <v>135</v>
      </c>
      <c r="R6" t="s">
        <v>92</v>
      </c>
      <c r="S6">
        <v>20000000</v>
      </c>
      <c r="U6">
        <v>1954</v>
      </c>
      <c r="V6">
        <v>1440</v>
      </c>
      <c r="W6" s="13">
        <v>6.0625323693920216E-4</v>
      </c>
      <c r="X6" s="13">
        <f t="shared" si="0"/>
        <v>6.0625323693920212E-6</v>
      </c>
      <c r="Y6" s="13">
        <f t="shared" si="1"/>
        <v>6.0625323693920216E-4</v>
      </c>
      <c r="Z6" s="13">
        <f t="shared" si="2"/>
        <v>6.0625323693920212E-6</v>
      </c>
      <c r="AA6" s="13">
        <f t="shared" si="3"/>
        <v>6.0625323693920216E-4</v>
      </c>
      <c r="AJ6" t="s">
        <v>92</v>
      </c>
      <c r="AK6">
        <v>20000000</v>
      </c>
    </row>
    <row r="7" spans="1:37" x14ac:dyDescent="0.45">
      <c r="A7" t="s">
        <v>137</v>
      </c>
      <c r="B7">
        <v>180000</v>
      </c>
      <c r="C7" s="13">
        <v>3.2280645601502319E-4</v>
      </c>
      <c r="D7" s="13">
        <v>3.2280645601502321E-6</v>
      </c>
      <c r="E7" s="13">
        <v>3.2280645601502319E-4</v>
      </c>
      <c r="F7" s="13">
        <v>3.2280645601502321E-6</v>
      </c>
      <c r="G7" s="13">
        <v>3.2280645601502319E-4</v>
      </c>
      <c r="H7" s="1">
        <v>6</v>
      </c>
      <c r="I7">
        <v>36000</v>
      </c>
      <c r="R7" t="s">
        <v>93</v>
      </c>
      <c r="S7">
        <v>0</v>
      </c>
      <c r="U7">
        <v>1955</v>
      </c>
      <c r="V7">
        <v>1800</v>
      </c>
      <c r="W7" s="13">
        <v>6.7531943247687762E-4</v>
      </c>
      <c r="X7" s="13">
        <f t="shared" si="0"/>
        <v>6.7531943247687766E-6</v>
      </c>
      <c r="Y7" s="13">
        <f t="shared" si="1"/>
        <v>6.7531943247687762E-4</v>
      </c>
      <c r="Z7" s="13">
        <f t="shared" si="2"/>
        <v>6.7531943247687766E-6</v>
      </c>
      <c r="AA7" s="13">
        <f t="shared" si="3"/>
        <v>6.7531943247687762E-4</v>
      </c>
      <c r="AJ7" t="s">
        <v>93</v>
      </c>
      <c r="AK7">
        <v>0</v>
      </c>
    </row>
    <row r="8" spans="1:37" x14ac:dyDescent="0.45">
      <c r="A8" t="s">
        <v>138</v>
      </c>
      <c r="B8">
        <v>216000</v>
      </c>
      <c r="C8" s="13">
        <v>3.2261974027997269E-4</v>
      </c>
      <c r="D8" s="13">
        <v>3.2261974027997268E-6</v>
      </c>
      <c r="E8" s="13">
        <v>3.2261974027997269E-4</v>
      </c>
      <c r="F8" s="13">
        <v>3.2261974027997268E-6</v>
      </c>
      <c r="G8" s="13">
        <v>3.2261974027997269E-4</v>
      </c>
      <c r="H8" s="1">
        <v>7</v>
      </c>
      <c r="I8">
        <v>36000</v>
      </c>
      <c r="R8" t="s">
        <v>93</v>
      </c>
      <c r="S8">
        <v>7587000</v>
      </c>
      <c r="U8">
        <v>1956</v>
      </c>
      <c r="V8">
        <v>2160</v>
      </c>
      <c r="W8" s="13">
        <v>7.934837592115222E-4</v>
      </c>
      <c r="X8" s="13">
        <f t="shared" si="0"/>
        <v>7.9348375921152226E-6</v>
      </c>
      <c r="Y8" s="13">
        <f t="shared" si="1"/>
        <v>7.934837592115222E-4</v>
      </c>
      <c r="Z8" s="13">
        <f t="shared" si="2"/>
        <v>7.9348375921152226E-6</v>
      </c>
      <c r="AA8" s="13">
        <f t="shared" si="3"/>
        <v>7.934837592115222E-4</v>
      </c>
      <c r="AJ8" t="s">
        <v>93</v>
      </c>
      <c r="AK8">
        <v>27000</v>
      </c>
    </row>
    <row r="9" spans="1:37" x14ac:dyDescent="0.45">
      <c r="A9" t="s">
        <v>139</v>
      </c>
      <c r="B9">
        <v>252000</v>
      </c>
      <c r="C9" s="13">
        <v>3.4142469561537862E-4</v>
      </c>
      <c r="D9" s="13">
        <v>3.414246956153786E-6</v>
      </c>
      <c r="E9" s="13">
        <v>3.4142469561537862E-4</v>
      </c>
      <c r="F9" s="13">
        <v>3.414246956153786E-6</v>
      </c>
      <c r="G9" s="13">
        <v>3.4142469561537862E-4</v>
      </c>
      <c r="H9" s="1">
        <v>8</v>
      </c>
      <c r="I9">
        <v>36000</v>
      </c>
      <c r="R9" t="s">
        <v>93</v>
      </c>
      <c r="S9">
        <v>20000000</v>
      </c>
      <c r="U9">
        <v>1957</v>
      </c>
      <c r="V9">
        <v>2520</v>
      </c>
      <c r="W9" s="13">
        <v>6.3200610841889827E-4</v>
      </c>
      <c r="X9" s="13">
        <f t="shared" si="0"/>
        <v>6.3200610841889829E-6</v>
      </c>
      <c r="Y9" s="13">
        <f t="shared" si="1"/>
        <v>6.3200610841889827E-4</v>
      </c>
      <c r="Z9" s="13">
        <f t="shared" si="2"/>
        <v>6.3200610841889829E-6</v>
      </c>
      <c r="AA9" s="13">
        <f t="shared" si="3"/>
        <v>6.3200610841889827E-4</v>
      </c>
      <c r="AJ9" t="s">
        <v>93</v>
      </c>
      <c r="AK9">
        <v>20000000</v>
      </c>
    </row>
    <row r="10" spans="1:37" x14ac:dyDescent="0.45">
      <c r="A10" t="s">
        <v>140</v>
      </c>
      <c r="B10">
        <v>288000</v>
      </c>
      <c r="C10" s="13">
        <v>3.0352732326575341E-4</v>
      </c>
      <c r="D10" s="13">
        <v>3.0352732326575342E-6</v>
      </c>
      <c r="E10" s="13">
        <v>3.0352732326575341E-4</v>
      </c>
      <c r="F10" s="13">
        <v>3.0352732326575342E-6</v>
      </c>
      <c r="G10" s="13">
        <v>3.0352732326575341E-4</v>
      </c>
      <c r="H10" s="1">
        <v>9</v>
      </c>
      <c r="I10">
        <v>36000</v>
      </c>
      <c r="R10" t="s">
        <v>94</v>
      </c>
      <c r="S10">
        <v>0</v>
      </c>
      <c r="U10">
        <v>1958</v>
      </c>
      <c r="V10">
        <v>2880</v>
      </c>
      <c r="W10" s="13">
        <v>5.2246609042495211E-4</v>
      </c>
      <c r="X10" s="13">
        <f t="shared" si="0"/>
        <v>5.2246609042495213E-6</v>
      </c>
      <c r="Y10" s="13">
        <f t="shared" si="1"/>
        <v>5.2246609042495211E-4</v>
      </c>
      <c r="Z10" s="13">
        <f t="shared" si="2"/>
        <v>5.2246609042495213E-6</v>
      </c>
      <c r="AA10" s="13">
        <f t="shared" si="3"/>
        <v>5.2246609042495211E-4</v>
      </c>
      <c r="AJ10" t="s">
        <v>94</v>
      </c>
      <c r="AK10">
        <v>0</v>
      </c>
    </row>
    <row r="11" spans="1:37" x14ac:dyDescent="0.45">
      <c r="A11" t="s">
        <v>141</v>
      </c>
      <c r="B11">
        <v>324000</v>
      </c>
      <c r="C11" s="13">
        <v>2.9584149278148589E-4</v>
      </c>
      <c r="D11" s="13">
        <v>2.9584149278148592E-6</v>
      </c>
      <c r="E11" s="13">
        <v>2.9584149278148589E-4</v>
      </c>
      <c r="F11" s="13">
        <v>2.9584149278148592E-6</v>
      </c>
      <c r="G11" s="13">
        <v>2.9584149278148589E-4</v>
      </c>
      <c r="H11" s="1">
        <v>10</v>
      </c>
      <c r="I11">
        <v>36000</v>
      </c>
      <c r="K11" s="13"/>
      <c r="L11" s="13"/>
      <c r="M11" s="13"/>
      <c r="N11" s="1"/>
      <c r="R11" t="s">
        <v>94</v>
      </c>
      <c r="S11">
        <v>7587000</v>
      </c>
      <c r="U11">
        <v>1959</v>
      </c>
      <c r="V11">
        <v>3240</v>
      </c>
      <c r="W11" s="13">
        <v>5.7275828508846535E-4</v>
      </c>
      <c r="X11" s="13">
        <f t="shared" si="0"/>
        <v>5.7275828508846533E-6</v>
      </c>
      <c r="Y11" s="13">
        <f t="shared" si="1"/>
        <v>5.7275828508846535E-4</v>
      </c>
      <c r="Z11" s="13">
        <f t="shared" si="2"/>
        <v>5.7275828508846533E-6</v>
      </c>
      <c r="AA11" s="13">
        <f t="shared" si="3"/>
        <v>5.7275828508846535E-4</v>
      </c>
      <c r="AJ11" t="s">
        <v>94</v>
      </c>
      <c r="AK11">
        <v>27000</v>
      </c>
    </row>
    <row r="12" spans="1:37" x14ac:dyDescent="0.45">
      <c r="A12" t="s">
        <v>142</v>
      </c>
      <c r="B12">
        <v>360000</v>
      </c>
      <c r="C12" s="13">
        <v>3.635152413024668E-4</v>
      </c>
      <c r="D12" s="13">
        <v>3.6351524130246681E-6</v>
      </c>
      <c r="E12" s="13">
        <v>3.635152413024668E-4</v>
      </c>
      <c r="F12" s="13">
        <v>3.6351524130246681E-6</v>
      </c>
      <c r="G12" s="13">
        <v>3.635152413024668E-4</v>
      </c>
      <c r="H12" s="1">
        <v>11</v>
      </c>
      <c r="I12">
        <v>36000</v>
      </c>
      <c r="L12" s="13"/>
      <c r="M12" s="13"/>
      <c r="N12" s="1"/>
      <c r="R12" t="s">
        <v>94</v>
      </c>
      <c r="S12">
        <v>20000000</v>
      </c>
      <c r="U12">
        <v>1960</v>
      </c>
      <c r="V12">
        <v>3600</v>
      </c>
      <c r="W12" s="13">
        <v>3.572441303810297E-4</v>
      </c>
      <c r="X12" s="13">
        <f t="shared" si="0"/>
        <v>3.572441303810297E-6</v>
      </c>
      <c r="Y12" s="13">
        <f t="shared" si="1"/>
        <v>3.572441303810297E-4</v>
      </c>
      <c r="Z12" s="13">
        <f t="shared" si="2"/>
        <v>3.572441303810297E-6</v>
      </c>
      <c r="AA12" s="13">
        <f t="shared" si="3"/>
        <v>3.572441303810297E-4</v>
      </c>
      <c r="AJ12" t="s">
        <v>94</v>
      </c>
      <c r="AK12">
        <v>20000000</v>
      </c>
    </row>
    <row r="13" spans="1:37" x14ac:dyDescent="0.45">
      <c r="A13" t="s">
        <v>143</v>
      </c>
      <c r="B13">
        <v>396000</v>
      </c>
      <c r="C13" s="13">
        <v>3.4971949176605839E-4</v>
      </c>
      <c r="D13" s="13">
        <v>3.4971949176605839E-6</v>
      </c>
      <c r="E13" s="13">
        <v>3.4971949176605839E-4</v>
      </c>
      <c r="F13" s="13">
        <v>3.4971949176605839E-6</v>
      </c>
      <c r="G13" s="13">
        <v>3.4971949176605839E-4</v>
      </c>
      <c r="H13" s="1">
        <v>12</v>
      </c>
      <c r="I13">
        <v>36000</v>
      </c>
      <c r="L13" s="13"/>
      <c r="M13" s="13"/>
      <c r="N13" s="1"/>
      <c r="R13" t="s">
        <v>95</v>
      </c>
      <c r="S13">
        <v>0</v>
      </c>
      <c r="U13">
        <v>1961</v>
      </c>
      <c r="V13">
        <v>3960</v>
      </c>
      <c r="W13" s="13">
        <v>7.8115723463756577E-4</v>
      </c>
      <c r="X13" s="13">
        <f t="shared" si="0"/>
        <v>7.8115723463756584E-6</v>
      </c>
      <c r="Y13" s="13">
        <f t="shared" si="1"/>
        <v>7.8115723463756577E-4</v>
      </c>
      <c r="Z13" s="13">
        <f t="shared" si="2"/>
        <v>7.8115723463756584E-6</v>
      </c>
      <c r="AA13" s="13">
        <f t="shared" si="3"/>
        <v>7.8115723463756577E-4</v>
      </c>
      <c r="AJ13" t="s">
        <v>95</v>
      </c>
      <c r="AK13">
        <v>0</v>
      </c>
    </row>
    <row r="14" spans="1:37" x14ac:dyDescent="0.45">
      <c r="A14" t="s">
        <v>144</v>
      </c>
      <c r="B14">
        <v>432000</v>
      </c>
      <c r="C14" s="13">
        <v>3.6109497876529078E-4</v>
      </c>
      <c r="D14" s="13">
        <v>3.6109497876529081E-6</v>
      </c>
      <c r="E14" s="13">
        <v>3.6109497876529078E-4</v>
      </c>
      <c r="F14" s="13">
        <v>3.6109497876529081E-6</v>
      </c>
      <c r="G14" s="13">
        <v>3.6109497876529078E-4</v>
      </c>
      <c r="H14" s="1">
        <v>13</v>
      </c>
      <c r="I14">
        <v>36000</v>
      </c>
      <c r="L14" s="13"/>
      <c r="M14" s="13"/>
      <c r="N14" s="1"/>
      <c r="R14" t="s">
        <v>95</v>
      </c>
      <c r="S14">
        <v>7587000</v>
      </c>
      <c r="U14">
        <v>1962</v>
      </c>
      <c r="V14">
        <v>4320</v>
      </c>
      <c r="W14" s="13">
        <v>4.531689220324248E-4</v>
      </c>
      <c r="X14" s="13">
        <f t="shared" si="0"/>
        <v>4.531689220324248E-6</v>
      </c>
      <c r="Y14" s="13">
        <f t="shared" si="1"/>
        <v>4.531689220324248E-4</v>
      </c>
      <c r="Z14" s="13">
        <f t="shared" si="2"/>
        <v>4.531689220324248E-6</v>
      </c>
      <c r="AA14" s="13">
        <f t="shared" si="3"/>
        <v>4.531689220324248E-4</v>
      </c>
      <c r="AJ14" t="s">
        <v>95</v>
      </c>
      <c r="AK14">
        <v>27000</v>
      </c>
    </row>
    <row r="15" spans="1:37" x14ac:dyDescent="0.45">
      <c r="A15" t="s">
        <v>145</v>
      </c>
      <c r="B15">
        <v>468000</v>
      </c>
      <c r="C15" s="13">
        <v>3.4548609516076148E-4</v>
      </c>
      <c r="D15" s="13">
        <v>3.4548609516076149E-6</v>
      </c>
      <c r="E15" s="13">
        <v>3.4548609516076148E-4</v>
      </c>
      <c r="F15" s="13">
        <v>3.4548609516076149E-6</v>
      </c>
      <c r="G15" s="13">
        <v>3.4548609516076148E-4</v>
      </c>
      <c r="H15" s="1">
        <v>14</v>
      </c>
      <c r="I15">
        <v>36000</v>
      </c>
      <c r="R15" t="s">
        <v>95</v>
      </c>
      <c r="S15">
        <v>20000000</v>
      </c>
      <c r="U15">
        <v>1963</v>
      </c>
      <c r="V15">
        <v>4680</v>
      </c>
      <c r="W15" s="13">
        <v>5.7498094954749738E-4</v>
      </c>
      <c r="X15" s="13">
        <f t="shared" si="0"/>
        <v>5.7498094954749735E-6</v>
      </c>
      <c r="Y15" s="13">
        <f t="shared" si="1"/>
        <v>5.7498094954749738E-4</v>
      </c>
      <c r="Z15" s="13">
        <f t="shared" si="2"/>
        <v>5.7498094954749735E-6</v>
      </c>
      <c r="AA15" s="13">
        <f t="shared" si="3"/>
        <v>5.7498094954749738E-4</v>
      </c>
      <c r="AJ15" t="s">
        <v>95</v>
      </c>
      <c r="AK15">
        <v>20000000</v>
      </c>
    </row>
    <row r="16" spans="1:37" x14ac:dyDescent="0.45">
      <c r="A16" t="s">
        <v>146</v>
      </c>
      <c r="B16">
        <v>504000</v>
      </c>
      <c r="C16" s="13">
        <v>3.5900714127268599E-4</v>
      </c>
      <c r="D16" s="13">
        <v>3.5900714127268599E-6</v>
      </c>
      <c r="E16" s="13">
        <v>3.5900714127268599E-4</v>
      </c>
      <c r="F16" s="13">
        <v>3.5900714127268599E-6</v>
      </c>
      <c r="G16" s="13">
        <v>3.5900714127268599E-4</v>
      </c>
      <c r="H16" s="1">
        <v>15</v>
      </c>
      <c r="I16">
        <v>36000</v>
      </c>
      <c r="R16" t="s">
        <v>147</v>
      </c>
      <c r="S16">
        <v>0</v>
      </c>
      <c r="U16">
        <v>1964</v>
      </c>
      <c r="V16">
        <v>5040</v>
      </c>
      <c r="W16" s="13">
        <v>6.1715666405219582E-4</v>
      </c>
      <c r="X16" s="13">
        <f t="shared" si="0"/>
        <v>6.1715666405219582E-6</v>
      </c>
      <c r="Y16" s="13">
        <f t="shared" si="1"/>
        <v>6.1715666405219582E-4</v>
      </c>
      <c r="Z16" s="13">
        <f t="shared" si="2"/>
        <v>6.1715666405219582E-6</v>
      </c>
      <c r="AA16" s="13">
        <f t="shared" si="3"/>
        <v>6.1715666405219582E-4</v>
      </c>
      <c r="AJ16" t="s">
        <v>147</v>
      </c>
      <c r="AK16">
        <v>0</v>
      </c>
    </row>
    <row r="17" spans="1:37" x14ac:dyDescent="0.45">
      <c r="A17" t="s">
        <v>148</v>
      </c>
      <c r="B17">
        <v>540000</v>
      </c>
      <c r="C17" s="13">
        <v>3.9825147421760487E-4</v>
      </c>
      <c r="D17" s="13">
        <v>3.9825147421760489E-6</v>
      </c>
      <c r="E17" s="13">
        <v>3.9825147421760487E-4</v>
      </c>
      <c r="F17" s="13">
        <v>3.9825147421760489E-6</v>
      </c>
      <c r="G17" s="13">
        <v>3.9825147421760487E-4</v>
      </c>
      <c r="H17" s="1">
        <v>16</v>
      </c>
      <c r="I17">
        <v>36000</v>
      </c>
      <c r="R17" t="s">
        <v>147</v>
      </c>
      <c r="S17">
        <v>7587000</v>
      </c>
      <c r="U17">
        <v>1965</v>
      </c>
      <c r="V17">
        <v>5400</v>
      </c>
      <c r="W17" s="13">
        <v>7.2806814383172725E-4</v>
      </c>
      <c r="X17" s="13">
        <f t="shared" si="0"/>
        <v>7.2806814383172725E-6</v>
      </c>
      <c r="Y17" s="13">
        <f t="shared" si="1"/>
        <v>7.2806814383172725E-4</v>
      </c>
      <c r="Z17" s="13">
        <f t="shared" si="2"/>
        <v>7.2806814383172725E-6</v>
      </c>
      <c r="AA17" s="13">
        <f t="shared" si="3"/>
        <v>7.2806814383172725E-4</v>
      </c>
      <c r="AJ17" t="s">
        <v>147</v>
      </c>
      <c r="AK17">
        <v>27000</v>
      </c>
    </row>
    <row r="18" spans="1:37" x14ac:dyDescent="0.45">
      <c r="A18" t="s">
        <v>149</v>
      </c>
      <c r="B18">
        <v>576000</v>
      </c>
      <c r="C18" s="13">
        <v>3.2485995667842971E-4</v>
      </c>
      <c r="D18" s="13">
        <v>3.2485995667842971E-6</v>
      </c>
      <c r="E18" s="13">
        <v>3.2485995667842971E-4</v>
      </c>
      <c r="F18" s="13">
        <v>3.2485995667842971E-6</v>
      </c>
      <c r="G18" s="13">
        <v>3.2485995667842971E-4</v>
      </c>
      <c r="H18" s="1">
        <v>17</v>
      </c>
      <c r="I18">
        <v>36000</v>
      </c>
      <c r="K18" t="s">
        <v>150</v>
      </c>
      <c r="R18" t="s">
        <v>147</v>
      </c>
      <c r="S18">
        <v>20000000</v>
      </c>
      <c r="U18">
        <v>1966</v>
      </c>
      <c r="V18">
        <v>5760</v>
      </c>
      <c r="W18" s="13">
        <v>6.8133424917909079E-4</v>
      </c>
      <c r="X18" s="13">
        <f t="shared" si="0"/>
        <v>6.8133424917909083E-6</v>
      </c>
      <c r="Y18" s="13">
        <f t="shared" si="1"/>
        <v>6.8133424917909079E-4</v>
      </c>
      <c r="Z18" s="13">
        <f t="shared" si="2"/>
        <v>6.8133424917909083E-6</v>
      </c>
      <c r="AA18" s="13">
        <f t="shared" si="3"/>
        <v>6.8133424917909079E-4</v>
      </c>
      <c r="AJ18" t="s">
        <v>147</v>
      </c>
      <c r="AK18">
        <v>20000000</v>
      </c>
    </row>
    <row r="19" spans="1:37" x14ac:dyDescent="0.45">
      <c r="A19" t="s">
        <v>151</v>
      </c>
      <c r="B19">
        <v>612000</v>
      </c>
      <c r="C19" s="13">
        <v>3.4806887522932569E-4</v>
      </c>
      <c r="D19" s="13">
        <v>3.480688752293257E-6</v>
      </c>
      <c r="E19" s="13">
        <v>3.4806887522932569E-4</v>
      </c>
      <c r="F19" s="13">
        <v>3.480688752293257E-6</v>
      </c>
      <c r="G19" s="13">
        <v>3.4806887522932569E-4</v>
      </c>
      <c r="H19" s="1">
        <v>18</v>
      </c>
      <c r="I19">
        <v>36000</v>
      </c>
      <c r="U19">
        <v>1967</v>
      </c>
      <c r="V19">
        <v>6120</v>
      </c>
      <c r="W19" s="13">
        <v>5.5502136001665456E-4</v>
      </c>
      <c r="X19" s="13">
        <f t="shared" si="0"/>
        <v>5.5502136001665453E-6</v>
      </c>
      <c r="Y19" s="13">
        <f t="shared" si="1"/>
        <v>5.5502136001665456E-4</v>
      </c>
      <c r="Z19" s="13">
        <f t="shared" si="2"/>
        <v>5.5502136001665453E-6</v>
      </c>
      <c r="AA19" s="13">
        <f t="shared" si="3"/>
        <v>5.5502136001665456E-4</v>
      </c>
    </row>
    <row r="20" spans="1:37" x14ac:dyDescent="0.45">
      <c r="A20" t="s">
        <v>152</v>
      </c>
      <c r="B20">
        <v>648000</v>
      </c>
      <c r="C20" s="13">
        <v>3.4402610973202928E-4</v>
      </c>
      <c r="D20" s="13">
        <v>3.4402610973202929E-6</v>
      </c>
      <c r="E20" s="13">
        <v>3.4402610973202928E-4</v>
      </c>
      <c r="F20" s="13">
        <v>3.4402610973202929E-6</v>
      </c>
      <c r="G20" s="13">
        <v>3.4402610973202928E-4</v>
      </c>
      <c r="H20" s="1">
        <v>19</v>
      </c>
      <c r="I20">
        <v>36000</v>
      </c>
      <c r="K20" s="2" t="s">
        <v>82</v>
      </c>
      <c r="L20" s="2" t="s">
        <v>70</v>
      </c>
      <c r="M20" s="2" t="s">
        <v>72</v>
      </c>
      <c r="N20" s="2" t="s">
        <v>73</v>
      </c>
      <c r="O20" s="2" t="s">
        <v>74</v>
      </c>
      <c r="P20" s="2" t="s">
        <v>75</v>
      </c>
      <c r="U20">
        <v>1968</v>
      </c>
      <c r="V20">
        <v>6480</v>
      </c>
      <c r="W20" s="13">
        <v>7.1790398823913721E-4</v>
      </c>
      <c r="X20" s="13">
        <f t="shared" si="0"/>
        <v>7.1790398823913723E-6</v>
      </c>
      <c r="Y20" s="13">
        <f t="shared" si="1"/>
        <v>7.1790398823913721E-4</v>
      </c>
      <c r="Z20" s="13">
        <f t="shared" si="2"/>
        <v>7.1790398823913723E-6</v>
      </c>
      <c r="AA20" s="13">
        <f t="shared" si="3"/>
        <v>7.1790398823913721E-4</v>
      </c>
    </row>
    <row r="21" spans="1:37" x14ac:dyDescent="0.45">
      <c r="A21" t="s">
        <v>153</v>
      </c>
      <c r="B21">
        <v>684000</v>
      </c>
      <c r="C21" s="13">
        <v>3.4550724610428202E-4</v>
      </c>
      <c r="D21" s="13">
        <v>3.4550724610428202E-6</v>
      </c>
      <c r="E21" s="13">
        <v>3.4550724610428202E-4</v>
      </c>
      <c r="F21" s="13">
        <v>3.4550724610428202E-6</v>
      </c>
      <c r="G21" s="13">
        <v>3.4550724610428202E-4</v>
      </c>
      <c r="H21" s="1">
        <v>20</v>
      </c>
      <c r="I21">
        <v>36000</v>
      </c>
      <c r="K21" s="2">
        <v>0</v>
      </c>
      <c r="L21" s="13">
        <v>2.9999999999999997E-4</v>
      </c>
      <c r="M21" s="13">
        <v>3.0000000000000001E-6</v>
      </c>
      <c r="N21" s="13">
        <v>2.9999999999999997E-4</v>
      </c>
      <c r="O21" s="13">
        <v>3.0000000000000001E-6</v>
      </c>
      <c r="P21" s="13">
        <v>2.9999999999999997E-4</v>
      </c>
      <c r="U21">
        <v>1969</v>
      </c>
      <c r="V21">
        <v>6840</v>
      </c>
      <c r="W21" s="13">
        <v>6.247710440845614E-4</v>
      </c>
      <c r="X21" s="13">
        <f t="shared" si="0"/>
        <v>6.2477104408456143E-6</v>
      </c>
      <c r="Y21" s="13">
        <f t="shared" si="1"/>
        <v>6.247710440845614E-4</v>
      </c>
      <c r="Z21" s="13">
        <f t="shared" si="2"/>
        <v>6.2477104408456143E-6</v>
      </c>
      <c r="AA21" s="13">
        <f t="shared" si="3"/>
        <v>6.247710440845614E-4</v>
      </c>
    </row>
    <row r="22" spans="1:37" x14ac:dyDescent="0.45">
      <c r="A22" t="s">
        <v>154</v>
      </c>
      <c r="B22">
        <v>720000</v>
      </c>
      <c r="C22" s="13">
        <v>3.5383124631152378E-4</v>
      </c>
      <c r="D22" s="13">
        <v>3.5383124631152389E-6</v>
      </c>
      <c r="E22" s="13">
        <v>3.5383124631152378E-4</v>
      </c>
      <c r="F22" s="13">
        <v>3.5383124631152389E-6</v>
      </c>
      <c r="G22" s="13">
        <v>3.5383124631152378E-4</v>
      </c>
      <c r="H22" s="1">
        <v>21</v>
      </c>
      <c r="I22">
        <v>36000</v>
      </c>
      <c r="K22" s="2">
        <v>3600000</v>
      </c>
      <c r="L22" s="13">
        <v>1.5E-5</v>
      </c>
      <c r="M22" s="13">
        <v>1.4999999999999999E-7</v>
      </c>
      <c r="N22" s="13">
        <v>1.5E-5</v>
      </c>
      <c r="O22" s="13">
        <v>1.4999999999999999E-7</v>
      </c>
      <c r="P22" s="13">
        <v>1.5E-5</v>
      </c>
      <c r="U22">
        <v>1970</v>
      </c>
      <c r="V22">
        <v>7200</v>
      </c>
      <c r="W22" s="13">
        <v>7.1853251477000421E-4</v>
      </c>
      <c r="X22" s="13">
        <f t="shared" si="0"/>
        <v>7.1853251477000417E-6</v>
      </c>
      <c r="Y22" s="13">
        <f t="shared" si="1"/>
        <v>7.1853251477000421E-4</v>
      </c>
      <c r="Z22" s="13">
        <f t="shared" si="2"/>
        <v>7.1853251477000417E-6</v>
      </c>
      <c r="AA22" s="13">
        <f t="shared" si="3"/>
        <v>7.1853251477000421E-4</v>
      </c>
    </row>
    <row r="23" spans="1:37" x14ac:dyDescent="0.45">
      <c r="A23" t="s">
        <v>155</v>
      </c>
      <c r="B23">
        <v>756000</v>
      </c>
      <c r="C23" s="13">
        <v>4.0194545758826119E-4</v>
      </c>
      <c r="D23" s="13">
        <v>4.0194545758826129E-6</v>
      </c>
      <c r="E23" s="13">
        <v>4.0194545758826119E-4</v>
      </c>
      <c r="F23" s="13">
        <v>4.0194545758826129E-6</v>
      </c>
      <c r="G23" s="13">
        <v>4.0194545758826119E-4</v>
      </c>
      <c r="H23" s="1">
        <v>22</v>
      </c>
      <c r="I23">
        <v>36000</v>
      </c>
      <c r="K23" s="2">
        <v>400000000</v>
      </c>
      <c r="L23" s="13">
        <v>1.5E-5</v>
      </c>
      <c r="M23" s="13">
        <v>1.4999999999999999E-7</v>
      </c>
      <c r="N23" s="13">
        <v>1.5E-5</v>
      </c>
      <c r="O23" s="13">
        <v>1.4999999999999999E-7</v>
      </c>
      <c r="P23" s="13">
        <v>1.5E-5</v>
      </c>
      <c r="U23">
        <v>1971</v>
      </c>
      <c r="V23">
        <v>7560</v>
      </c>
      <c r="W23" s="13">
        <v>6.9554227893998163E-4</v>
      </c>
      <c r="X23" s="13">
        <f t="shared" si="0"/>
        <v>6.9554227893998164E-6</v>
      </c>
      <c r="Y23" s="13">
        <f t="shared" si="1"/>
        <v>6.9554227893998163E-4</v>
      </c>
      <c r="Z23" s="13">
        <f t="shared" si="2"/>
        <v>6.9554227893998164E-6</v>
      </c>
      <c r="AA23" s="13">
        <f t="shared" si="3"/>
        <v>6.9554227893998163E-4</v>
      </c>
    </row>
    <row r="24" spans="1:37" x14ac:dyDescent="0.45">
      <c r="A24" t="s">
        <v>156</v>
      </c>
      <c r="B24">
        <v>792000</v>
      </c>
      <c r="C24" s="13">
        <v>3.8985191691456687E-4</v>
      </c>
      <c r="D24" s="13">
        <v>3.8985191691456689E-6</v>
      </c>
      <c r="E24" s="13">
        <v>3.8985191691456687E-4</v>
      </c>
      <c r="F24" s="13">
        <v>3.8985191691456689E-6</v>
      </c>
      <c r="G24" s="13">
        <v>3.8985191691456687E-4</v>
      </c>
      <c r="H24" s="1">
        <v>23</v>
      </c>
      <c r="I24">
        <v>36000</v>
      </c>
      <c r="U24">
        <v>1972</v>
      </c>
      <c r="V24">
        <v>7920</v>
      </c>
      <c r="W24" s="13">
        <v>5.7253061645059339E-4</v>
      </c>
      <c r="X24" s="13">
        <f t="shared" si="0"/>
        <v>5.7253061645059336E-6</v>
      </c>
      <c r="Y24" s="13">
        <f t="shared" si="1"/>
        <v>5.7253061645059339E-4</v>
      </c>
      <c r="Z24" s="13">
        <f t="shared" si="2"/>
        <v>5.7253061645059336E-6</v>
      </c>
      <c r="AA24" s="13">
        <f t="shared" si="3"/>
        <v>5.7253061645059339E-4</v>
      </c>
    </row>
    <row r="25" spans="1:37" x14ac:dyDescent="0.45">
      <c r="A25" t="s">
        <v>157</v>
      </c>
      <c r="B25">
        <v>828000</v>
      </c>
      <c r="C25" s="13">
        <v>3.7594764554552509E-4</v>
      </c>
      <c r="D25" s="13">
        <v>3.759476455455251E-6</v>
      </c>
      <c r="E25" s="13">
        <v>3.7594764554552509E-4</v>
      </c>
      <c r="F25" s="13">
        <v>3.759476455455251E-6</v>
      </c>
      <c r="G25" s="13">
        <v>3.7594764554552509E-4</v>
      </c>
      <c r="H25" s="1">
        <v>24</v>
      </c>
      <c r="I25">
        <v>36000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U25">
        <v>1973</v>
      </c>
      <c r="V25">
        <v>8280</v>
      </c>
      <c r="W25" s="13">
        <v>7.5562383814068183E-4</v>
      </c>
      <c r="X25" s="13">
        <f t="shared" si="0"/>
        <v>7.556238381406818E-6</v>
      </c>
      <c r="Y25" s="13">
        <f t="shared" si="1"/>
        <v>7.5562383814068183E-4</v>
      </c>
      <c r="Z25" s="13">
        <f t="shared" si="2"/>
        <v>7.556238381406818E-6</v>
      </c>
      <c r="AA25" s="13">
        <f t="shared" si="3"/>
        <v>7.5562383814068183E-4</v>
      </c>
    </row>
    <row r="26" spans="1:37" x14ac:dyDescent="0.45">
      <c r="A26" t="s">
        <v>158</v>
      </c>
      <c r="B26">
        <v>864000</v>
      </c>
      <c r="C26" s="13">
        <v>3.6014054718294571E-4</v>
      </c>
      <c r="D26" s="13">
        <v>3.601405471829457E-6</v>
      </c>
      <c r="E26" s="13">
        <v>3.6014054718294571E-4</v>
      </c>
      <c r="F26" s="13">
        <v>3.601405471829457E-6</v>
      </c>
      <c r="G26" s="13">
        <v>3.6014054718294571E-4</v>
      </c>
      <c r="H26" s="1">
        <v>25</v>
      </c>
      <c r="I26">
        <v>36000</v>
      </c>
      <c r="K26">
        <v>0</v>
      </c>
      <c r="L26">
        <v>0</v>
      </c>
      <c r="M26">
        <v>1</v>
      </c>
      <c r="N26">
        <v>1</v>
      </c>
      <c r="O26" t="s">
        <v>33</v>
      </c>
      <c r="U26">
        <v>1974</v>
      </c>
      <c r="V26">
        <v>8640</v>
      </c>
      <c r="W26" s="13">
        <v>4.7956646402789609E-4</v>
      </c>
      <c r="X26" s="13">
        <f t="shared" si="0"/>
        <v>4.7956646402789611E-6</v>
      </c>
      <c r="Y26" s="13">
        <f t="shared" si="1"/>
        <v>4.7956646402789609E-4</v>
      </c>
      <c r="Z26" s="13">
        <f t="shared" si="2"/>
        <v>4.7956646402789611E-6</v>
      </c>
      <c r="AA26" s="13">
        <f t="shared" si="3"/>
        <v>4.7956646402789609E-4</v>
      </c>
    </row>
    <row r="27" spans="1:37" x14ac:dyDescent="0.45">
      <c r="A27" t="s">
        <v>159</v>
      </c>
      <c r="B27">
        <v>900000</v>
      </c>
      <c r="C27" s="13">
        <v>3.8655381661571232E-4</v>
      </c>
      <c r="D27" s="13">
        <v>3.8655381661571232E-6</v>
      </c>
      <c r="E27" s="13">
        <v>3.8655381661571232E-4</v>
      </c>
      <c r="F27" s="13">
        <v>3.8655381661571232E-6</v>
      </c>
      <c r="G27" s="13">
        <v>3.8655381661571232E-4</v>
      </c>
      <c r="H27" s="1">
        <v>26</v>
      </c>
      <c r="I27">
        <v>36000</v>
      </c>
      <c r="K27">
        <v>1</v>
      </c>
      <c r="L27">
        <v>2520000</v>
      </c>
      <c r="M27">
        <v>100</v>
      </c>
      <c r="N27">
        <v>1</v>
      </c>
      <c r="O27" t="s">
        <v>160</v>
      </c>
      <c r="U27">
        <v>1975</v>
      </c>
      <c r="V27">
        <v>9000</v>
      </c>
      <c r="W27" s="13">
        <v>3.77861344903145E-4</v>
      </c>
      <c r="X27" s="13">
        <f t="shared" si="0"/>
        <v>3.77861344903145E-6</v>
      </c>
      <c r="Y27" s="13">
        <f t="shared" si="1"/>
        <v>3.77861344903145E-4</v>
      </c>
      <c r="Z27" s="13">
        <f t="shared" si="2"/>
        <v>3.77861344903145E-6</v>
      </c>
      <c r="AA27" s="13">
        <f t="shared" si="3"/>
        <v>3.77861344903145E-4</v>
      </c>
    </row>
    <row r="28" spans="1:37" x14ac:dyDescent="0.45">
      <c r="A28" t="s">
        <v>161</v>
      </c>
      <c r="B28">
        <v>936000</v>
      </c>
      <c r="C28" s="13">
        <v>3.4059275703610109E-4</v>
      </c>
      <c r="D28" s="13">
        <v>3.4059275703610119E-6</v>
      </c>
      <c r="E28" s="13">
        <v>3.4059275703610109E-4</v>
      </c>
      <c r="F28" s="13">
        <v>3.4059275703610119E-6</v>
      </c>
      <c r="G28" s="13">
        <v>3.4059275703610109E-4</v>
      </c>
      <c r="H28" s="1">
        <v>27</v>
      </c>
      <c r="I28">
        <v>36000</v>
      </c>
      <c r="K28">
        <v>2</v>
      </c>
      <c r="L28">
        <v>1080000</v>
      </c>
      <c r="M28">
        <v>200</v>
      </c>
      <c r="N28">
        <v>1</v>
      </c>
      <c r="O28" t="s">
        <v>162</v>
      </c>
      <c r="U28">
        <v>1976</v>
      </c>
      <c r="V28">
        <v>9360</v>
      </c>
      <c r="W28" s="13">
        <v>6.3076157488416986E-4</v>
      </c>
      <c r="X28" s="13">
        <f t="shared" si="0"/>
        <v>6.3076157488416987E-6</v>
      </c>
      <c r="Y28" s="13">
        <f t="shared" si="1"/>
        <v>6.3076157488416986E-4</v>
      </c>
      <c r="Z28" s="13">
        <f t="shared" si="2"/>
        <v>6.3076157488416987E-6</v>
      </c>
      <c r="AA28" s="13">
        <f t="shared" si="3"/>
        <v>6.3076157488416986E-4</v>
      </c>
    </row>
    <row r="29" spans="1:37" x14ac:dyDescent="0.45">
      <c r="A29" t="s">
        <v>163</v>
      </c>
      <c r="B29">
        <v>972000</v>
      </c>
      <c r="C29" s="13">
        <v>3.6386116377204171E-4</v>
      </c>
      <c r="D29" s="13">
        <v>3.6386116377204171E-6</v>
      </c>
      <c r="E29" s="13">
        <v>3.6386116377204171E-4</v>
      </c>
      <c r="F29" s="13">
        <v>3.6386116377204171E-6</v>
      </c>
      <c r="G29" s="13">
        <v>3.6386116377204171E-4</v>
      </c>
      <c r="H29" s="1">
        <v>28</v>
      </c>
      <c r="I29">
        <v>36000</v>
      </c>
      <c r="K29">
        <v>3</v>
      </c>
      <c r="L29">
        <v>180000</v>
      </c>
      <c r="M29">
        <v>500</v>
      </c>
      <c r="N29">
        <v>1</v>
      </c>
      <c r="O29" t="s">
        <v>164</v>
      </c>
      <c r="U29">
        <v>1977</v>
      </c>
      <c r="V29">
        <v>9720</v>
      </c>
      <c r="W29" s="13">
        <v>5.3573866388844803E-4</v>
      </c>
      <c r="X29" s="13">
        <f t="shared" si="0"/>
        <v>5.35738663888448E-6</v>
      </c>
      <c r="Y29" s="13">
        <f t="shared" si="1"/>
        <v>5.3573866388844803E-4</v>
      </c>
      <c r="Z29" s="13">
        <f t="shared" si="2"/>
        <v>5.35738663888448E-6</v>
      </c>
      <c r="AA29" s="13">
        <f t="shared" si="3"/>
        <v>5.3573866388844803E-4</v>
      </c>
    </row>
    <row r="30" spans="1:37" x14ac:dyDescent="0.45">
      <c r="A30" t="s">
        <v>165</v>
      </c>
      <c r="B30">
        <v>1008000</v>
      </c>
      <c r="C30" s="13">
        <v>3.5591905573941369E-4</v>
      </c>
      <c r="D30" s="13">
        <v>3.5591905573941368E-6</v>
      </c>
      <c r="E30" s="13">
        <v>3.5591905573941369E-4</v>
      </c>
      <c r="F30" s="13">
        <v>3.5591905573941368E-6</v>
      </c>
      <c r="G30" s="13">
        <v>3.5591905573941369E-4</v>
      </c>
      <c r="H30" s="1">
        <v>29</v>
      </c>
      <c r="I30">
        <v>36000</v>
      </c>
      <c r="K30">
        <v>4</v>
      </c>
      <c r="L30">
        <v>17820000</v>
      </c>
      <c r="M30">
        <v>495</v>
      </c>
      <c r="N30">
        <v>1</v>
      </c>
      <c r="O30" t="s">
        <v>166</v>
      </c>
      <c r="U30">
        <v>1978</v>
      </c>
      <c r="V30">
        <v>10080</v>
      </c>
      <c r="W30" s="13">
        <v>5.1650487503666432E-4</v>
      </c>
      <c r="X30" s="13">
        <f t="shared" si="0"/>
        <v>5.165048750366643E-6</v>
      </c>
      <c r="Y30" s="13">
        <f t="shared" si="1"/>
        <v>5.1650487503666432E-4</v>
      </c>
      <c r="Z30" s="13">
        <f t="shared" si="2"/>
        <v>5.165048750366643E-6</v>
      </c>
      <c r="AA30" s="13">
        <f t="shared" si="3"/>
        <v>5.1650487503666432E-4</v>
      </c>
    </row>
    <row r="31" spans="1:37" x14ac:dyDescent="0.45">
      <c r="A31" t="s">
        <v>167</v>
      </c>
      <c r="B31">
        <v>1044000</v>
      </c>
      <c r="C31" s="13">
        <v>3.8112619742308008E-4</v>
      </c>
      <c r="D31" s="13">
        <v>3.811261974230801E-6</v>
      </c>
      <c r="E31" s="13">
        <v>3.8112619742308008E-4</v>
      </c>
      <c r="F31" s="13">
        <v>3.811261974230801E-6</v>
      </c>
      <c r="G31" s="13">
        <v>3.8112619742308008E-4</v>
      </c>
      <c r="H31" s="1">
        <v>30</v>
      </c>
      <c r="I31">
        <v>36000</v>
      </c>
      <c r="K31">
        <v>5</v>
      </c>
      <c r="L31">
        <v>360000000</v>
      </c>
      <c r="M31">
        <v>100</v>
      </c>
      <c r="N31">
        <v>1</v>
      </c>
      <c r="O31" t="s">
        <v>168</v>
      </c>
      <c r="U31">
        <v>1979</v>
      </c>
      <c r="V31">
        <v>10440</v>
      </c>
      <c r="W31" s="13">
        <v>6.206520086059846E-4</v>
      </c>
      <c r="X31" s="13">
        <f t="shared" si="0"/>
        <v>6.2065200860598463E-6</v>
      </c>
      <c r="Y31" s="13">
        <f t="shared" si="1"/>
        <v>6.206520086059846E-4</v>
      </c>
      <c r="Z31" s="13">
        <f t="shared" si="2"/>
        <v>6.2065200860598463E-6</v>
      </c>
      <c r="AA31" s="13">
        <f t="shared" si="3"/>
        <v>6.206520086059846E-4</v>
      </c>
    </row>
    <row r="32" spans="1:37" x14ac:dyDescent="0.45">
      <c r="A32" t="s">
        <v>169</v>
      </c>
      <c r="B32">
        <v>1080000</v>
      </c>
      <c r="C32" s="13">
        <v>3.8564983819733951E-4</v>
      </c>
      <c r="D32" s="13">
        <v>3.8564983819733944E-6</v>
      </c>
      <c r="E32" s="13">
        <v>3.8564983819733951E-4</v>
      </c>
      <c r="F32" s="13">
        <v>3.8564983819733944E-6</v>
      </c>
      <c r="G32" s="13">
        <v>3.8564983819733951E-4</v>
      </c>
      <c r="H32" s="1">
        <v>31</v>
      </c>
      <c r="I32">
        <v>36000</v>
      </c>
      <c r="U32">
        <v>1980</v>
      </c>
      <c r="V32">
        <v>10800</v>
      </c>
      <c r="W32" s="13">
        <v>7.195322821158302E-4</v>
      </c>
      <c r="X32" s="13">
        <f t="shared" si="0"/>
        <v>7.195322821158302E-6</v>
      </c>
      <c r="Y32" s="13">
        <f t="shared" si="1"/>
        <v>7.195322821158302E-4</v>
      </c>
      <c r="Z32" s="13">
        <f t="shared" si="2"/>
        <v>7.195322821158302E-6</v>
      </c>
      <c r="AA32" s="13">
        <f t="shared" si="3"/>
        <v>7.195322821158302E-4</v>
      </c>
    </row>
    <row r="33" spans="1:39" x14ac:dyDescent="0.45">
      <c r="A33" t="s">
        <v>170</v>
      </c>
      <c r="B33">
        <v>1116000</v>
      </c>
      <c r="C33" s="13">
        <v>4.0675340750954058E-4</v>
      </c>
      <c r="D33" s="13">
        <v>4.067534075095406E-6</v>
      </c>
      <c r="E33" s="13">
        <v>4.0675340750954058E-4</v>
      </c>
      <c r="F33" s="13">
        <v>4.067534075095406E-6</v>
      </c>
      <c r="G33" s="13">
        <v>4.0675340750954058E-4</v>
      </c>
      <c r="H33" s="1">
        <v>32</v>
      </c>
      <c r="I33">
        <v>36000</v>
      </c>
      <c r="U33">
        <v>1981</v>
      </c>
      <c r="V33">
        <v>11160</v>
      </c>
      <c r="W33" s="13">
        <v>2.9134882445236649E-4</v>
      </c>
      <c r="X33" s="13">
        <f t="shared" si="0"/>
        <v>2.9134882445236648E-6</v>
      </c>
      <c r="Y33" s="13">
        <f t="shared" si="1"/>
        <v>2.9134882445236649E-4</v>
      </c>
      <c r="Z33" s="13">
        <f t="shared" si="2"/>
        <v>2.9134882445236648E-6</v>
      </c>
      <c r="AA33" s="13">
        <f t="shared" si="3"/>
        <v>2.9134882445236649E-4</v>
      </c>
    </row>
    <row r="34" spans="1:39" x14ac:dyDescent="0.45">
      <c r="A34" t="s">
        <v>171</v>
      </c>
      <c r="B34">
        <v>1152000</v>
      </c>
      <c r="C34" s="13">
        <v>4.3235256812404227E-4</v>
      </c>
      <c r="D34" s="13">
        <v>4.3235256812404232E-6</v>
      </c>
      <c r="E34" s="13">
        <v>4.3235256812404227E-4</v>
      </c>
      <c r="F34" s="13">
        <v>4.3235256812404232E-6</v>
      </c>
      <c r="G34" s="13">
        <v>4.3235256812404227E-4</v>
      </c>
      <c r="H34" s="1">
        <v>33</v>
      </c>
      <c r="I34">
        <v>36000</v>
      </c>
      <c r="U34">
        <v>1982</v>
      </c>
      <c r="V34">
        <v>11520</v>
      </c>
      <c r="W34" s="13">
        <v>5.0209969717145185E-4</v>
      </c>
      <c r="X34" s="13">
        <f t="shared" ref="X34:X65" si="4">+W34/100</f>
        <v>5.0209969717145189E-6</v>
      </c>
      <c r="Y34" s="13">
        <f t="shared" ref="Y34:Y65" si="5">+W34</f>
        <v>5.0209969717145185E-4</v>
      </c>
      <c r="Z34" s="13">
        <f t="shared" ref="Z34:Z65" si="6">+Y34/100</f>
        <v>5.0209969717145189E-6</v>
      </c>
      <c r="AA34" s="13">
        <f t="shared" ref="AA34:AA65" si="7">+W34</f>
        <v>5.0209969717145185E-4</v>
      </c>
    </row>
    <row r="35" spans="1:39" x14ac:dyDescent="0.45">
      <c r="A35" t="s">
        <v>172</v>
      </c>
      <c r="B35">
        <v>1188000</v>
      </c>
      <c r="C35" s="13">
        <v>4.0244531071091812E-4</v>
      </c>
      <c r="D35" s="13">
        <v>4.0244531071091813E-6</v>
      </c>
      <c r="E35" s="13">
        <v>4.0244531071091812E-4</v>
      </c>
      <c r="F35" s="13">
        <v>4.0244531071091813E-6</v>
      </c>
      <c r="G35" s="13">
        <v>4.0244531071091812E-4</v>
      </c>
      <c r="H35" s="1">
        <v>34</v>
      </c>
      <c r="I35">
        <v>36000</v>
      </c>
      <c r="U35">
        <v>1983</v>
      </c>
      <c r="V35">
        <v>11880</v>
      </c>
      <c r="W35" s="13">
        <v>7.4802277554614563E-4</v>
      </c>
      <c r="X35" s="13">
        <f t="shared" si="4"/>
        <v>7.4802277554614559E-6</v>
      </c>
      <c r="Y35" s="13">
        <f t="shared" si="5"/>
        <v>7.4802277554614563E-4</v>
      </c>
      <c r="Z35" s="13">
        <f t="shared" si="6"/>
        <v>7.4802277554614559E-6</v>
      </c>
      <c r="AA35" s="13">
        <f t="shared" si="7"/>
        <v>7.4802277554614563E-4</v>
      </c>
    </row>
    <row r="36" spans="1:39" x14ac:dyDescent="0.45">
      <c r="A36" t="s">
        <v>173</v>
      </c>
      <c r="B36">
        <v>1224000</v>
      </c>
      <c r="C36" s="13">
        <v>3.8279755187834249E-4</v>
      </c>
      <c r="D36" s="13">
        <v>3.827975518783425E-6</v>
      </c>
      <c r="E36" s="13">
        <v>3.8279755187834249E-4</v>
      </c>
      <c r="F36" s="13">
        <v>3.827975518783425E-6</v>
      </c>
      <c r="G36" s="13">
        <v>3.8279755187834249E-4</v>
      </c>
      <c r="H36" s="1">
        <v>35</v>
      </c>
      <c r="I36">
        <v>36000</v>
      </c>
      <c r="U36">
        <v>1984</v>
      </c>
      <c r="V36">
        <v>12240</v>
      </c>
      <c r="W36" s="13">
        <v>5.6061012672548299E-4</v>
      </c>
      <c r="X36" s="13">
        <f t="shared" si="4"/>
        <v>5.6061012672548299E-6</v>
      </c>
      <c r="Y36" s="13">
        <f t="shared" si="5"/>
        <v>5.6061012672548299E-4</v>
      </c>
      <c r="Z36" s="13">
        <f t="shared" si="6"/>
        <v>5.6061012672548299E-6</v>
      </c>
      <c r="AA36" s="13">
        <f t="shared" si="7"/>
        <v>5.6061012672548299E-4</v>
      </c>
    </row>
    <row r="37" spans="1:39" x14ac:dyDescent="0.45">
      <c r="A37" t="s">
        <v>174</v>
      </c>
      <c r="B37">
        <v>1260000</v>
      </c>
      <c r="C37" s="13">
        <v>4.1494006172118782E-4</v>
      </c>
      <c r="D37" s="13">
        <v>4.1494006172118781E-6</v>
      </c>
      <c r="E37" s="13">
        <v>4.1494006172118782E-4</v>
      </c>
      <c r="F37" s="13">
        <v>4.1494006172118781E-6</v>
      </c>
      <c r="G37" s="13">
        <v>4.1494006172118782E-4</v>
      </c>
      <c r="H37" s="1">
        <v>36</v>
      </c>
      <c r="I37">
        <v>36000</v>
      </c>
      <c r="U37">
        <v>1985</v>
      </c>
      <c r="V37">
        <v>12600</v>
      </c>
      <c r="W37" s="13">
        <v>8.2964178446747177E-4</v>
      </c>
      <c r="X37" s="13">
        <f t="shared" si="4"/>
        <v>8.2964178446747183E-6</v>
      </c>
      <c r="Y37" s="13">
        <f t="shared" si="5"/>
        <v>8.2964178446747177E-4</v>
      </c>
      <c r="Z37" s="13">
        <f t="shared" si="6"/>
        <v>8.2964178446747183E-6</v>
      </c>
      <c r="AA37" s="13">
        <f t="shared" si="7"/>
        <v>8.2964178446747177E-4</v>
      </c>
    </row>
    <row r="38" spans="1:39" x14ac:dyDescent="0.45">
      <c r="A38" t="s">
        <v>175</v>
      </c>
      <c r="B38">
        <v>1296000</v>
      </c>
      <c r="C38" s="13">
        <v>4.1241937948110141E-4</v>
      </c>
      <c r="D38" s="13">
        <v>4.1241937948110141E-6</v>
      </c>
      <c r="E38" s="13">
        <v>4.1241937948110141E-4</v>
      </c>
      <c r="F38" s="13">
        <v>4.1241937948110141E-6</v>
      </c>
      <c r="G38" s="13">
        <v>4.1241937948110141E-4</v>
      </c>
      <c r="H38" s="1">
        <v>37</v>
      </c>
      <c r="I38">
        <v>36000</v>
      </c>
      <c r="U38">
        <v>1986</v>
      </c>
      <c r="V38">
        <v>12960</v>
      </c>
      <c r="W38" s="13">
        <v>5.5192525783438826E-4</v>
      </c>
      <c r="X38" s="13">
        <f t="shared" si="4"/>
        <v>5.5192525783438831E-6</v>
      </c>
      <c r="Y38" s="13">
        <f t="shared" si="5"/>
        <v>5.5192525783438826E-4</v>
      </c>
      <c r="Z38" s="13">
        <f t="shared" si="6"/>
        <v>5.5192525783438831E-6</v>
      </c>
      <c r="AA38" s="13">
        <f t="shared" si="7"/>
        <v>5.5192525783438826E-4</v>
      </c>
    </row>
    <row r="39" spans="1:39" x14ac:dyDescent="0.45">
      <c r="A39" t="s">
        <v>176</v>
      </c>
      <c r="B39">
        <v>1332000</v>
      </c>
      <c r="C39" s="13">
        <v>3.9824513515693722E-4</v>
      </c>
      <c r="D39" s="13">
        <v>3.982451351569372E-6</v>
      </c>
      <c r="E39" s="13">
        <v>3.9824513515693722E-4</v>
      </c>
      <c r="F39" s="13">
        <v>3.982451351569372E-6</v>
      </c>
      <c r="G39" s="13">
        <v>3.9824513515693722E-4</v>
      </c>
      <c r="H39" s="1">
        <v>38</v>
      </c>
      <c r="I39">
        <v>36000</v>
      </c>
      <c r="U39">
        <v>1987</v>
      </c>
      <c r="V39">
        <v>13320</v>
      </c>
      <c r="W39" s="13">
        <v>2.594301690595899E-4</v>
      </c>
      <c r="X39" s="13">
        <f t="shared" si="4"/>
        <v>2.594301690595899E-6</v>
      </c>
      <c r="Y39" s="13">
        <f t="shared" si="5"/>
        <v>2.594301690595899E-4</v>
      </c>
      <c r="Z39" s="13">
        <f t="shared" si="6"/>
        <v>2.594301690595899E-6</v>
      </c>
      <c r="AA39" s="13">
        <f t="shared" si="7"/>
        <v>2.594301690595899E-4</v>
      </c>
    </row>
    <row r="40" spans="1:39" x14ac:dyDescent="0.45">
      <c r="A40" t="s">
        <v>177</v>
      </c>
      <c r="B40">
        <v>1368000</v>
      </c>
      <c r="C40" s="13">
        <v>4.1024957420026298E-4</v>
      </c>
      <c r="D40" s="13">
        <v>4.1024957420026276E-6</v>
      </c>
      <c r="E40" s="13">
        <v>4.1024957420026298E-4</v>
      </c>
      <c r="F40" s="13">
        <v>4.1024957420026276E-6</v>
      </c>
      <c r="G40" s="13">
        <v>4.1024957420026298E-4</v>
      </c>
      <c r="H40" s="1">
        <v>39</v>
      </c>
      <c r="I40">
        <v>36000</v>
      </c>
      <c r="U40">
        <v>1988</v>
      </c>
      <c r="V40">
        <v>13680</v>
      </c>
      <c r="W40" s="13">
        <v>5.8758806918154829E-4</v>
      </c>
      <c r="X40" s="13">
        <f t="shared" si="4"/>
        <v>5.875880691815483E-6</v>
      </c>
      <c r="Y40" s="13">
        <f t="shared" si="5"/>
        <v>5.8758806918154829E-4</v>
      </c>
      <c r="Z40" s="13">
        <f t="shared" si="6"/>
        <v>5.875880691815483E-6</v>
      </c>
      <c r="AA40" s="13">
        <f t="shared" si="7"/>
        <v>5.8758806918154829E-4</v>
      </c>
    </row>
    <row r="41" spans="1:39" x14ac:dyDescent="0.45">
      <c r="A41" t="s">
        <v>178</v>
      </c>
      <c r="B41">
        <v>1404000</v>
      </c>
      <c r="C41" s="13">
        <v>3.5337237147395041E-4</v>
      </c>
      <c r="D41" s="13">
        <v>3.5337237147395038E-6</v>
      </c>
      <c r="E41" s="13">
        <v>3.5337237147395041E-4</v>
      </c>
      <c r="F41" s="13">
        <v>3.5337237147395038E-6</v>
      </c>
      <c r="G41" s="13">
        <v>3.5337237147395041E-4</v>
      </c>
      <c r="H41" s="1">
        <v>40</v>
      </c>
      <c r="I41">
        <v>36000</v>
      </c>
      <c r="U41">
        <v>1989</v>
      </c>
      <c r="V41">
        <v>14040</v>
      </c>
      <c r="W41" s="13">
        <v>7.1827862361545337E-4</v>
      </c>
      <c r="X41" s="13">
        <f t="shared" si="4"/>
        <v>7.1827862361545341E-6</v>
      </c>
      <c r="Y41" s="13">
        <f t="shared" si="5"/>
        <v>7.1827862361545337E-4</v>
      </c>
      <c r="Z41" s="13">
        <f t="shared" si="6"/>
        <v>7.1827862361545341E-6</v>
      </c>
      <c r="AA41" s="13">
        <f t="shared" si="7"/>
        <v>7.1827862361545337E-4</v>
      </c>
    </row>
    <row r="42" spans="1:39" x14ac:dyDescent="0.45">
      <c r="A42" t="s">
        <v>179</v>
      </c>
      <c r="B42">
        <v>1440000</v>
      </c>
      <c r="C42" s="13">
        <v>3.562334261524308E-4</v>
      </c>
      <c r="D42" s="13">
        <v>3.5623342615243082E-6</v>
      </c>
      <c r="E42" s="13">
        <v>3.562334261524308E-4</v>
      </c>
      <c r="F42" s="13">
        <v>3.5623342615243082E-6</v>
      </c>
      <c r="G42" s="13">
        <v>3.562334261524308E-4</v>
      </c>
      <c r="H42" s="1">
        <v>41</v>
      </c>
      <c r="I42">
        <v>36000</v>
      </c>
      <c r="U42">
        <v>1990</v>
      </c>
      <c r="V42">
        <v>14400</v>
      </c>
      <c r="W42" s="13">
        <v>6.3964240766474305E-4</v>
      </c>
      <c r="X42" s="13">
        <f t="shared" si="4"/>
        <v>6.3964240766474304E-6</v>
      </c>
      <c r="Y42" s="13">
        <f t="shared" si="5"/>
        <v>6.3964240766474305E-4</v>
      </c>
      <c r="Z42" s="13">
        <f t="shared" si="6"/>
        <v>6.3964240766474304E-6</v>
      </c>
      <c r="AA42" s="13">
        <f t="shared" si="7"/>
        <v>6.3964240766474305E-4</v>
      </c>
    </row>
    <row r="43" spans="1:39" x14ac:dyDescent="0.45">
      <c r="A43" t="s">
        <v>180</v>
      </c>
      <c r="B43">
        <v>1476000</v>
      </c>
      <c r="C43" s="13">
        <v>3.4307615947849968E-4</v>
      </c>
      <c r="D43" s="13">
        <v>3.4307615947849972E-6</v>
      </c>
      <c r="E43" s="13">
        <v>3.4307615947849968E-4</v>
      </c>
      <c r="F43" s="13">
        <v>3.4307615947849972E-6</v>
      </c>
      <c r="G43" s="13">
        <v>3.4307615947849968E-4</v>
      </c>
      <c r="H43" s="1">
        <v>42</v>
      </c>
      <c r="I43">
        <v>36000</v>
      </c>
      <c r="U43">
        <v>1991</v>
      </c>
      <c r="V43">
        <v>14760</v>
      </c>
      <c r="W43" s="13">
        <v>6.4218380286974329E-4</v>
      </c>
      <c r="X43" s="13">
        <f t="shared" si="4"/>
        <v>6.4218380286974329E-6</v>
      </c>
      <c r="Y43" s="13">
        <f t="shared" si="5"/>
        <v>6.4218380286974329E-4</v>
      </c>
      <c r="Z43" s="13">
        <f t="shared" si="6"/>
        <v>6.4218380286974329E-6</v>
      </c>
      <c r="AA43" s="13">
        <f t="shared" si="7"/>
        <v>6.4218380286974329E-4</v>
      </c>
    </row>
    <row r="44" spans="1:39" x14ac:dyDescent="0.45">
      <c r="A44" t="s">
        <v>181</v>
      </c>
      <c r="B44">
        <v>1512000</v>
      </c>
      <c r="C44" s="13">
        <v>3.4153083830973011E-4</v>
      </c>
      <c r="D44" s="13">
        <v>3.4153083830973001E-6</v>
      </c>
      <c r="E44" s="13">
        <v>3.4153083830973011E-4</v>
      </c>
      <c r="F44" s="13">
        <v>3.4153083830973001E-6</v>
      </c>
      <c r="G44" s="13">
        <v>3.4153083830973011E-4</v>
      </c>
      <c r="H44" s="1">
        <v>43</v>
      </c>
      <c r="I44">
        <v>36000</v>
      </c>
      <c r="U44">
        <v>1992</v>
      </c>
      <c r="V44">
        <v>15120</v>
      </c>
      <c r="W44" s="13">
        <v>7.9556383137322937E-4</v>
      </c>
      <c r="X44" s="13">
        <f t="shared" si="4"/>
        <v>7.9556383137322939E-6</v>
      </c>
      <c r="Y44" s="13">
        <f t="shared" si="5"/>
        <v>7.9556383137322937E-4</v>
      </c>
      <c r="Z44" s="13">
        <f t="shared" si="6"/>
        <v>7.9556383137322939E-6</v>
      </c>
      <c r="AA44" s="13">
        <f t="shared" si="7"/>
        <v>7.9556383137322937E-4</v>
      </c>
    </row>
    <row r="45" spans="1:39" x14ac:dyDescent="0.45">
      <c r="A45" t="s">
        <v>182</v>
      </c>
      <c r="B45">
        <v>1548000</v>
      </c>
      <c r="C45" s="13">
        <v>3.2476584551830828E-4</v>
      </c>
      <c r="D45" s="13">
        <v>3.2476584551830828E-6</v>
      </c>
      <c r="E45" s="13">
        <v>3.2476584551830828E-4</v>
      </c>
      <c r="F45" s="13">
        <v>3.2476584551830828E-6</v>
      </c>
      <c r="G45" s="13">
        <v>3.2476584551830828E-4</v>
      </c>
      <c r="H45" s="1">
        <v>44</v>
      </c>
      <c r="I45">
        <v>36000</v>
      </c>
      <c r="U45">
        <v>1993</v>
      </c>
      <c r="V45">
        <v>15480</v>
      </c>
      <c r="W45" s="13">
        <v>4.7143997174482332E-4</v>
      </c>
      <c r="X45" s="13">
        <f t="shared" si="4"/>
        <v>4.7143997174482336E-6</v>
      </c>
      <c r="Y45" s="13">
        <f t="shared" si="5"/>
        <v>4.7143997174482332E-4</v>
      </c>
      <c r="Z45" s="13">
        <f t="shared" si="6"/>
        <v>4.7143997174482336E-6</v>
      </c>
      <c r="AA45" s="13">
        <f t="shared" si="7"/>
        <v>4.7143997174482332E-4</v>
      </c>
    </row>
    <row r="46" spans="1:39" x14ac:dyDescent="0.45">
      <c r="A46" t="s">
        <v>183</v>
      </c>
      <c r="B46">
        <v>1584000</v>
      </c>
      <c r="C46" s="13">
        <v>3.4480665038478159E-4</v>
      </c>
      <c r="D46" s="13">
        <v>3.4480665038478171E-6</v>
      </c>
      <c r="E46" s="13">
        <v>3.4480665038478159E-4</v>
      </c>
      <c r="F46" s="13">
        <v>3.4480665038478171E-6</v>
      </c>
      <c r="G46" s="13">
        <v>3.4480665038478159E-4</v>
      </c>
      <c r="H46" s="1">
        <v>45</v>
      </c>
      <c r="I46">
        <v>36000</v>
      </c>
      <c r="U46">
        <v>1994</v>
      </c>
      <c r="V46">
        <v>15840</v>
      </c>
      <c r="W46" s="13">
        <v>6.1579065355337435E-4</v>
      </c>
      <c r="X46" s="13">
        <f t="shared" si="4"/>
        <v>6.1579065355337439E-6</v>
      </c>
      <c r="Y46" s="13">
        <f t="shared" si="5"/>
        <v>6.1579065355337435E-4</v>
      </c>
      <c r="Z46" s="13">
        <f t="shared" si="6"/>
        <v>6.1579065355337439E-6</v>
      </c>
      <c r="AA46" s="13">
        <f t="shared" si="7"/>
        <v>6.1579065355337435E-4</v>
      </c>
      <c r="AD46" t="s">
        <v>89</v>
      </c>
      <c r="AE46" t="s">
        <v>82</v>
      </c>
      <c r="AF46" t="s">
        <v>124</v>
      </c>
      <c r="AG46" t="s">
        <v>114</v>
      </c>
      <c r="AH46" t="s">
        <v>115</v>
      </c>
      <c r="AI46" t="s">
        <v>116</v>
      </c>
      <c r="AJ46" t="s">
        <v>117</v>
      </c>
      <c r="AK46" t="s">
        <v>118</v>
      </c>
      <c r="AL46" t="s">
        <v>119</v>
      </c>
      <c r="AM46" t="s">
        <v>120</v>
      </c>
    </row>
    <row r="47" spans="1:39" x14ac:dyDescent="0.45">
      <c r="A47" t="s">
        <v>184</v>
      </c>
      <c r="B47">
        <v>1620000</v>
      </c>
      <c r="C47" s="13">
        <v>3.3771327481351879E-4</v>
      </c>
      <c r="D47" s="13">
        <v>3.3771327481351882E-6</v>
      </c>
      <c r="E47" s="13">
        <v>3.3771327481351879E-4</v>
      </c>
      <c r="F47" s="13">
        <v>3.3771327481351882E-6</v>
      </c>
      <c r="G47" s="13">
        <v>3.3771327481351879E-4</v>
      </c>
      <c r="H47" s="1">
        <v>46</v>
      </c>
      <c r="I47">
        <v>36000</v>
      </c>
      <c r="U47">
        <v>1995</v>
      </c>
      <c r="V47">
        <v>16200</v>
      </c>
      <c r="W47" s="13">
        <v>6.1124317251300023E-4</v>
      </c>
      <c r="X47" s="13">
        <f t="shared" si="4"/>
        <v>6.1124317251300025E-6</v>
      </c>
      <c r="Y47" s="13">
        <f t="shared" si="5"/>
        <v>6.1124317251300023E-4</v>
      </c>
      <c r="Z47" s="13">
        <f t="shared" si="6"/>
        <v>6.1124317251300025E-6</v>
      </c>
      <c r="AA47" s="13">
        <f t="shared" si="7"/>
        <v>6.1124317251300023E-4</v>
      </c>
      <c r="AD47" t="s">
        <v>91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45">
      <c r="A48" t="s">
        <v>185</v>
      </c>
      <c r="B48">
        <v>1656000</v>
      </c>
      <c r="C48" s="13">
        <v>3.5551618869470369E-4</v>
      </c>
      <c r="D48" s="13">
        <v>3.5551618869470369E-6</v>
      </c>
      <c r="E48" s="13">
        <v>3.5551618869470369E-4</v>
      </c>
      <c r="F48" s="13">
        <v>3.5551618869470369E-6</v>
      </c>
      <c r="G48" s="13">
        <v>3.5551618869470369E-4</v>
      </c>
      <c r="H48" s="1">
        <v>47</v>
      </c>
      <c r="I48">
        <v>36000</v>
      </c>
      <c r="U48">
        <v>1996</v>
      </c>
      <c r="V48">
        <v>16560</v>
      </c>
      <c r="W48" s="13">
        <v>8.2762994075904659E-4</v>
      </c>
      <c r="X48" s="13">
        <f t="shared" si="4"/>
        <v>8.2762994075904666E-6</v>
      </c>
      <c r="Y48" s="13">
        <f t="shared" si="5"/>
        <v>8.2762994075904659E-4</v>
      </c>
      <c r="Z48" s="13">
        <f t="shared" si="6"/>
        <v>8.2762994075904666E-6</v>
      </c>
      <c r="AA48" s="13">
        <f t="shared" si="7"/>
        <v>8.2762994075904659E-4</v>
      </c>
      <c r="AD48" t="s">
        <v>91</v>
      </c>
      <c r="AE48" s="2">
        <v>3600000</v>
      </c>
      <c r="AF48">
        <v>0</v>
      </c>
      <c r="AG48">
        <v>-1E-3</v>
      </c>
      <c r="AH48">
        <v>-0.02</v>
      </c>
      <c r="AI48">
        <v>-0.2</v>
      </c>
      <c r="AJ48">
        <v>-2</v>
      </c>
      <c r="AK48">
        <v>-10</v>
      </c>
      <c r="AL48">
        <v>-20</v>
      </c>
      <c r="AM48">
        <v>-40</v>
      </c>
    </row>
    <row r="49" spans="1:39" x14ac:dyDescent="0.45">
      <c r="A49" t="s">
        <v>186</v>
      </c>
      <c r="B49">
        <v>1692000</v>
      </c>
      <c r="C49" s="13">
        <v>3.27428783153395E-4</v>
      </c>
      <c r="D49" s="13">
        <v>3.2742878315339498E-6</v>
      </c>
      <c r="E49" s="13">
        <v>3.27428783153395E-4</v>
      </c>
      <c r="F49" s="13">
        <v>3.2742878315339498E-6</v>
      </c>
      <c r="G49" s="13">
        <v>3.27428783153395E-4</v>
      </c>
      <c r="H49" s="1">
        <v>48</v>
      </c>
      <c r="I49">
        <v>36000</v>
      </c>
      <c r="U49">
        <v>1997</v>
      </c>
      <c r="V49">
        <v>16920</v>
      </c>
      <c r="W49" s="13">
        <v>6.7528242245754738E-4</v>
      </c>
      <c r="X49" s="13">
        <f t="shared" si="4"/>
        <v>6.7528242245754739E-6</v>
      </c>
      <c r="Y49" s="13">
        <f t="shared" si="5"/>
        <v>6.7528242245754738E-4</v>
      </c>
      <c r="Z49" s="13">
        <f t="shared" si="6"/>
        <v>6.7528242245754739E-6</v>
      </c>
      <c r="AA49" s="13">
        <f t="shared" si="7"/>
        <v>6.7528242245754738E-4</v>
      </c>
      <c r="AD49" t="s">
        <v>91</v>
      </c>
      <c r="AE49">
        <v>400000000</v>
      </c>
      <c r="AF49">
        <v>0</v>
      </c>
      <c r="AG49">
        <v>-1E-3</v>
      </c>
      <c r="AH49">
        <v>-0.02</v>
      </c>
      <c r="AI49">
        <v>-0.2</v>
      </c>
      <c r="AJ49">
        <v>-2</v>
      </c>
      <c r="AK49">
        <v>-10</v>
      </c>
      <c r="AL49">
        <v>-20</v>
      </c>
      <c r="AM49">
        <v>-40</v>
      </c>
    </row>
    <row r="50" spans="1:39" x14ac:dyDescent="0.45">
      <c r="A50" t="s">
        <v>187</v>
      </c>
      <c r="B50">
        <v>1728000</v>
      </c>
      <c r="C50" s="13">
        <v>3.4061317940349491E-4</v>
      </c>
      <c r="D50" s="13">
        <v>3.4061317940349488E-6</v>
      </c>
      <c r="E50" s="13">
        <v>3.4061317940349491E-4</v>
      </c>
      <c r="F50" s="13">
        <v>3.4061317940349488E-6</v>
      </c>
      <c r="G50" s="13">
        <v>3.4061317940349491E-4</v>
      </c>
      <c r="H50" s="1">
        <v>49</v>
      </c>
      <c r="I50">
        <v>36000</v>
      </c>
      <c r="U50">
        <v>1998</v>
      </c>
      <c r="V50">
        <v>17280</v>
      </c>
      <c r="W50" s="13">
        <v>8.1609027804714629E-4</v>
      </c>
      <c r="X50" s="13">
        <f t="shared" si="4"/>
        <v>8.1609027804714623E-6</v>
      </c>
      <c r="Y50" s="13">
        <f t="shared" si="5"/>
        <v>8.1609027804714629E-4</v>
      </c>
      <c r="Z50" s="13">
        <f t="shared" si="6"/>
        <v>8.1609027804714623E-6</v>
      </c>
      <c r="AA50" s="13">
        <f t="shared" si="7"/>
        <v>8.1609027804714629E-4</v>
      </c>
      <c r="AD50" t="s">
        <v>92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45">
      <c r="A51" t="s">
        <v>188</v>
      </c>
      <c r="B51">
        <v>1764000</v>
      </c>
      <c r="C51" s="13">
        <v>3.3493586187940369E-4</v>
      </c>
      <c r="D51" s="13">
        <v>3.3493586187940372E-6</v>
      </c>
      <c r="E51" s="13">
        <v>3.3493586187940369E-4</v>
      </c>
      <c r="F51" s="13">
        <v>3.3493586187940372E-6</v>
      </c>
      <c r="G51" s="13">
        <v>3.3493586187940369E-4</v>
      </c>
      <c r="H51" s="1">
        <v>50</v>
      </c>
      <c r="I51">
        <v>36000</v>
      </c>
      <c r="U51">
        <v>1999</v>
      </c>
      <c r="V51">
        <v>17640</v>
      </c>
      <c r="W51" s="13">
        <v>3.4945422270553399E-4</v>
      </c>
      <c r="X51" s="13">
        <f t="shared" si="4"/>
        <v>3.4945422270553398E-6</v>
      </c>
      <c r="Y51" s="13">
        <f t="shared" si="5"/>
        <v>3.4945422270553399E-4</v>
      </c>
      <c r="Z51" s="13">
        <f t="shared" si="6"/>
        <v>3.4945422270553398E-6</v>
      </c>
      <c r="AA51" s="13">
        <f t="shared" si="7"/>
        <v>3.4945422270553399E-4</v>
      </c>
      <c r="AD51" t="s">
        <v>92</v>
      </c>
      <c r="AE51" s="2">
        <v>3600000</v>
      </c>
      <c r="AF51">
        <v>0</v>
      </c>
      <c r="AG51">
        <v>-1E-3</v>
      </c>
      <c r="AH51">
        <v>-0.02</v>
      </c>
      <c r="AI51">
        <v>-0.2</v>
      </c>
      <c r="AJ51">
        <v>-2</v>
      </c>
      <c r="AK51">
        <v>-10</v>
      </c>
      <c r="AL51">
        <v>-20</v>
      </c>
      <c r="AM51">
        <v>-40</v>
      </c>
    </row>
    <row r="52" spans="1:39" x14ac:dyDescent="0.45">
      <c r="A52" t="s">
        <v>189</v>
      </c>
      <c r="B52">
        <v>1800000</v>
      </c>
      <c r="C52" s="13">
        <v>4.2675552697665742E-4</v>
      </c>
      <c r="D52" s="13">
        <v>4.2675552697665748E-6</v>
      </c>
      <c r="E52" s="13">
        <v>4.2675552697665742E-4</v>
      </c>
      <c r="F52" s="13">
        <v>4.2675552697665748E-6</v>
      </c>
      <c r="G52" s="13">
        <v>4.2675552697665742E-4</v>
      </c>
      <c r="H52" s="1">
        <v>51</v>
      </c>
      <c r="I52">
        <v>36000</v>
      </c>
      <c r="U52">
        <v>2000</v>
      </c>
      <c r="V52">
        <v>18000</v>
      </c>
      <c r="W52" s="13">
        <v>5.5916517295822666E-4</v>
      </c>
      <c r="X52" s="13">
        <f t="shared" si="4"/>
        <v>5.5916517295822664E-6</v>
      </c>
      <c r="Y52" s="13">
        <f t="shared" si="5"/>
        <v>5.5916517295822666E-4</v>
      </c>
      <c r="Z52" s="13">
        <f t="shared" si="6"/>
        <v>5.5916517295822664E-6</v>
      </c>
      <c r="AA52" s="13">
        <f t="shared" si="7"/>
        <v>5.5916517295822666E-4</v>
      </c>
      <c r="AD52" t="s">
        <v>92</v>
      </c>
      <c r="AE52">
        <v>400000000</v>
      </c>
      <c r="AF52">
        <v>0</v>
      </c>
      <c r="AG52">
        <v>-1E-3</v>
      </c>
      <c r="AH52">
        <v>-0.02</v>
      </c>
      <c r="AI52">
        <v>-0.2</v>
      </c>
      <c r="AJ52">
        <v>-2</v>
      </c>
      <c r="AK52">
        <v>-10</v>
      </c>
      <c r="AL52">
        <v>-20</v>
      </c>
      <c r="AM52">
        <v>-40</v>
      </c>
    </row>
    <row r="53" spans="1:39" x14ac:dyDescent="0.45">
      <c r="A53" t="s">
        <v>190</v>
      </c>
      <c r="B53">
        <v>1836000</v>
      </c>
      <c r="C53" s="13">
        <v>3.7775611616101682E-4</v>
      </c>
      <c r="D53" s="13">
        <v>3.777561161610167E-6</v>
      </c>
      <c r="E53" s="13">
        <v>3.7775611616101682E-4</v>
      </c>
      <c r="F53" s="13">
        <v>3.777561161610167E-6</v>
      </c>
      <c r="G53" s="13">
        <v>3.7775611616101682E-4</v>
      </c>
      <c r="H53" s="1">
        <v>52</v>
      </c>
      <c r="I53">
        <v>36000</v>
      </c>
      <c r="U53">
        <v>2001</v>
      </c>
      <c r="V53">
        <v>18360</v>
      </c>
      <c r="W53" s="13">
        <v>7.3867228076687178E-4</v>
      </c>
      <c r="X53" s="13">
        <f t="shared" si="4"/>
        <v>7.3867228076687175E-6</v>
      </c>
      <c r="Y53" s="13">
        <f t="shared" si="5"/>
        <v>7.3867228076687178E-4</v>
      </c>
      <c r="Z53" s="13">
        <f t="shared" si="6"/>
        <v>7.3867228076687175E-6</v>
      </c>
      <c r="AA53" s="13">
        <f t="shared" si="7"/>
        <v>7.3867228076687178E-4</v>
      </c>
      <c r="AD53" t="s">
        <v>93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45">
      <c r="A54" t="s">
        <v>191</v>
      </c>
      <c r="B54">
        <v>1872000</v>
      </c>
      <c r="C54" s="13">
        <v>3.7177931201416828E-4</v>
      </c>
      <c r="D54" s="13">
        <v>3.717793120141683E-6</v>
      </c>
      <c r="E54" s="13">
        <v>3.7177931201416828E-4</v>
      </c>
      <c r="F54" s="13">
        <v>3.717793120141683E-6</v>
      </c>
      <c r="G54" s="13">
        <v>3.7177931201416828E-4</v>
      </c>
      <c r="H54" s="1">
        <v>53</v>
      </c>
      <c r="I54">
        <v>36000</v>
      </c>
      <c r="U54">
        <v>2002</v>
      </c>
      <c r="V54">
        <v>18720</v>
      </c>
      <c r="W54" s="13">
        <v>7.4209417307762092E-4</v>
      </c>
      <c r="X54" s="13">
        <f t="shared" si="4"/>
        <v>7.4209417307762091E-6</v>
      </c>
      <c r="Y54" s="13">
        <f t="shared" si="5"/>
        <v>7.4209417307762092E-4</v>
      </c>
      <c r="Z54" s="13">
        <f t="shared" si="6"/>
        <v>7.4209417307762091E-6</v>
      </c>
      <c r="AA54" s="13">
        <f t="shared" si="7"/>
        <v>7.4209417307762092E-4</v>
      </c>
      <c r="AD54" t="s">
        <v>93</v>
      </c>
      <c r="AE54" s="2">
        <v>3600000</v>
      </c>
      <c r="AF54">
        <v>0</v>
      </c>
      <c r="AG54">
        <v>-1E-3</v>
      </c>
      <c r="AH54">
        <v>-0.02</v>
      </c>
      <c r="AI54">
        <v>-0.2</v>
      </c>
      <c r="AJ54">
        <v>-2</v>
      </c>
      <c r="AK54">
        <v>-10</v>
      </c>
      <c r="AL54">
        <v>-20</v>
      </c>
      <c r="AM54">
        <v>-40</v>
      </c>
    </row>
    <row r="55" spans="1:39" x14ac:dyDescent="0.45">
      <c r="A55" t="s">
        <v>192</v>
      </c>
      <c r="B55">
        <v>1908000</v>
      </c>
      <c r="C55" s="13">
        <v>3.7494836142030791E-4</v>
      </c>
      <c r="D55" s="13">
        <v>3.749483614203079E-6</v>
      </c>
      <c r="E55" s="13">
        <v>3.7494836142030791E-4</v>
      </c>
      <c r="F55" s="13">
        <v>3.749483614203079E-6</v>
      </c>
      <c r="G55" s="13">
        <v>3.7494836142030791E-4</v>
      </c>
      <c r="H55" s="1">
        <v>54</v>
      </c>
      <c r="I55">
        <v>36000</v>
      </c>
      <c r="U55">
        <v>2003</v>
      </c>
      <c r="V55">
        <v>19080</v>
      </c>
      <c r="W55" s="13">
        <v>4.6396100700759078E-4</v>
      </c>
      <c r="X55" s="13">
        <f t="shared" si="4"/>
        <v>4.6396100700759076E-6</v>
      </c>
      <c r="Y55" s="13">
        <f t="shared" si="5"/>
        <v>4.6396100700759078E-4</v>
      </c>
      <c r="Z55" s="13">
        <f t="shared" si="6"/>
        <v>4.6396100700759076E-6</v>
      </c>
      <c r="AA55" s="13">
        <f t="shared" si="7"/>
        <v>4.6396100700759078E-4</v>
      </c>
      <c r="AD55" t="s">
        <v>93</v>
      </c>
      <c r="AE55">
        <v>400000000</v>
      </c>
      <c r="AF55">
        <v>0</v>
      </c>
      <c r="AG55">
        <v>-1E-3</v>
      </c>
      <c r="AH55">
        <v>-0.02</v>
      </c>
      <c r="AI55">
        <v>-0.2</v>
      </c>
      <c r="AJ55">
        <v>-2</v>
      </c>
      <c r="AK55">
        <v>-10</v>
      </c>
      <c r="AL55">
        <v>-20</v>
      </c>
      <c r="AM55">
        <v>-40</v>
      </c>
    </row>
    <row r="56" spans="1:39" x14ac:dyDescent="0.45">
      <c r="A56" t="s">
        <v>193</v>
      </c>
      <c r="B56">
        <v>1944000</v>
      </c>
      <c r="C56" s="13">
        <v>4.0689341494879838E-4</v>
      </c>
      <c r="D56" s="13">
        <v>4.0689341494879844E-6</v>
      </c>
      <c r="E56" s="13">
        <v>4.0689341494879838E-4</v>
      </c>
      <c r="F56" s="13">
        <v>4.0689341494879844E-6</v>
      </c>
      <c r="G56" s="13">
        <v>4.0689341494879838E-4</v>
      </c>
      <c r="H56" s="1">
        <v>55</v>
      </c>
      <c r="I56">
        <v>36000</v>
      </c>
      <c r="U56">
        <v>2004</v>
      </c>
      <c r="V56">
        <v>19440</v>
      </c>
      <c r="W56" s="13">
        <v>4.5068228800443209E-4</v>
      </c>
      <c r="X56" s="13">
        <f t="shared" si="4"/>
        <v>4.5068228800443208E-6</v>
      </c>
      <c r="Y56" s="13">
        <f t="shared" si="5"/>
        <v>4.5068228800443209E-4</v>
      </c>
      <c r="Z56" s="13">
        <f t="shared" si="6"/>
        <v>4.5068228800443208E-6</v>
      </c>
      <c r="AA56" s="13">
        <f t="shared" si="7"/>
        <v>4.5068228800443209E-4</v>
      </c>
      <c r="AD56" t="s">
        <v>94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45">
      <c r="A57" t="s">
        <v>194</v>
      </c>
      <c r="B57">
        <v>1980000</v>
      </c>
      <c r="C57" s="13">
        <v>4.1919268993745199E-4</v>
      </c>
      <c r="D57" s="13">
        <v>4.1919268993745206E-6</v>
      </c>
      <c r="E57" s="13">
        <v>4.1919268993745199E-4</v>
      </c>
      <c r="F57" s="13">
        <v>4.1919268993745206E-6</v>
      </c>
      <c r="G57" s="13">
        <v>4.1919268993745199E-4</v>
      </c>
      <c r="H57" s="1">
        <v>56</v>
      </c>
      <c r="I57">
        <v>36000</v>
      </c>
      <c r="U57">
        <v>2005</v>
      </c>
      <c r="V57">
        <v>19800</v>
      </c>
      <c r="W57" s="13">
        <v>3.7507530034252027E-4</v>
      </c>
      <c r="X57" s="13">
        <f t="shared" si="4"/>
        <v>3.7507530034252025E-6</v>
      </c>
      <c r="Y57" s="13">
        <f t="shared" si="5"/>
        <v>3.7507530034252027E-4</v>
      </c>
      <c r="Z57" s="13">
        <f t="shared" si="6"/>
        <v>3.7507530034252025E-6</v>
      </c>
      <c r="AA57" s="13">
        <f t="shared" si="7"/>
        <v>3.7507530034252027E-4</v>
      </c>
      <c r="AD57" t="s">
        <v>94</v>
      </c>
      <c r="AE57" s="2">
        <v>3600000</v>
      </c>
      <c r="AF57">
        <v>0</v>
      </c>
      <c r="AG57">
        <v>-1E-3</v>
      </c>
      <c r="AH57">
        <v>-0.02</v>
      </c>
      <c r="AI57">
        <v>-0.2</v>
      </c>
      <c r="AJ57">
        <v>-2</v>
      </c>
      <c r="AK57">
        <v>-10</v>
      </c>
      <c r="AL57">
        <v>-20</v>
      </c>
      <c r="AM57">
        <v>-40</v>
      </c>
    </row>
    <row r="58" spans="1:39" x14ac:dyDescent="0.45">
      <c r="A58" t="s">
        <v>195</v>
      </c>
      <c r="B58">
        <v>2016000</v>
      </c>
      <c r="C58" s="13">
        <v>3.4498545309459197E-4</v>
      </c>
      <c r="D58" s="13">
        <v>3.44985453094592E-6</v>
      </c>
      <c r="E58" s="13">
        <v>3.4498545309459197E-4</v>
      </c>
      <c r="F58" s="13">
        <v>3.44985453094592E-6</v>
      </c>
      <c r="G58" s="13">
        <v>3.4498545309459197E-4</v>
      </c>
      <c r="H58" s="1">
        <v>57</v>
      </c>
      <c r="I58">
        <v>36000</v>
      </c>
      <c r="U58">
        <v>2006</v>
      </c>
      <c r="V58">
        <v>20160</v>
      </c>
      <c r="W58" s="13">
        <v>5.0388556352573002E-4</v>
      </c>
      <c r="X58" s="13">
        <f t="shared" si="4"/>
        <v>5.0388556352573001E-6</v>
      </c>
      <c r="Y58" s="13">
        <f t="shared" si="5"/>
        <v>5.0388556352573002E-4</v>
      </c>
      <c r="Z58" s="13">
        <f t="shared" si="6"/>
        <v>5.0388556352573001E-6</v>
      </c>
      <c r="AA58" s="13">
        <f t="shared" si="7"/>
        <v>5.0388556352573002E-4</v>
      </c>
      <c r="AD58" t="s">
        <v>94</v>
      </c>
      <c r="AE58">
        <v>400000000</v>
      </c>
      <c r="AF58">
        <v>0</v>
      </c>
      <c r="AG58">
        <v>-1E-3</v>
      </c>
      <c r="AH58">
        <v>-0.02</v>
      </c>
      <c r="AI58">
        <v>-0.2</v>
      </c>
      <c r="AJ58">
        <v>-2</v>
      </c>
      <c r="AK58">
        <v>-10</v>
      </c>
      <c r="AL58">
        <v>-20</v>
      </c>
      <c r="AM58">
        <v>-40</v>
      </c>
    </row>
    <row r="59" spans="1:39" x14ac:dyDescent="0.45">
      <c r="A59" t="s">
        <v>196</v>
      </c>
      <c r="B59">
        <v>2052000</v>
      </c>
      <c r="C59" s="13">
        <v>3.7577605491857791E-4</v>
      </c>
      <c r="D59" s="13">
        <v>3.7577605491857799E-6</v>
      </c>
      <c r="E59" s="13">
        <v>3.7577605491857791E-4</v>
      </c>
      <c r="F59" s="13">
        <v>3.7577605491857799E-6</v>
      </c>
      <c r="G59" s="13">
        <v>3.7577605491857791E-4</v>
      </c>
      <c r="H59" s="1">
        <v>58</v>
      </c>
      <c r="I59">
        <v>36000</v>
      </c>
      <c r="U59">
        <v>2007</v>
      </c>
      <c r="V59">
        <v>20520</v>
      </c>
      <c r="W59" s="13">
        <v>8.0294967571109023E-4</v>
      </c>
      <c r="X59" s="13">
        <f t="shared" si="4"/>
        <v>8.029496757110902E-6</v>
      </c>
      <c r="Y59" s="13">
        <f t="shared" si="5"/>
        <v>8.0294967571109023E-4</v>
      </c>
      <c r="Z59" s="13">
        <f t="shared" si="6"/>
        <v>8.029496757110902E-6</v>
      </c>
      <c r="AA59" s="13">
        <f t="shared" si="7"/>
        <v>8.0294967571109023E-4</v>
      </c>
      <c r="AD59" t="s">
        <v>95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45">
      <c r="A60" t="s">
        <v>197</v>
      </c>
      <c r="B60">
        <v>2088000</v>
      </c>
      <c r="C60" s="13">
        <v>3.5111590640564449E-4</v>
      </c>
      <c r="D60" s="13">
        <v>3.5111590640564451E-6</v>
      </c>
      <c r="E60" s="13">
        <v>3.5111590640564449E-4</v>
      </c>
      <c r="F60" s="13">
        <v>3.5111590640564451E-6</v>
      </c>
      <c r="G60" s="13">
        <v>3.5111590640564449E-4</v>
      </c>
      <c r="H60" s="1">
        <v>59</v>
      </c>
      <c r="I60">
        <v>36000</v>
      </c>
      <c r="U60">
        <v>2008</v>
      </c>
      <c r="V60">
        <v>20880</v>
      </c>
      <c r="W60" s="13">
        <v>7.0007171819925801E-4</v>
      </c>
      <c r="X60" s="13">
        <f t="shared" si="4"/>
        <v>7.0007171819925804E-6</v>
      </c>
      <c r="Y60" s="13">
        <f t="shared" si="5"/>
        <v>7.0007171819925801E-4</v>
      </c>
      <c r="Z60" s="13">
        <f t="shared" si="6"/>
        <v>7.0007171819925804E-6</v>
      </c>
      <c r="AA60" s="13">
        <f t="shared" si="7"/>
        <v>7.0007171819925801E-4</v>
      </c>
      <c r="AD60" t="s">
        <v>95</v>
      </c>
      <c r="AE60" s="2">
        <v>3600000</v>
      </c>
      <c r="AF60">
        <v>0</v>
      </c>
      <c r="AG60">
        <v>-1E-3</v>
      </c>
      <c r="AH60">
        <v>-0.02</v>
      </c>
      <c r="AI60">
        <v>-0.2</v>
      </c>
      <c r="AJ60">
        <v>-2</v>
      </c>
      <c r="AK60">
        <v>-10</v>
      </c>
      <c r="AL60">
        <v>-20</v>
      </c>
      <c r="AM60">
        <v>-40</v>
      </c>
    </row>
    <row r="61" spans="1:39" x14ac:dyDescent="0.45">
      <c r="A61" t="s">
        <v>198</v>
      </c>
      <c r="B61">
        <v>2124000</v>
      </c>
      <c r="C61" s="13">
        <v>4.049665714614735E-4</v>
      </c>
      <c r="D61" s="13">
        <v>4.0496657146147353E-6</v>
      </c>
      <c r="E61" s="13">
        <v>4.049665714614735E-4</v>
      </c>
      <c r="F61" s="13">
        <v>4.0496657146147353E-6</v>
      </c>
      <c r="G61" s="13">
        <v>4.049665714614735E-4</v>
      </c>
      <c r="H61" s="1">
        <v>60</v>
      </c>
      <c r="I61">
        <v>36000</v>
      </c>
      <c r="U61">
        <v>2009</v>
      </c>
      <c r="V61">
        <v>21240</v>
      </c>
      <c r="W61" s="13">
        <v>5.6649151685696242E-4</v>
      </c>
      <c r="X61" s="13">
        <f t="shared" si="4"/>
        <v>5.6649151685696243E-6</v>
      </c>
      <c r="Y61" s="13">
        <f t="shared" si="5"/>
        <v>5.6649151685696242E-4</v>
      </c>
      <c r="Z61" s="13">
        <f t="shared" si="6"/>
        <v>5.6649151685696243E-6</v>
      </c>
      <c r="AA61" s="13">
        <f t="shared" si="7"/>
        <v>5.6649151685696242E-4</v>
      </c>
      <c r="AD61" t="s">
        <v>95</v>
      </c>
      <c r="AE61">
        <v>400000000</v>
      </c>
      <c r="AF61">
        <v>0</v>
      </c>
      <c r="AG61">
        <v>-1E-3</v>
      </c>
      <c r="AH61">
        <v>-0.02</v>
      </c>
      <c r="AI61">
        <v>-0.2</v>
      </c>
      <c r="AJ61">
        <v>-2</v>
      </c>
      <c r="AK61">
        <v>-10</v>
      </c>
      <c r="AL61">
        <v>-20</v>
      </c>
      <c r="AM61">
        <v>-40</v>
      </c>
    </row>
    <row r="62" spans="1:39" x14ac:dyDescent="0.45">
      <c r="A62" t="s">
        <v>199</v>
      </c>
      <c r="B62">
        <v>2160000</v>
      </c>
      <c r="C62" s="13">
        <v>4.3751858531029879E-4</v>
      </c>
      <c r="D62" s="13">
        <v>4.3751858531029876E-6</v>
      </c>
      <c r="E62" s="13">
        <v>4.3751858531029879E-4</v>
      </c>
      <c r="F62" s="13">
        <v>4.3751858531029876E-6</v>
      </c>
      <c r="G62" s="13">
        <v>4.3751858531029879E-4</v>
      </c>
      <c r="H62" s="1">
        <v>61</v>
      </c>
      <c r="I62">
        <v>36000</v>
      </c>
      <c r="U62">
        <v>2010</v>
      </c>
      <c r="V62">
        <v>21600</v>
      </c>
      <c r="W62" s="13">
        <v>4.2985466508481168E-4</v>
      </c>
      <c r="X62" s="13">
        <f t="shared" si="4"/>
        <v>4.2985466508481172E-6</v>
      </c>
      <c r="Y62" s="13">
        <f t="shared" si="5"/>
        <v>4.2985466508481168E-4</v>
      </c>
      <c r="Z62" s="13">
        <f t="shared" si="6"/>
        <v>4.2985466508481172E-6</v>
      </c>
      <c r="AA62" s="13">
        <f t="shared" si="7"/>
        <v>4.2985466508481168E-4</v>
      </c>
    </row>
    <row r="63" spans="1:39" x14ac:dyDescent="0.45">
      <c r="A63" t="s">
        <v>200</v>
      </c>
      <c r="B63">
        <v>2196000</v>
      </c>
      <c r="C63" s="13">
        <v>4.771855424796881E-4</v>
      </c>
      <c r="D63" s="13">
        <v>4.7718554247968811E-6</v>
      </c>
      <c r="E63" s="13">
        <v>4.771855424796881E-4</v>
      </c>
      <c r="F63" s="13">
        <v>4.7718554247968811E-6</v>
      </c>
      <c r="G63" s="13">
        <v>4.771855424796881E-4</v>
      </c>
      <c r="H63" s="1">
        <v>62</v>
      </c>
      <c r="I63">
        <v>36000</v>
      </c>
      <c r="U63">
        <v>2011</v>
      </c>
      <c r="V63">
        <v>21960</v>
      </c>
      <c r="W63" s="13">
        <v>3.0854060773305718E-4</v>
      </c>
      <c r="X63" s="13">
        <f t="shared" si="4"/>
        <v>3.0854060773305716E-6</v>
      </c>
      <c r="Y63" s="13">
        <f t="shared" si="5"/>
        <v>3.0854060773305718E-4</v>
      </c>
      <c r="Z63" s="13">
        <f t="shared" si="6"/>
        <v>3.0854060773305716E-6</v>
      </c>
      <c r="AA63" s="13">
        <f t="shared" si="7"/>
        <v>3.0854060773305718E-4</v>
      </c>
    </row>
    <row r="64" spans="1:39" x14ac:dyDescent="0.45">
      <c r="A64" t="s">
        <v>201</v>
      </c>
      <c r="B64">
        <v>2232000</v>
      </c>
      <c r="C64" s="13">
        <v>4.3841777594160782E-4</v>
      </c>
      <c r="D64" s="13">
        <v>4.3841777594160776E-6</v>
      </c>
      <c r="E64" s="13">
        <v>4.3841777594160782E-4</v>
      </c>
      <c r="F64" s="13">
        <v>4.3841777594160776E-6</v>
      </c>
      <c r="G64" s="13">
        <v>4.3841777594160782E-4</v>
      </c>
      <c r="H64" s="1">
        <v>63</v>
      </c>
      <c r="I64">
        <v>36000</v>
      </c>
      <c r="U64">
        <v>2012</v>
      </c>
      <c r="V64">
        <v>22320</v>
      </c>
      <c r="W64" s="13">
        <v>5.7701883542728865E-4</v>
      </c>
      <c r="X64" s="13">
        <f t="shared" si="4"/>
        <v>5.7701883542728862E-6</v>
      </c>
      <c r="Y64" s="13">
        <f t="shared" si="5"/>
        <v>5.7701883542728865E-4</v>
      </c>
      <c r="Z64" s="13">
        <f t="shared" si="6"/>
        <v>5.7701883542728862E-6</v>
      </c>
      <c r="AA64" s="13">
        <f t="shared" si="7"/>
        <v>5.7701883542728865E-4</v>
      </c>
    </row>
    <row r="65" spans="1:54" x14ac:dyDescent="0.45">
      <c r="A65" t="s">
        <v>202</v>
      </c>
      <c r="B65">
        <v>2268000</v>
      </c>
      <c r="C65" s="13">
        <v>4.603595684290796E-4</v>
      </c>
      <c r="D65" s="13">
        <v>4.603595684290796E-6</v>
      </c>
      <c r="E65" s="13">
        <v>4.603595684290796E-4</v>
      </c>
      <c r="F65" s="13">
        <v>4.603595684290796E-6</v>
      </c>
      <c r="G65" s="13">
        <v>4.603595684290796E-4</v>
      </c>
      <c r="H65" s="1">
        <v>64</v>
      </c>
      <c r="I65">
        <v>36000</v>
      </c>
      <c r="U65">
        <v>2013</v>
      </c>
      <c r="V65">
        <v>22680</v>
      </c>
      <c r="W65" s="13">
        <v>8.4426260266278266E-4</v>
      </c>
      <c r="X65" s="13">
        <f t="shared" si="4"/>
        <v>8.4426260266278264E-6</v>
      </c>
      <c r="Y65" s="13">
        <f t="shared" si="5"/>
        <v>8.4426260266278266E-4</v>
      </c>
      <c r="Z65" s="13">
        <f t="shared" si="6"/>
        <v>8.4426260266278264E-6</v>
      </c>
      <c r="AA65" s="13">
        <f t="shared" si="7"/>
        <v>8.4426260266278266E-4</v>
      </c>
      <c r="AD65" t="s">
        <v>203</v>
      </c>
    </row>
    <row r="66" spans="1:54" x14ac:dyDescent="0.45">
      <c r="A66" t="s">
        <v>204</v>
      </c>
      <c r="B66">
        <v>2304000</v>
      </c>
      <c r="C66" s="13">
        <v>4.7709322355515648E-4</v>
      </c>
      <c r="D66" s="13">
        <v>4.7709322355515646E-6</v>
      </c>
      <c r="E66" s="13">
        <v>4.7709322355515648E-4</v>
      </c>
      <c r="F66" s="13">
        <v>4.7709322355515646E-6</v>
      </c>
      <c r="G66" s="13">
        <v>4.7709322355515648E-4</v>
      </c>
      <c r="H66" s="1">
        <v>65</v>
      </c>
      <c r="I66">
        <v>36000</v>
      </c>
      <c r="U66">
        <v>2014</v>
      </c>
      <c r="V66">
        <v>23040</v>
      </c>
      <c r="W66" s="13">
        <v>9.552168804465085E-4</v>
      </c>
      <c r="X66" s="13">
        <f t="shared" ref="X66:X97" si="8">+W66/100</f>
        <v>9.5521688044650852E-6</v>
      </c>
      <c r="Y66" s="13">
        <f t="shared" ref="Y66:Y97" si="9">+W66</f>
        <v>9.552168804465085E-4</v>
      </c>
      <c r="Z66" s="13">
        <f t="shared" ref="Z66:Z97" si="10">+Y66/100</f>
        <v>9.5521688044650852E-6</v>
      </c>
      <c r="AA66" s="13">
        <f t="shared" ref="AA66:AA97" si="11">+W66</f>
        <v>9.552168804465085E-4</v>
      </c>
      <c r="AD66" t="s">
        <v>28</v>
      </c>
      <c r="AE66" t="s">
        <v>29</v>
      </c>
      <c r="AF66" t="s">
        <v>30</v>
      </c>
      <c r="AG66" t="s">
        <v>31</v>
      </c>
      <c r="AH66" t="s">
        <v>32</v>
      </c>
    </row>
    <row r="67" spans="1:54" x14ac:dyDescent="0.45">
      <c r="A67" t="s">
        <v>205</v>
      </c>
      <c r="B67">
        <v>2340000</v>
      </c>
      <c r="C67" s="13">
        <v>4.5755987914110558E-4</v>
      </c>
      <c r="D67" s="13">
        <v>4.575598791411056E-6</v>
      </c>
      <c r="E67" s="13">
        <v>4.5755987914110558E-4</v>
      </c>
      <c r="F67" s="13">
        <v>4.575598791411056E-6</v>
      </c>
      <c r="G67" s="13">
        <v>4.5755987914110558E-4</v>
      </c>
      <c r="H67" s="1">
        <v>66</v>
      </c>
      <c r="I67">
        <v>36000</v>
      </c>
      <c r="U67">
        <v>2015</v>
      </c>
      <c r="V67">
        <v>23400</v>
      </c>
      <c r="W67" s="13">
        <v>3.5786093692759128E-4</v>
      </c>
      <c r="X67" s="13">
        <f t="shared" si="8"/>
        <v>3.5786093692759129E-6</v>
      </c>
      <c r="Y67" s="13">
        <f t="shared" si="9"/>
        <v>3.5786093692759128E-4</v>
      </c>
      <c r="Z67" s="13">
        <f t="shared" si="10"/>
        <v>3.5786093692759129E-6</v>
      </c>
      <c r="AA67" s="13">
        <f t="shared" si="11"/>
        <v>3.5786093692759128E-4</v>
      </c>
      <c r="AD67">
        <v>0</v>
      </c>
      <c r="AE67">
        <v>0</v>
      </c>
      <c r="AF67">
        <v>1</v>
      </c>
      <c r="AG67">
        <v>1</v>
      </c>
      <c r="AH67" t="s">
        <v>33</v>
      </c>
    </row>
    <row r="68" spans="1:54" x14ac:dyDescent="0.45">
      <c r="A68" t="s">
        <v>206</v>
      </c>
      <c r="B68">
        <v>2376000</v>
      </c>
      <c r="C68" s="13">
        <v>4.4729781468870803E-4</v>
      </c>
      <c r="D68" s="13">
        <v>4.4729781468870802E-6</v>
      </c>
      <c r="E68" s="13">
        <v>4.4729781468870803E-4</v>
      </c>
      <c r="F68" s="13">
        <v>4.4729781468870802E-6</v>
      </c>
      <c r="G68" s="13">
        <v>4.4729781468870803E-4</v>
      </c>
      <c r="H68" s="1">
        <v>67</v>
      </c>
      <c r="I68">
        <v>36000</v>
      </c>
      <c r="U68">
        <v>2016</v>
      </c>
      <c r="V68">
        <v>23760</v>
      </c>
      <c r="W68" s="13">
        <v>9.5065057852621645E-4</v>
      </c>
      <c r="X68" s="13">
        <f t="shared" si="8"/>
        <v>9.5065057852621648E-6</v>
      </c>
      <c r="Y68" s="13">
        <f t="shared" si="9"/>
        <v>9.5065057852621645E-4</v>
      </c>
      <c r="Z68" s="13">
        <f t="shared" si="10"/>
        <v>9.5065057852621648E-6</v>
      </c>
      <c r="AA68" s="13">
        <f t="shared" si="11"/>
        <v>9.5065057852621645E-4</v>
      </c>
      <c r="AD68">
        <v>1</v>
      </c>
      <c r="AE68">
        <v>3600000</v>
      </c>
      <c r="AF68">
        <v>1</v>
      </c>
      <c r="AG68">
        <v>1</v>
      </c>
      <c r="AH68" t="s">
        <v>34</v>
      </c>
    </row>
    <row r="69" spans="1:54" x14ac:dyDescent="0.45">
      <c r="A69" t="s">
        <v>207</v>
      </c>
      <c r="B69">
        <v>2412000</v>
      </c>
      <c r="C69" s="13">
        <v>4.3701045070747681E-4</v>
      </c>
      <c r="D69" s="13">
        <v>4.3701045070747678E-6</v>
      </c>
      <c r="E69" s="13">
        <v>4.3701045070747681E-4</v>
      </c>
      <c r="F69" s="13">
        <v>4.3701045070747678E-6</v>
      </c>
      <c r="G69" s="13">
        <v>4.3701045070747681E-4</v>
      </c>
      <c r="H69" s="1">
        <v>68</v>
      </c>
      <c r="I69">
        <v>36000</v>
      </c>
      <c r="U69">
        <v>2017</v>
      </c>
      <c r="V69">
        <v>24120</v>
      </c>
      <c r="W69" s="13">
        <v>4.7094307374518279E-4</v>
      </c>
      <c r="X69" s="13">
        <f t="shared" si="8"/>
        <v>4.7094307374518279E-6</v>
      </c>
      <c r="Y69" s="13">
        <f t="shared" si="9"/>
        <v>4.7094307374518279E-4</v>
      </c>
      <c r="Z69" s="13">
        <f t="shared" si="10"/>
        <v>4.7094307374518279E-6</v>
      </c>
      <c r="AA69" s="13">
        <f t="shared" si="11"/>
        <v>4.7094307374518279E-4</v>
      </c>
      <c r="AD69">
        <v>2</v>
      </c>
      <c r="AE69">
        <v>18000</v>
      </c>
      <c r="AF69">
        <v>600</v>
      </c>
      <c r="AG69">
        <v>1</v>
      </c>
      <c r="AH69" t="s">
        <v>208</v>
      </c>
      <c r="AR69" t="s">
        <v>209</v>
      </c>
    </row>
    <row r="70" spans="1:54" x14ac:dyDescent="0.45">
      <c r="A70" t="s">
        <v>210</v>
      </c>
      <c r="B70">
        <v>2448000</v>
      </c>
      <c r="C70" s="13">
        <v>4.456337430841119E-4</v>
      </c>
      <c r="D70" s="13">
        <v>4.4563374308411186E-6</v>
      </c>
      <c r="E70" s="13">
        <v>4.456337430841119E-4</v>
      </c>
      <c r="F70" s="13">
        <v>4.4563374308411186E-6</v>
      </c>
      <c r="G70" s="13">
        <v>4.456337430841119E-4</v>
      </c>
      <c r="H70" s="1">
        <v>69</v>
      </c>
      <c r="I70">
        <v>36000</v>
      </c>
      <c r="U70">
        <v>2018</v>
      </c>
      <c r="V70">
        <v>24480</v>
      </c>
      <c r="W70" s="13">
        <v>7.0474477053287924E-4</v>
      </c>
      <c r="X70" s="13">
        <f t="shared" si="8"/>
        <v>7.0474477053287921E-6</v>
      </c>
      <c r="Y70" s="13">
        <f t="shared" si="9"/>
        <v>7.0474477053287924E-4</v>
      </c>
      <c r="Z70" s="13">
        <f t="shared" si="10"/>
        <v>7.0474477053287921E-6</v>
      </c>
      <c r="AA70" s="13">
        <f t="shared" si="11"/>
        <v>7.0474477053287924E-4</v>
      </c>
      <c r="AD70">
        <v>3</v>
      </c>
      <c r="AE70">
        <v>180000</v>
      </c>
      <c r="AF70">
        <v>500</v>
      </c>
      <c r="AG70">
        <v>1</v>
      </c>
      <c r="AH70" t="s">
        <v>211</v>
      </c>
      <c r="AR70" t="s">
        <v>7</v>
      </c>
      <c r="AS70" t="s">
        <v>8</v>
      </c>
      <c r="AT70" t="s">
        <v>9</v>
      </c>
      <c r="AU70" t="s">
        <v>10</v>
      </c>
      <c r="AV70" t="s">
        <v>11</v>
      </c>
      <c r="AW70" t="s">
        <v>12</v>
      </c>
      <c r="AX70" t="s">
        <v>13</v>
      </c>
      <c r="AY70" t="s">
        <v>14</v>
      </c>
      <c r="AZ70" t="s">
        <v>15</v>
      </c>
      <c r="BA70" t="s">
        <v>16</v>
      </c>
      <c r="BB70" t="s">
        <v>17</v>
      </c>
    </row>
    <row r="71" spans="1:54" x14ac:dyDescent="0.45">
      <c r="A71" t="s">
        <v>212</v>
      </c>
      <c r="B71">
        <v>2484000</v>
      </c>
      <c r="C71" s="13">
        <v>4.8655371552782929E-4</v>
      </c>
      <c r="D71" s="13">
        <v>4.8655371552782931E-6</v>
      </c>
      <c r="E71" s="13">
        <v>4.8655371552782929E-4</v>
      </c>
      <c r="F71" s="13">
        <v>4.8655371552782931E-6</v>
      </c>
      <c r="G71" s="13">
        <v>4.8655371552782929E-4</v>
      </c>
      <c r="H71" s="1">
        <v>70</v>
      </c>
      <c r="I71">
        <v>36000</v>
      </c>
      <c r="U71">
        <v>2019</v>
      </c>
      <c r="V71">
        <v>24840</v>
      </c>
      <c r="W71" s="13">
        <v>6.47540851284781E-4</v>
      </c>
      <c r="X71" s="13">
        <f t="shared" si="8"/>
        <v>6.4754085128478099E-6</v>
      </c>
      <c r="Y71" s="13">
        <f t="shared" si="9"/>
        <v>6.47540851284781E-4</v>
      </c>
      <c r="Z71" s="13">
        <f t="shared" si="10"/>
        <v>6.4754085128478099E-6</v>
      </c>
      <c r="AA71" s="13">
        <f t="shared" si="11"/>
        <v>6.47540851284781E-4</v>
      </c>
      <c r="AD71">
        <v>4</v>
      </c>
      <c r="AE71">
        <v>18000000</v>
      </c>
      <c r="AF71">
        <v>100</v>
      </c>
      <c r="AG71">
        <v>1</v>
      </c>
      <c r="AH71" t="s">
        <v>213</v>
      </c>
      <c r="AR71" t="s">
        <v>18</v>
      </c>
      <c r="AS71" t="s">
        <v>19</v>
      </c>
      <c r="AT71">
        <v>100</v>
      </c>
      <c r="AU71">
        <v>0</v>
      </c>
      <c r="AV71">
        <v>100</v>
      </c>
      <c r="AW71">
        <v>200</v>
      </c>
      <c r="AX71">
        <v>300</v>
      </c>
      <c r="AY71">
        <v>5</v>
      </c>
      <c r="AZ71">
        <v>70</v>
      </c>
      <c r="BA71">
        <v>3</v>
      </c>
      <c r="BB71">
        <v>1</v>
      </c>
    </row>
    <row r="72" spans="1:54" x14ac:dyDescent="0.45">
      <c r="A72" t="s">
        <v>214</v>
      </c>
      <c r="B72">
        <v>2520000</v>
      </c>
      <c r="C72" s="13">
        <v>6.3231849758522464E-4</v>
      </c>
      <c r="D72" s="13">
        <v>6.3231849758522474E-6</v>
      </c>
      <c r="E72" s="13">
        <v>6.3231849758522464E-4</v>
      </c>
      <c r="F72" s="13">
        <v>6.3231849758522474E-6</v>
      </c>
      <c r="G72" s="13">
        <v>6.3231849758522464E-4</v>
      </c>
      <c r="H72" s="1">
        <v>71</v>
      </c>
      <c r="I72">
        <v>36000</v>
      </c>
      <c r="U72">
        <v>2020</v>
      </c>
      <c r="V72">
        <v>25200</v>
      </c>
      <c r="W72" s="13">
        <v>9.4119160098010126E-4</v>
      </c>
      <c r="X72" s="13">
        <f t="shared" si="8"/>
        <v>9.4119160098010124E-6</v>
      </c>
      <c r="Y72" s="13">
        <f t="shared" si="9"/>
        <v>9.4119160098010126E-4</v>
      </c>
      <c r="Z72" s="13">
        <f t="shared" si="10"/>
        <v>9.4119160098010124E-6</v>
      </c>
      <c r="AA72" s="13">
        <f t="shared" si="11"/>
        <v>9.4119160098010126E-4</v>
      </c>
      <c r="AD72">
        <v>5</v>
      </c>
      <c r="AE72">
        <v>360000000</v>
      </c>
      <c r="AF72">
        <v>100</v>
      </c>
      <c r="AG72">
        <v>1</v>
      </c>
      <c r="AH72" t="s">
        <v>215</v>
      </c>
      <c r="AR72" t="s">
        <v>20</v>
      </c>
      <c r="AS72" t="s">
        <v>21</v>
      </c>
      <c r="AT72">
        <v>150</v>
      </c>
      <c r="AU72">
        <v>100</v>
      </c>
      <c r="AV72">
        <v>150</v>
      </c>
      <c r="AW72">
        <v>150</v>
      </c>
      <c r="AX72">
        <v>250</v>
      </c>
      <c r="AY72">
        <v>5</v>
      </c>
      <c r="AZ72">
        <v>70</v>
      </c>
      <c r="BA72">
        <v>3</v>
      </c>
      <c r="BB72">
        <v>2</v>
      </c>
    </row>
    <row r="73" spans="1:54" x14ac:dyDescent="0.45">
      <c r="A73" t="s">
        <v>216</v>
      </c>
      <c r="B73">
        <v>2556000</v>
      </c>
      <c r="C73" s="13">
        <v>6.409415007452053E-4</v>
      </c>
      <c r="D73" s="13">
        <v>6.4094150074520529E-6</v>
      </c>
      <c r="E73" s="13">
        <v>6.409415007452053E-4</v>
      </c>
      <c r="F73" s="13">
        <v>6.4094150074520529E-6</v>
      </c>
      <c r="G73" s="13">
        <v>6.409415007452053E-4</v>
      </c>
      <c r="H73" s="1">
        <v>72</v>
      </c>
      <c r="I73">
        <v>36000</v>
      </c>
      <c r="U73">
        <v>2021</v>
      </c>
      <c r="V73">
        <v>25560</v>
      </c>
      <c r="W73" s="13">
        <v>5.0662494239123103E-4</v>
      </c>
      <c r="X73" s="13">
        <f t="shared" si="8"/>
        <v>5.0662494239123105E-6</v>
      </c>
      <c r="Y73" s="13">
        <f t="shared" si="9"/>
        <v>5.0662494239123103E-4</v>
      </c>
      <c r="Z73" s="13">
        <f t="shared" si="10"/>
        <v>5.0662494239123105E-6</v>
      </c>
      <c r="AA73" s="13">
        <f t="shared" si="11"/>
        <v>5.0662494239123103E-4</v>
      </c>
      <c r="AR73" t="s">
        <v>22</v>
      </c>
      <c r="AS73" t="s">
        <v>23</v>
      </c>
      <c r="AT73">
        <v>200</v>
      </c>
      <c r="AU73">
        <v>150</v>
      </c>
      <c r="AV73">
        <v>225</v>
      </c>
      <c r="AW73">
        <v>200</v>
      </c>
      <c r="AX73">
        <v>150</v>
      </c>
      <c r="AY73">
        <v>5</v>
      </c>
      <c r="AZ73">
        <v>70</v>
      </c>
      <c r="BA73">
        <v>3</v>
      </c>
      <c r="BB73">
        <v>3</v>
      </c>
    </row>
    <row r="74" spans="1:54" x14ac:dyDescent="0.45">
      <c r="A74" t="s">
        <v>217</v>
      </c>
      <c r="B74">
        <v>2592000</v>
      </c>
      <c r="C74" s="13">
        <v>6.3477537680003493E-4</v>
      </c>
      <c r="D74" s="13">
        <v>6.3477537680003486E-6</v>
      </c>
      <c r="E74" s="13">
        <v>6.3477537680003493E-4</v>
      </c>
      <c r="F74" s="13">
        <v>6.3477537680003486E-6</v>
      </c>
      <c r="G74" s="13">
        <v>6.3477537680003493E-4</v>
      </c>
      <c r="H74" s="1">
        <v>73</v>
      </c>
      <c r="I74">
        <v>36000</v>
      </c>
      <c r="U74">
        <v>2022</v>
      </c>
      <c r="V74">
        <v>25920</v>
      </c>
      <c r="W74" s="13">
        <v>5.5343966107292586E-4</v>
      </c>
      <c r="X74" s="13">
        <f t="shared" si="8"/>
        <v>5.534396610729259E-6</v>
      </c>
      <c r="Y74" s="13">
        <f t="shared" si="9"/>
        <v>5.5343966107292586E-4</v>
      </c>
      <c r="Z74" s="13">
        <f t="shared" si="10"/>
        <v>5.534396610729259E-6</v>
      </c>
      <c r="AA74" s="13">
        <f t="shared" si="11"/>
        <v>5.5343966107292586E-4</v>
      </c>
      <c r="AD74" t="s">
        <v>218</v>
      </c>
      <c r="AR74" t="s">
        <v>24</v>
      </c>
      <c r="AS74" t="s">
        <v>25</v>
      </c>
      <c r="AT74">
        <v>250</v>
      </c>
      <c r="AU74">
        <v>225</v>
      </c>
      <c r="AV74">
        <v>300</v>
      </c>
      <c r="AW74">
        <v>150</v>
      </c>
      <c r="AX74">
        <v>100</v>
      </c>
      <c r="AY74">
        <v>5</v>
      </c>
      <c r="AZ74">
        <v>70</v>
      </c>
      <c r="BA74">
        <v>3</v>
      </c>
      <c r="BB74">
        <v>4</v>
      </c>
    </row>
    <row r="75" spans="1:54" x14ac:dyDescent="0.45">
      <c r="A75" t="s">
        <v>219</v>
      </c>
      <c r="B75">
        <v>2628000</v>
      </c>
      <c r="C75" s="13">
        <v>6.197084556106375E-4</v>
      </c>
      <c r="D75" s="13">
        <v>6.1970845561063736E-6</v>
      </c>
      <c r="E75" s="13">
        <v>6.197084556106375E-4</v>
      </c>
      <c r="F75" s="13">
        <v>6.1970845561063736E-6</v>
      </c>
      <c r="G75" s="13">
        <v>6.197084556106375E-4</v>
      </c>
      <c r="H75" s="1">
        <v>74</v>
      </c>
      <c r="I75">
        <v>36000</v>
      </c>
      <c r="U75">
        <v>2023</v>
      </c>
      <c r="V75">
        <v>26280</v>
      </c>
      <c r="W75" s="13">
        <v>6.3697425558412722E-4</v>
      </c>
      <c r="X75" s="13">
        <f t="shared" si="8"/>
        <v>6.3697425558412719E-6</v>
      </c>
      <c r="Y75" s="13">
        <f t="shared" si="9"/>
        <v>6.3697425558412722E-4</v>
      </c>
      <c r="Z75" s="13">
        <f t="shared" si="10"/>
        <v>6.3697425558412719E-6</v>
      </c>
      <c r="AA75" s="13">
        <f t="shared" si="11"/>
        <v>6.3697425558412722E-4</v>
      </c>
      <c r="AD75" t="s">
        <v>28</v>
      </c>
      <c r="AE75" t="s">
        <v>29</v>
      </c>
      <c r="AF75" t="s">
        <v>30</v>
      </c>
      <c r="AG75" t="s">
        <v>31</v>
      </c>
      <c r="AH75" t="s">
        <v>220</v>
      </c>
      <c r="AI75" t="s">
        <v>221</v>
      </c>
      <c r="AR75" t="s">
        <v>26</v>
      </c>
      <c r="AS75" t="s">
        <v>27</v>
      </c>
      <c r="AT75">
        <v>350</v>
      </c>
      <c r="AU75">
        <v>300</v>
      </c>
      <c r="AV75">
        <v>350</v>
      </c>
      <c r="AW75">
        <v>200</v>
      </c>
      <c r="AX75">
        <v>0</v>
      </c>
      <c r="AY75">
        <v>5</v>
      </c>
      <c r="AZ75">
        <v>70</v>
      </c>
      <c r="BA75">
        <v>3</v>
      </c>
      <c r="BB75">
        <v>5</v>
      </c>
    </row>
    <row r="76" spans="1:54" x14ac:dyDescent="0.45">
      <c r="A76" t="s">
        <v>222</v>
      </c>
      <c r="B76">
        <v>2664000</v>
      </c>
      <c r="C76" s="13">
        <v>5.9994519873980408E-4</v>
      </c>
      <c r="D76" s="13">
        <v>5.9994519873980406E-6</v>
      </c>
      <c r="E76" s="13">
        <v>5.9994519873980408E-4</v>
      </c>
      <c r="F76" s="13">
        <v>5.9994519873980406E-6</v>
      </c>
      <c r="G76" s="13">
        <v>5.9994519873980408E-4</v>
      </c>
      <c r="H76" s="1">
        <v>75</v>
      </c>
      <c r="I76">
        <v>36000</v>
      </c>
      <c r="U76">
        <v>2024</v>
      </c>
      <c r="V76">
        <v>26640</v>
      </c>
      <c r="W76" s="13">
        <v>7.291229427225874E-4</v>
      </c>
      <c r="X76" s="13">
        <f t="shared" si="8"/>
        <v>7.2912294272258739E-6</v>
      </c>
      <c r="Y76" s="13">
        <f t="shared" si="9"/>
        <v>7.291229427225874E-4</v>
      </c>
      <c r="Z76" s="13">
        <f t="shared" si="10"/>
        <v>7.2912294272258739E-6</v>
      </c>
      <c r="AA76" s="13">
        <f t="shared" si="11"/>
        <v>7.291229427225874E-4</v>
      </c>
      <c r="AD76">
        <v>1</v>
      </c>
      <c r="AE76">
        <v>180000</v>
      </c>
      <c r="AF76">
        <v>200</v>
      </c>
      <c r="AG76">
        <v>1.0255057211429901</v>
      </c>
      <c r="AH76">
        <v>30</v>
      </c>
      <c r="AI76">
        <f>AE76/360</f>
        <v>500</v>
      </c>
    </row>
    <row r="77" spans="1:54" x14ac:dyDescent="0.45">
      <c r="A77" t="s">
        <v>223</v>
      </c>
      <c r="B77">
        <v>2700000</v>
      </c>
      <c r="C77" s="13">
        <v>6.5967464558974189E-4</v>
      </c>
      <c r="D77" s="13">
        <v>6.5967464558974191E-6</v>
      </c>
      <c r="E77" s="13">
        <v>6.5967464558974189E-4</v>
      </c>
      <c r="F77" s="13">
        <v>6.5967464558974191E-6</v>
      </c>
      <c r="G77" s="13">
        <v>6.5967464558974189E-4</v>
      </c>
      <c r="H77" s="1">
        <v>76</v>
      </c>
      <c r="I77">
        <v>36000</v>
      </c>
      <c r="U77">
        <v>2025</v>
      </c>
      <c r="V77">
        <v>27000</v>
      </c>
      <c r="W77" s="13">
        <v>6.4225139746381982E-4</v>
      </c>
      <c r="X77" s="13">
        <f t="shared" si="8"/>
        <v>6.4225139746381978E-6</v>
      </c>
      <c r="Y77" s="13">
        <f t="shared" si="9"/>
        <v>6.4225139746381982E-4</v>
      </c>
      <c r="Z77" s="13">
        <f t="shared" si="10"/>
        <v>6.4225139746381978E-6</v>
      </c>
      <c r="AA77" s="13">
        <f t="shared" si="11"/>
        <v>6.4225139746381982E-4</v>
      </c>
      <c r="AD77">
        <v>2</v>
      </c>
      <c r="AE77">
        <v>1800000</v>
      </c>
      <c r="AF77">
        <v>200</v>
      </c>
      <c r="AG77">
        <v>1.0396382277644101</v>
      </c>
      <c r="AH77">
        <v>30</v>
      </c>
      <c r="AI77">
        <f>AE77/360</f>
        <v>5000</v>
      </c>
    </row>
    <row r="78" spans="1:54" x14ac:dyDescent="0.45">
      <c r="A78" t="s">
        <v>224</v>
      </c>
      <c r="B78">
        <v>2736000</v>
      </c>
      <c r="C78" s="13">
        <v>6.5303656007541721E-4</v>
      </c>
      <c r="D78" s="13">
        <v>6.5303656007541726E-6</v>
      </c>
      <c r="E78" s="13">
        <v>6.5303656007541721E-4</v>
      </c>
      <c r="F78" s="13">
        <v>6.5303656007541726E-6</v>
      </c>
      <c r="G78" s="13">
        <v>6.5303656007541721E-4</v>
      </c>
      <c r="H78" s="1">
        <v>77</v>
      </c>
      <c r="I78">
        <v>36000</v>
      </c>
      <c r="U78">
        <v>2026</v>
      </c>
      <c r="V78">
        <v>27360</v>
      </c>
      <c r="W78" s="13">
        <v>4.8630228955171201E-4</v>
      </c>
      <c r="X78" s="13">
        <f t="shared" si="8"/>
        <v>4.86302289551712E-6</v>
      </c>
      <c r="Y78" s="13">
        <f t="shared" si="9"/>
        <v>4.8630228955171201E-4</v>
      </c>
      <c r="Z78" s="13">
        <f t="shared" si="10"/>
        <v>4.86302289551712E-6</v>
      </c>
      <c r="AA78" s="13">
        <f t="shared" si="11"/>
        <v>4.8630228955171201E-4</v>
      </c>
      <c r="AD78">
        <v>3</v>
      </c>
      <c r="AE78">
        <v>18000000</v>
      </c>
      <c r="AF78">
        <v>200</v>
      </c>
      <c r="AG78">
        <v>1.0532256549825301</v>
      </c>
      <c r="AH78">
        <v>30</v>
      </c>
      <c r="AI78">
        <f>AE78/360</f>
        <v>50000</v>
      </c>
      <c r="AR78" t="s">
        <v>225</v>
      </c>
    </row>
    <row r="79" spans="1:54" x14ac:dyDescent="0.45">
      <c r="A79" t="s">
        <v>226</v>
      </c>
      <c r="B79">
        <v>2772000</v>
      </c>
      <c r="C79" s="13">
        <v>6.3802248979882533E-4</v>
      </c>
      <c r="D79" s="13">
        <v>6.380224897988254E-6</v>
      </c>
      <c r="E79" s="13">
        <v>6.3802248979882533E-4</v>
      </c>
      <c r="F79" s="13">
        <v>6.380224897988254E-6</v>
      </c>
      <c r="G79" s="13">
        <v>6.3802248979882533E-4</v>
      </c>
      <c r="H79" s="1">
        <v>78</v>
      </c>
      <c r="I79">
        <v>36000</v>
      </c>
      <c r="U79">
        <v>2027</v>
      </c>
      <c r="V79">
        <v>27720</v>
      </c>
      <c r="W79" s="13">
        <v>7.8134219163826664E-4</v>
      </c>
      <c r="X79" s="13">
        <f t="shared" si="8"/>
        <v>7.8134219163826665E-6</v>
      </c>
      <c r="Y79" s="13">
        <f t="shared" si="9"/>
        <v>7.8134219163826664E-4</v>
      </c>
      <c r="Z79" s="13">
        <f t="shared" si="10"/>
        <v>7.8134219163826665E-6</v>
      </c>
      <c r="AA79" s="13">
        <f t="shared" si="11"/>
        <v>7.8134219163826664E-4</v>
      </c>
      <c r="AD79">
        <v>4</v>
      </c>
      <c r="AE79">
        <v>180000000</v>
      </c>
      <c r="AF79">
        <v>200</v>
      </c>
      <c r="AG79">
        <v>1.0666174958886401</v>
      </c>
      <c r="AH79">
        <v>30</v>
      </c>
      <c r="AI79">
        <f>AE79/360</f>
        <v>500000</v>
      </c>
      <c r="AR79" t="s">
        <v>7</v>
      </c>
      <c r="AS79" t="s">
        <v>8</v>
      </c>
      <c r="AT79" t="s">
        <v>9</v>
      </c>
      <c r="AU79" t="s">
        <v>10</v>
      </c>
      <c r="AV79" t="s">
        <v>11</v>
      </c>
      <c r="AW79" t="s">
        <v>12</v>
      </c>
      <c r="AX79" t="s">
        <v>13</v>
      </c>
      <c r="AY79" t="s">
        <v>14</v>
      </c>
      <c r="AZ79" t="s">
        <v>15</v>
      </c>
      <c r="BA79" t="s">
        <v>16</v>
      </c>
      <c r="BB79" t="s">
        <v>17</v>
      </c>
    </row>
    <row r="80" spans="1:54" x14ac:dyDescent="0.45">
      <c r="A80" t="s">
        <v>227</v>
      </c>
      <c r="B80">
        <v>2808000</v>
      </c>
      <c r="C80" s="13">
        <v>6.3105913071057659E-4</v>
      </c>
      <c r="D80" s="13">
        <v>6.3105913071057657E-6</v>
      </c>
      <c r="E80" s="13">
        <v>6.3105913071057659E-4</v>
      </c>
      <c r="F80" s="13">
        <v>6.3105913071057657E-6</v>
      </c>
      <c r="G80" s="13">
        <v>6.3105913071057659E-4</v>
      </c>
      <c r="H80" s="1">
        <v>79</v>
      </c>
      <c r="I80">
        <v>36000</v>
      </c>
      <c r="U80">
        <v>2028</v>
      </c>
      <c r="V80">
        <v>28080</v>
      </c>
      <c r="W80" s="13">
        <v>5.8506117777726231E-4</v>
      </c>
      <c r="X80" s="13">
        <f t="shared" si="8"/>
        <v>5.850611777772623E-6</v>
      </c>
      <c r="Y80" s="13">
        <f t="shared" si="9"/>
        <v>5.8506117777726231E-4</v>
      </c>
      <c r="Z80" s="13">
        <f t="shared" si="10"/>
        <v>5.850611777772623E-6</v>
      </c>
      <c r="AA80" s="13">
        <f t="shared" si="11"/>
        <v>5.8506117777726231E-4</v>
      </c>
      <c r="AD80">
        <v>5</v>
      </c>
      <c r="AE80">
        <v>720000000</v>
      </c>
      <c r="AF80">
        <v>200</v>
      </c>
      <c r="AG80">
        <v>1.0746477694404</v>
      </c>
      <c r="AH80">
        <v>30</v>
      </c>
      <c r="AI80">
        <f>AE80/360</f>
        <v>2000000</v>
      </c>
      <c r="AR80" t="s">
        <v>18</v>
      </c>
      <c r="AS80" t="s">
        <v>19</v>
      </c>
      <c r="AT80">
        <v>100</v>
      </c>
      <c r="AU80" s="9">
        <v>0</v>
      </c>
      <c r="AV80" s="9">
        <v>94</v>
      </c>
      <c r="AW80">
        <v>200</v>
      </c>
      <c r="AX80">
        <v>300</v>
      </c>
      <c r="AY80">
        <v>5</v>
      </c>
      <c r="AZ80">
        <v>70</v>
      </c>
      <c r="BA80">
        <v>3</v>
      </c>
      <c r="BB80">
        <v>1</v>
      </c>
    </row>
    <row r="81" spans="1:78" x14ac:dyDescent="0.45">
      <c r="A81" t="s">
        <v>228</v>
      </c>
      <c r="B81">
        <v>2844000</v>
      </c>
      <c r="C81" s="13">
        <v>6.138571147550685E-4</v>
      </c>
      <c r="D81" s="13">
        <v>6.1385711475506854E-6</v>
      </c>
      <c r="E81" s="13">
        <v>6.138571147550685E-4</v>
      </c>
      <c r="F81" s="13">
        <v>6.1385711475506854E-6</v>
      </c>
      <c r="G81" s="13">
        <v>6.138571147550685E-4</v>
      </c>
      <c r="H81" s="1">
        <v>80</v>
      </c>
      <c r="I81">
        <v>36000</v>
      </c>
      <c r="U81">
        <v>2029</v>
      </c>
      <c r="V81">
        <v>28440</v>
      </c>
      <c r="W81" s="13">
        <v>6.370758623671785E-4</v>
      </c>
      <c r="X81" s="13">
        <f t="shared" si="8"/>
        <v>6.3707586236717848E-6</v>
      </c>
      <c r="Y81" s="13">
        <f t="shared" si="9"/>
        <v>6.370758623671785E-4</v>
      </c>
      <c r="Z81" s="13">
        <f t="shared" si="10"/>
        <v>6.3707586236717848E-6</v>
      </c>
      <c r="AA81" s="13">
        <f t="shared" si="11"/>
        <v>6.370758623671785E-4</v>
      </c>
      <c r="AR81" t="s">
        <v>20</v>
      </c>
      <c r="AS81" t="s">
        <v>21</v>
      </c>
      <c r="AT81">
        <v>150</v>
      </c>
      <c r="AU81" s="9">
        <v>94</v>
      </c>
      <c r="AV81" s="9">
        <v>118</v>
      </c>
      <c r="AW81">
        <v>150</v>
      </c>
      <c r="AX81">
        <v>250</v>
      </c>
      <c r="AY81">
        <v>5</v>
      </c>
      <c r="AZ81">
        <v>70</v>
      </c>
      <c r="BA81">
        <v>3</v>
      </c>
      <c r="BB81">
        <v>2</v>
      </c>
    </row>
    <row r="82" spans="1:78" x14ac:dyDescent="0.45">
      <c r="A82" t="s">
        <v>229</v>
      </c>
      <c r="B82">
        <v>2880000</v>
      </c>
      <c r="C82" s="13">
        <v>6.8818150769884277E-4</v>
      </c>
      <c r="D82" s="13">
        <v>6.8818150769884281E-6</v>
      </c>
      <c r="E82" s="13">
        <v>6.8818150769884277E-4</v>
      </c>
      <c r="F82" s="13">
        <v>6.8818150769884281E-6</v>
      </c>
      <c r="G82" s="13">
        <v>6.8818150769884277E-4</v>
      </c>
      <c r="H82" s="1">
        <v>81</v>
      </c>
      <c r="I82">
        <v>36000</v>
      </c>
      <c r="U82">
        <v>2030</v>
      </c>
      <c r="V82">
        <v>28800</v>
      </c>
      <c r="W82" s="13">
        <v>8.0515352214514436E-4</v>
      </c>
      <c r="X82" s="13">
        <f t="shared" si="8"/>
        <v>8.0515352214514428E-6</v>
      </c>
      <c r="Y82" s="13">
        <f t="shared" si="9"/>
        <v>8.0515352214514436E-4</v>
      </c>
      <c r="Z82" s="13">
        <f t="shared" si="10"/>
        <v>8.0515352214514428E-6</v>
      </c>
      <c r="AA82" s="13">
        <f t="shared" si="11"/>
        <v>8.0515352214514436E-4</v>
      </c>
      <c r="AD82" t="s">
        <v>28</v>
      </c>
      <c r="AE82" t="s">
        <v>29</v>
      </c>
      <c r="AF82" t="s">
        <v>30</v>
      </c>
      <c r="AG82" t="s">
        <v>31</v>
      </c>
      <c r="AH82" t="s">
        <v>220</v>
      </c>
      <c r="AI82" t="s">
        <v>221</v>
      </c>
      <c r="AR82" t="s">
        <v>22</v>
      </c>
      <c r="AS82" t="s">
        <v>23</v>
      </c>
      <c r="AT82">
        <v>200</v>
      </c>
      <c r="AU82" s="9">
        <v>118</v>
      </c>
      <c r="AV82" s="9">
        <v>153</v>
      </c>
      <c r="AW82">
        <v>200</v>
      </c>
      <c r="AX82">
        <v>150</v>
      </c>
      <c r="AY82">
        <v>5</v>
      </c>
      <c r="AZ82">
        <v>70</v>
      </c>
      <c r="BA82">
        <v>3</v>
      </c>
      <c r="BB82">
        <v>3</v>
      </c>
    </row>
    <row r="83" spans="1:78" x14ac:dyDescent="0.45">
      <c r="A83" t="s">
        <v>230</v>
      </c>
      <c r="B83">
        <v>2916000</v>
      </c>
      <c r="C83" s="13">
        <v>6.5619239833718918E-4</v>
      </c>
      <c r="D83" s="13">
        <v>6.5619239833718916E-6</v>
      </c>
      <c r="E83" s="13">
        <v>6.5619239833718918E-4</v>
      </c>
      <c r="F83" s="13">
        <v>6.5619239833718916E-6</v>
      </c>
      <c r="G83" s="13">
        <v>6.5619239833718918E-4</v>
      </c>
      <c r="H83" s="1">
        <v>82</v>
      </c>
      <c r="I83">
        <v>36000</v>
      </c>
      <c r="U83">
        <v>2031</v>
      </c>
      <c r="V83">
        <v>29160</v>
      </c>
      <c r="W83" s="13">
        <v>5.750724982417129E-4</v>
      </c>
      <c r="X83" s="13">
        <f t="shared" si="8"/>
        <v>5.750724982417129E-6</v>
      </c>
      <c r="Y83" s="13">
        <f t="shared" si="9"/>
        <v>5.750724982417129E-4</v>
      </c>
      <c r="Z83" s="13">
        <f t="shared" si="10"/>
        <v>5.750724982417129E-6</v>
      </c>
      <c r="AA83" s="13">
        <f t="shared" si="11"/>
        <v>5.750724982417129E-4</v>
      </c>
      <c r="AD83" s="5">
        <v>1</v>
      </c>
      <c r="AE83">
        <v>180000</v>
      </c>
      <c r="AF83" s="5">
        <v>200</v>
      </c>
      <c r="AG83" s="5">
        <v>1.0373939999999999</v>
      </c>
      <c r="AH83" s="6">
        <v>1</v>
      </c>
      <c r="AI83">
        <f>AE83/360</f>
        <v>500</v>
      </c>
      <c r="AR83" t="s">
        <v>24</v>
      </c>
      <c r="AS83" t="s">
        <v>25</v>
      </c>
      <c r="AT83">
        <v>250</v>
      </c>
      <c r="AU83" s="9">
        <v>153</v>
      </c>
      <c r="AV83" s="9">
        <v>167</v>
      </c>
      <c r="AW83">
        <v>150</v>
      </c>
      <c r="AX83">
        <v>100</v>
      </c>
      <c r="AY83">
        <v>5</v>
      </c>
      <c r="AZ83">
        <v>70</v>
      </c>
      <c r="BA83">
        <v>3</v>
      </c>
      <c r="BB83">
        <v>4</v>
      </c>
    </row>
    <row r="84" spans="1:78" x14ac:dyDescent="0.45">
      <c r="A84" t="s">
        <v>231</v>
      </c>
      <c r="B84">
        <v>2952000</v>
      </c>
      <c r="C84" s="13">
        <v>6.3648659644083847E-4</v>
      </c>
      <c r="D84" s="13">
        <v>6.3648659644083847E-6</v>
      </c>
      <c r="E84" s="13">
        <v>6.3648659644083847E-4</v>
      </c>
      <c r="F84" s="13">
        <v>6.3648659644083847E-6</v>
      </c>
      <c r="G84" s="13">
        <v>6.3648659644083847E-4</v>
      </c>
      <c r="H84" s="1">
        <v>83</v>
      </c>
      <c r="I84">
        <v>36000</v>
      </c>
      <c r="U84">
        <v>2032</v>
      </c>
      <c r="V84">
        <v>29520</v>
      </c>
      <c r="W84" s="13">
        <v>6.7040596663695798E-4</v>
      </c>
      <c r="X84" s="13">
        <f t="shared" si="8"/>
        <v>6.7040596663695799E-6</v>
      </c>
      <c r="Y84" s="13">
        <f t="shared" si="9"/>
        <v>6.7040596663695798E-4</v>
      </c>
      <c r="Z84" s="13">
        <f t="shared" si="10"/>
        <v>6.7040596663695799E-6</v>
      </c>
      <c r="AA84" s="13">
        <f t="shared" si="11"/>
        <v>6.7040596663695798E-4</v>
      </c>
      <c r="AD84" s="5">
        <v>2</v>
      </c>
      <c r="AE84">
        <v>1800000</v>
      </c>
      <c r="AF84" s="5">
        <v>200</v>
      </c>
      <c r="AG84" s="5">
        <v>1.052738</v>
      </c>
      <c r="AH84" s="6">
        <v>1</v>
      </c>
      <c r="AI84">
        <f>AE84/360</f>
        <v>5000</v>
      </c>
      <c r="AR84" t="s">
        <v>26</v>
      </c>
      <c r="AS84" t="s">
        <v>27</v>
      </c>
      <c r="AT84">
        <v>350</v>
      </c>
      <c r="AU84" s="9">
        <v>167</v>
      </c>
      <c r="AV84" s="9">
        <v>200</v>
      </c>
      <c r="AW84">
        <v>200</v>
      </c>
      <c r="AX84">
        <v>0</v>
      </c>
      <c r="AY84">
        <v>5</v>
      </c>
      <c r="AZ84">
        <v>70</v>
      </c>
      <c r="BA84">
        <v>3</v>
      </c>
      <c r="BB84">
        <v>5</v>
      </c>
    </row>
    <row r="85" spans="1:78" x14ac:dyDescent="0.45">
      <c r="A85" t="s">
        <v>232</v>
      </c>
      <c r="B85">
        <v>2988000</v>
      </c>
      <c r="C85" s="13">
        <v>6.4073541828841857E-4</v>
      </c>
      <c r="D85" s="13">
        <v>6.4073541828841854E-6</v>
      </c>
      <c r="E85" s="13">
        <v>6.4073541828841857E-4</v>
      </c>
      <c r="F85" s="13">
        <v>6.4073541828841854E-6</v>
      </c>
      <c r="G85" s="13">
        <v>6.4073541828841857E-4</v>
      </c>
      <c r="H85" s="1">
        <v>84</v>
      </c>
      <c r="I85">
        <v>36000</v>
      </c>
      <c r="U85">
        <v>2033</v>
      </c>
      <c r="V85">
        <v>29880</v>
      </c>
      <c r="W85" s="13">
        <v>6.6752831004103605E-4</v>
      </c>
      <c r="X85" s="13">
        <f t="shared" si="8"/>
        <v>6.6752831004103607E-6</v>
      </c>
      <c r="Y85" s="13">
        <f t="shared" si="9"/>
        <v>6.6752831004103605E-4</v>
      </c>
      <c r="Z85" s="13">
        <f t="shared" si="10"/>
        <v>6.6752831004103607E-6</v>
      </c>
      <c r="AA85" s="13">
        <f t="shared" si="11"/>
        <v>6.6752831004103605E-4</v>
      </c>
      <c r="AD85" s="5">
        <v>3</v>
      </c>
      <c r="AE85">
        <v>18000000</v>
      </c>
      <c r="AF85" s="5">
        <v>200</v>
      </c>
      <c r="AG85" s="5">
        <v>1.0680700000000001</v>
      </c>
      <c r="AH85" s="6">
        <v>1</v>
      </c>
      <c r="AI85">
        <f>AE85/360</f>
        <v>50000</v>
      </c>
    </row>
    <row r="86" spans="1:78" x14ac:dyDescent="0.45">
      <c r="A86" t="s">
        <v>233</v>
      </c>
      <c r="B86">
        <v>3024000</v>
      </c>
      <c r="C86" s="13">
        <v>6.4697171841511763E-4</v>
      </c>
      <c r="D86" s="13">
        <v>6.4697171841511756E-6</v>
      </c>
      <c r="E86" s="13">
        <v>6.4697171841511763E-4</v>
      </c>
      <c r="F86" s="13">
        <v>6.4697171841511756E-6</v>
      </c>
      <c r="G86" s="13">
        <v>6.4697171841511763E-4</v>
      </c>
      <c r="H86" s="1">
        <v>85</v>
      </c>
      <c r="I86">
        <v>36000</v>
      </c>
      <c r="U86">
        <v>2034</v>
      </c>
      <c r="V86">
        <v>30240</v>
      </c>
      <c r="W86" s="13">
        <v>6.8681608077582183E-4</v>
      </c>
      <c r="X86" s="13">
        <f t="shared" si="8"/>
        <v>6.8681608077582185E-6</v>
      </c>
      <c r="Y86" s="13">
        <f t="shared" si="9"/>
        <v>6.8681608077582183E-4</v>
      </c>
      <c r="Z86" s="13">
        <f t="shared" si="10"/>
        <v>6.8681608077582185E-6</v>
      </c>
      <c r="AA86" s="13">
        <f t="shared" si="11"/>
        <v>6.8681608077582183E-4</v>
      </c>
      <c r="AD86" s="5">
        <v>4</v>
      </c>
      <c r="AE86">
        <v>180000000</v>
      </c>
      <c r="AF86" s="5">
        <v>200</v>
      </c>
      <c r="AG86" s="5">
        <v>1.0834010000000001</v>
      </c>
      <c r="AH86" s="6">
        <v>1</v>
      </c>
      <c r="AI86">
        <f>AE86/360</f>
        <v>500000</v>
      </c>
    </row>
    <row r="87" spans="1:78" x14ac:dyDescent="0.45">
      <c r="A87" t="s">
        <v>234</v>
      </c>
      <c r="B87">
        <v>3060000</v>
      </c>
      <c r="C87" s="13">
        <v>6.837139573482164E-4</v>
      </c>
      <c r="D87" s="13">
        <v>6.8371395734821638E-6</v>
      </c>
      <c r="E87" s="13">
        <v>6.837139573482164E-4</v>
      </c>
      <c r="F87" s="13">
        <v>6.8371395734821638E-6</v>
      </c>
      <c r="G87" s="13">
        <v>6.837139573482164E-4</v>
      </c>
      <c r="H87" s="1">
        <v>86</v>
      </c>
      <c r="I87">
        <v>36000</v>
      </c>
      <c r="U87">
        <v>2035</v>
      </c>
      <c r="V87">
        <v>30600</v>
      </c>
      <c r="W87" s="13">
        <v>8.5098987706838051E-4</v>
      </c>
      <c r="X87" s="13">
        <f t="shared" si="8"/>
        <v>8.5098987706838055E-6</v>
      </c>
      <c r="Y87" s="13">
        <f t="shared" si="9"/>
        <v>8.5098987706838051E-4</v>
      </c>
      <c r="Z87" s="13">
        <f t="shared" si="10"/>
        <v>8.5098987706838055E-6</v>
      </c>
      <c r="AA87" s="13">
        <f t="shared" si="11"/>
        <v>8.5098987706838051E-4</v>
      </c>
      <c r="AD87" s="5">
        <v>5</v>
      </c>
      <c r="AE87">
        <v>720000000</v>
      </c>
      <c r="AF87" s="5">
        <v>200</v>
      </c>
      <c r="AG87" s="5">
        <v>1.0909169999999999</v>
      </c>
      <c r="AH87" s="6">
        <v>1</v>
      </c>
      <c r="AI87">
        <f>AE87/360</f>
        <v>2000000</v>
      </c>
    </row>
    <row r="88" spans="1:78" x14ac:dyDescent="0.45">
      <c r="A88" t="s">
        <v>235</v>
      </c>
      <c r="B88">
        <v>3096000</v>
      </c>
      <c r="C88" s="13">
        <v>6.2540301291668461E-4</v>
      </c>
      <c r="D88" s="13">
        <v>6.2540301291668461E-6</v>
      </c>
      <c r="E88" s="13">
        <v>6.2540301291668461E-4</v>
      </c>
      <c r="F88" s="13">
        <v>6.2540301291668461E-6</v>
      </c>
      <c r="G88" s="13">
        <v>6.2540301291668461E-4</v>
      </c>
      <c r="H88" s="1">
        <v>87</v>
      </c>
      <c r="I88">
        <v>36000</v>
      </c>
      <c r="U88">
        <v>2036</v>
      </c>
      <c r="V88">
        <v>30960</v>
      </c>
      <c r="W88" s="13">
        <v>6.7755654381398901E-4</v>
      </c>
      <c r="X88" s="13">
        <f t="shared" si="8"/>
        <v>6.7755654381398902E-6</v>
      </c>
      <c r="Y88" s="13">
        <f t="shared" si="9"/>
        <v>6.7755654381398901E-4</v>
      </c>
      <c r="Z88" s="13">
        <f t="shared" si="10"/>
        <v>6.7755654381398902E-6</v>
      </c>
      <c r="AA88" s="13">
        <f t="shared" si="11"/>
        <v>6.7755654381398901E-4</v>
      </c>
    </row>
    <row r="89" spans="1:78" x14ac:dyDescent="0.45">
      <c r="A89" t="s">
        <v>236</v>
      </c>
      <c r="B89">
        <v>3132000</v>
      </c>
      <c r="C89" s="13">
        <v>6.7614766082081104E-4</v>
      </c>
      <c r="D89" s="13">
        <v>6.7614766082081103E-6</v>
      </c>
      <c r="E89" s="13">
        <v>6.7614766082081104E-4</v>
      </c>
      <c r="F89" s="13">
        <v>6.7614766082081103E-6</v>
      </c>
      <c r="G89" s="13">
        <v>6.7614766082081104E-4</v>
      </c>
      <c r="H89" s="1">
        <v>88</v>
      </c>
      <c r="I89">
        <v>36000</v>
      </c>
      <c r="U89">
        <v>2037</v>
      </c>
      <c r="V89">
        <v>31320</v>
      </c>
      <c r="W89" s="13">
        <v>9.4339543613295384E-4</v>
      </c>
      <c r="X89" s="13">
        <f t="shared" si="8"/>
        <v>9.4339543613295379E-6</v>
      </c>
      <c r="Y89" s="13">
        <f t="shared" si="9"/>
        <v>9.4339543613295384E-4</v>
      </c>
      <c r="Z89" s="13">
        <f t="shared" si="10"/>
        <v>9.4339543613295379E-6</v>
      </c>
      <c r="AA89" s="13">
        <f t="shared" si="11"/>
        <v>9.4339543613295384E-4</v>
      </c>
      <c r="BN89" t="s">
        <v>237</v>
      </c>
    </row>
    <row r="90" spans="1:78" x14ac:dyDescent="0.45">
      <c r="A90" t="s">
        <v>238</v>
      </c>
      <c r="B90">
        <v>3168000</v>
      </c>
      <c r="C90" s="13">
        <v>6.5782433676825477E-4</v>
      </c>
      <c r="D90" s="13">
        <v>6.5782433676825479E-6</v>
      </c>
      <c r="E90" s="13">
        <v>6.5782433676825477E-4</v>
      </c>
      <c r="F90" s="13">
        <v>6.5782433676825479E-6</v>
      </c>
      <c r="G90" s="13">
        <v>6.5782433676825477E-4</v>
      </c>
      <c r="H90" s="1">
        <v>89</v>
      </c>
      <c r="I90">
        <v>36000</v>
      </c>
      <c r="U90">
        <v>2038</v>
      </c>
      <c r="V90">
        <v>31680</v>
      </c>
      <c r="W90" s="13">
        <v>5.8085408169564559E-4</v>
      </c>
      <c r="X90" s="13">
        <f t="shared" si="8"/>
        <v>5.8085408169564563E-6</v>
      </c>
      <c r="Y90" s="13">
        <f t="shared" si="9"/>
        <v>5.8085408169564559E-4</v>
      </c>
      <c r="Z90" s="13">
        <f t="shared" si="10"/>
        <v>5.8085408169564563E-6</v>
      </c>
      <c r="AA90" s="13">
        <f t="shared" si="11"/>
        <v>5.8085408169564559E-4</v>
      </c>
      <c r="AE90" t="s">
        <v>237</v>
      </c>
      <c r="BN90" t="s">
        <v>89</v>
      </c>
      <c r="BO90" t="s">
        <v>82</v>
      </c>
      <c r="BP90" t="s">
        <v>124</v>
      </c>
      <c r="BQ90" t="s">
        <v>114</v>
      </c>
      <c r="BR90" t="s">
        <v>115</v>
      </c>
      <c r="BS90" t="s">
        <v>116</v>
      </c>
      <c r="BT90" t="s">
        <v>117</v>
      </c>
      <c r="BU90" t="s">
        <v>118</v>
      </c>
      <c r="BV90" t="s">
        <v>119</v>
      </c>
      <c r="BW90" t="s">
        <v>120</v>
      </c>
      <c r="BX90" t="s">
        <v>121</v>
      </c>
      <c r="BY90" t="s">
        <v>122</v>
      </c>
      <c r="BZ90" t="s">
        <v>123</v>
      </c>
    </row>
    <row r="91" spans="1:78" x14ac:dyDescent="0.45">
      <c r="A91" t="s">
        <v>239</v>
      </c>
      <c r="B91">
        <v>3204000</v>
      </c>
      <c r="C91" s="13">
        <v>6.2769081210918576E-4</v>
      </c>
      <c r="D91" s="13">
        <v>6.2769081210918566E-6</v>
      </c>
      <c r="E91" s="13">
        <v>6.2769081210918576E-4</v>
      </c>
      <c r="F91" s="13">
        <v>6.2769081210918566E-6</v>
      </c>
      <c r="G91" s="13">
        <v>6.2769081210918576E-4</v>
      </c>
      <c r="H91" s="1">
        <v>90</v>
      </c>
      <c r="I91">
        <v>36000</v>
      </c>
      <c r="U91">
        <v>2039</v>
      </c>
      <c r="V91">
        <v>32040</v>
      </c>
      <c r="W91" s="13">
        <v>3.6120501290660029E-4</v>
      </c>
      <c r="X91" s="13">
        <f t="shared" si="8"/>
        <v>3.6120501290660029E-6</v>
      </c>
      <c r="Y91" s="13">
        <f t="shared" si="9"/>
        <v>3.6120501290660029E-4</v>
      </c>
      <c r="Z91" s="13">
        <f t="shared" si="10"/>
        <v>3.6120501290660029E-6</v>
      </c>
      <c r="AA91" s="13">
        <f t="shared" si="11"/>
        <v>3.6120501290660029E-4</v>
      </c>
      <c r="AE91" t="s">
        <v>35</v>
      </c>
      <c r="AF91" t="s">
        <v>240</v>
      </c>
      <c r="AG91" t="s">
        <v>241</v>
      </c>
      <c r="AH91" t="s">
        <v>242</v>
      </c>
      <c r="AI91" t="s">
        <v>243</v>
      </c>
      <c r="AJ91" t="s">
        <v>244</v>
      </c>
      <c r="AK91" t="s">
        <v>245</v>
      </c>
      <c r="AL91" t="s">
        <v>246</v>
      </c>
      <c r="AM91" t="s">
        <v>247</v>
      </c>
      <c r="AN91" t="s">
        <v>248</v>
      </c>
      <c r="AO91" t="s">
        <v>249</v>
      </c>
      <c r="BN91" t="s">
        <v>91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</row>
    <row r="92" spans="1:78" x14ac:dyDescent="0.45">
      <c r="A92" t="s">
        <v>250</v>
      </c>
      <c r="B92">
        <v>3240000</v>
      </c>
      <c r="C92" s="13">
        <v>6.022594707592268E-4</v>
      </c>
      <c r="D92" s="13">
        <v>6.0225947075922676E-6</v>
      </c>
      <c r="E92" s="13">
        <v>6.022594707592268E-4</v>
      </c>
      <c r="F92" s="13">
        <v>6.0225947075922676E-6</v>
      </c>
      <c r="G92" s="13">
        <v>6.022594707592268E-4</v>
      </c>
      <c r="H92" s="1">
        <v>91</v>
      </c>
      <c r="I92">
        <v>36000</v>
      </c>
      <c r="U92">
        <v>2040</v>
      </c>
      <c r="V92">
        <v>32400</v>
      </c>
      <c r="W92" s="13">
        <v>6.2975536923403231E-4</v>
      </c>
      <c r="X92" s="13">
        <f t="shared" si="8"/>
        <v>6.2975536923403232E-6</v>
      </c>
      <c r="Y92" s="13">
        <f t="shared" si="9"/>
        <v>6.2975536923403231E-4</v>
      </c>
      <c r="Z92" s="13">
        <f t="shared" si="10"/>
        <v>6.2975536923403232E-6</v>
      </c>
      <c r="AA92" s="13">
        <f t="shared" si="11"/>
        <v>6.2975536923403231E-4</v>
      </c>
      <c r="AE92" s="4" t="s">
        <v>42</v>
      </c>
      <c r="AF92" s="13">
        <v>8.6400000000000001E-3</v>
      </c>
      <c r="AG92" s="13">
        <v>8.6400000000000005E-2</v>
      </c>
      <c r="AH92" s="13">
        <v>0.86399999999999999</v>
      </c>
      <c r="AI92" s="13">
        <v>8.64</v>
      </c>
      <c r="AJ92" s="13">
        <v>86.4</v>
      </c>
      <c r="AK92" s="13">
        <v>8.6400000000000001E-3</v>
      </c>
      <c r="AL92" s="13">
        <v>8.6400000000000005E-2</v>
      </c>
      <c r="AM92" s="13">
        <v>0.86399999999999999</v>
      </c>
      <c r="AN92" s="13">
        <v>8.64</v>
      </c>
      <c r="AO92" s="13">
        <v>86.4</v>
      </c>
      <c r="BN92" t="s">
        <v>91</v>
      </c>
      <c r="BO92" s="2">
        <v>3600000</v>
      </c>
      <c r="BP92">
        <v>0</v>
      </c>
      <c r="BQ92">
        <v>-100</v>
      </c>
      <c r="BR92">
        <v>-200</v>
      </c>
      <c r="BS92">
        <v>-1000</v>
      </c>
      <c r="BT92">
        <v>-2000</v>
      </c>
      <c r="BU92">
        <v>-20000</v>
      </c>
      <c r="BV92">
        <v>-100000</v>
      </c>
      <c r="BW92">
        <v>-200000</v>
      </c>
      <c r="BX92">
        <v>-600000</v>
      </c>
      <c r="BY92">
        <v>-1200000</v>
      </c>
      <c r="BZ92">
        <v>-2400000</v>
      </c>
    </row>
    <row r="93" spans="1:78" x14ac:dyDescent="0.45">
      <c r="A93" t="s">
        <v>251</v>
      </c>
      <c r="B93">
        <v>3276000</v>
      </c>
      <c r="C93" s="13">
        <v>6.161871615329845E-4</v>
      </c>
      <c r="D93" s="13">
        <v>6.1618716153298451E-6</v>
      </c>
      <c r="E93" s="13">
        <v>6.161871615329845E-4</v>
      </c>
      <c r="F93" s="13">
        <v>6.1618716153298451E-6</v>
      </c>
      <c r="G93" s="13">
        <v>6.161871615329845E-4</v>
      </c>
      <c r="H93" s="1">
        <v>92</v>
      </c>
      <c r="I93">
        <v>36000</v>
      </c>
      <c r="U93">
        <v>2041</v>
      </c>
      <c r="V93">
        <v>32760</v>
      </c>
      <c r="W93" s="13">
        <v>7.228323272845125E-4</v>
      </c>
      <c r="X93" s="13">
        <f t="shared" si="8"/>
        <v>7.228323272845125E-6</v>
      </c>
      <c r="Y93" s="13">
        <f t="shared" si="9"/>
        <v>7.228323272845125E-4</v>
      </c>
      <c r="Z93" s="13">
        <f t="shared" si="10"/>
        <v>7.228323272845125E-6</v>
      </c>
      <c r="AA93" s="13">
        <f t="shared" si="11"/>
        <v>7.228323272845125E-4</v>
      </c>
      <c r="AE93" s="4" t="s">
        <v>46</v>
      </c>
      <c r="AF93" s="14">
        <v>8.6399999999999999E-5</v>
      </c>
      <c r="AG93" s="14">
        <v>8.6399999999999999E-5</v>
      </c>
      <c r="AH93" s="14">
        <v>8.6399999999999999E-5</v>
      </c>
      <c r="AI93" s="14">
        <v>8.6399999999999999E-5</v>
      </c>
      <c r="AJ93" s="14">
        <v>8.6399999999999999E-5</v>
      </c>
      <c r="AK93" s="14">
        <v>8.6400000000000001E-3</v>
      </c>
      <c r="AL93" s="14">
        <v>8.6400000000000001E-3</v>
      </c>
      <c r="AM93" s="14">
        <v>8.6400000000000001E-3</v>
      </c>
      <c r="AN93" s="14">
        <v>8.6400000000000001E-3</v>
      </c>
      <c r="AO93" s="14">
        <v>8.6400000000000001E-3</v>
      </c>
      <c r="BN93" t="s">
        <v>91</v>
      </c>
      <c r="BO93" s="2">
        <v>800000000</v>
      </c>
      <c r="BP93">
        <v>0</v>
      </c>
      <c r="BQ93">
        <v>-100</v>
      </c>
      <c r="BR93">
        <v>-200</v>
      </c>
      <c r="BS93">
        <v>-1000</v>
      </c>
      <c r="BT93">
        <v>-2000</v>
      </c>
      <c r="BU93">
        <v>-20000</v>
      </c>
      <c r="BV93">
        <v>-100000</v>
      </c>
      <c r="BW93">
        <v>-200000</v>
      </c>
      <c r="BX93">
        <v>-600000</v>
      </c>
      <c r="BY93">
        <v>-1200000</v>
      </c>
      <c r="BZ93">
        <v>-2400000</v>
      </c>
    </row>
    <row r="94" spans="1:78" x14ac:dyDescent="0.45">
      <c r="A94" t="s">
        <v>252</v>
      </c>
      <c r="B94">
        <v>3312000</v>
      </c>
      <c r="C94" s="13">
        <v>5.8966052090965275E-4</v>
      </c>
      <c r="D94" s="13">
        <v>5.8966052090965263E-6</v>
      </c>
      <c r="E94" s="13">
        <v>5.8966052090965275E-4</v>
      </c>
      <c r="F94" s="13">
        <v>5.8966052090965263E-6</v>
      </c>
      <c r="G94" s="13">
        <v>5.8966052090965275E-4</v>
      </c>
      <c r="H94" s="1">
        <v>93</v>
      </c>
      <c r="I94">
        <v>36000</v>
      </c>
      <c r="U94">
        <v>2042</v>
      </c>
      <c r="V94">
        <v>33120</v>
      </c>
      <c r="W94" s="13">
        <v>4.6803677487896461E-4</v>
      </c>
      <c r="X94" s="13">
        <f t="shared" si="8"/>
        <v>4.6803677487896461E-6</v>
      </c>
      <c r="Y94" s="13">
        <f t="shared" si="9"/>
        <v>4.6803677487896461E-4</v>
      </c>
      <c r="Z94" s="13">
        <f t="shared" si="10"/>
        <v>4.6803677487896461E-6</v>
      </c>
      <c r="AA94" s="13">
        <f t="shared" si="11"/>
        <v>4.6803677487896461E-4</v>
      </c>
      <c r="AE94" s="4" t="s">
        <v>48</v>
      </c>
      <c r="AF94" s="13">
        <v>8.6400000000000001E-3</v>
      </c>
      <c r="AG94" s="13">
        <v>8.6400000000000005E-2</v>
      </c>
      <c r="AH94" s="13">
        <v>0.86399999999999999</v>
      </c>
      <c r="AI94" s="13">
        <v>8.64</v>
      </c>
      <c r="AJ94" s="13">
        <v>86.4</v>
      </c>
      <c r="AK94" s="13">
        <v>8.6400000000000001E-3</v>
      </c>
      <c r="AL94" s="13">
        <v>8.6400000000000005E-2</v>
      </c>
      <c r="AM94" s="13">
        <v>0.86399999999999999</v>
      </c>
      <c r="AN94" s="13">
        <v>8.64</v>
      </c>
      <c r="AO94" s="13">
        <v>86.4</v>
      </c>
      <c r="BN94" t="s">
        <v>92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</row>
    <row r="95" spans="1:78" x14ac:dyDescent="0.45">
      <c r="A95" t="s">
        <v>253</v>
      </c>
      <c r="B95">
        <v>3348000</v>
      </c>
      <c r="C95" s="13">
        <v>6.184825996746351E-4</v>
      </c>
      <c r="D95" s="13">
        <v>6.1848259967463524E-6</v>
      </c>
      <c r="E95" s="13">
        <v>6.184825996746351E-4</v>
      </c>
      <c r="F95" s="13">
        <v>6.1848259967463524E-6</v>
      </c>
      <c r="G95" s="13">
        <v>6.184825996746351E-4</v>
      </c>
      <c r="H95" s="1">
        <v>94</v>
      </c>
      <c r="I95">
        <v>36000</v>
      </c>
      <c r="U95">
        <v>2043</v>
      </c>
      <c r="V95">
        <v>33480</v>
      </c>
      <c r="W95" s="13">
        <v>7.7336905885629418E-4</v>
      </c>
      <c r="X95" s="13">
        <f t="shared" si="8"/>
        <v>7.7336905885629418E-6</v>
      </c>
      <c r="Y95" s="13">
        <f t="shared" si="9"/>
        <v>7.7336905885629418E-4</v>
      </c>
      <c r="Z95" s="13">
        <f t="shared" si="10"/>
        <v>7.7336905885629418E-6</v>
      </c>
      <c r="AA95" s="13">
        <f t="shared" si="11"/>
        <v>7.7336905885629418E-4</v>
      </c>
      <c r="AE95" s="4" t="s">
        <v>50</v>
      </c>
      <c r="AF95" s="14">
        <v>8.6399999999999999E-5</v>
      </c>
      <c r="AG95" s="14">
        <v>8.6399999999999999E-5</v>
      </c>
      <c r="AH95" s="14">
        <v>8.6399999999999999E-5</v>
      </c>
      <c r="AI95" s="14">
        <v>8.6399999999999999E-5</v>
      </c>
      <c r="AJ95" s="14">
        <v>8.6399999999999999E-5</v>
      </c>
      <c r="AK95" s="14">
        <v>8.6400000000000001E-3</v>
      </c>
      <c r="AL95" s="14">
        <v>8.6400000000000001E-3</v>
      </c>
      <c r="AM95" s="14">
        <v>8.6400000000000001E-3</v>
      </c>
      <c r="AN95" s="14">
        <v>8.6400000000000001E-3</v>
      </c>
      <c r="AO95" s="14">
        <v>8.6400000000000001E-3</v>
      </c>
      <c r="BN95" t="s">
        <v>92</v>
      </c>
      <c r="BO95" s="2">
        <v>3600000</v>
      </c>
      <c r="BP95">
        <v>0</v>
      </c>
      <c r="BQ95">
        <v>-100</v>
      </c>
      <c r="BR95">
        <v>-200</v>
      </c>
      <c r="BS95">
        <v>-1000</v>
      </c>
      <c r="BT95">
        <v>-2000</v>
      </c>
      <c r="BU95">
        <v>-20000</v>
      </c>
      <c r="BV95">
        <v>-100000</v>
      </c>
      <c r="BW95">
        <v>-200000</v>
      </c>
      <c r="BX95">
        <v>-600000</v>
      </c>
      <c r="BY95">
        <v>-1200000</v>
      </c>
      <c r="BZ95">
        <v>-2400000</v>
      </c>
    </row>
    <row r="96" spans="1:78" x14ac:dyDescent="0.45">
      <c r="A96" t="s">
        <v>254</v>
      </c>
      <c r="B96">
        <v>3384000</v>
      </c>
      <c r="C96" s="13">
        <v>6.2913306972049526E-4</v>
      </c>
      <c r="D96" s="13">
        <v>6.2913306972049533E-6</v>
      </c>
      <c r="E96" s="13">
        <v>6.2913306972049526E-4</v>
      </c>
      <c r="F96" s="13">
        <v>6.2913306972049533E-6</v>
      </c>
      <c r="G96" s="13">
        <v>6.2913306972049526E-4</v>
      </c>
      <c r="H96" s="1">
        <v>95</v>
      </c>
      <c r="I96">
        <v>36000</v>
      </c>
      <c r="U96">
        <v>2044</v>
      </c>
      <c r="V96">
        <v>33840</v>
      </c>
      <c r="W96" s="13">
        <v>5.6237098746364077E-4</v>
      </c>
      <c r="X96" s="13">
        <f t="shared" si="8"/>
        <v>5.6237098746364081E-6</v>
      </c>
      <c r="Y96" s="13">
        <f t="shared" si="9"/>
        <v>5.6237098746364077E-4</v>
      </c>
      <c r="Z96" s="13">
        <f t="shared" si="10"/>
        <v>5.6237098746364081E-6</v>
      </c>
      <c r="AA96" s="13">
        <f t="shared" si="11"/>
        <v>5.6237098746364077E-4</v>
      </c>
      <c r="AE96" s="4" t="s">
        <v>52</v>
      </c>
      <c r="AF96" s="13">
        <v>8.6400000000000001E-3</v>
      </c>
      <c r="AG96" s="13">
        <v>8.6400000000000005E-2</v>
      </c>
      <c r="AH96" s="13">
        <v>0.86399999999999999</v>
      </c>
      <c r="AI96" s="13">
        <v>8.64</v>
      </c>
      <c r="AJ96" s="13">
        <v>86.4</v>
      </c>
      <c r="AK96" s="13">
        <v>8.6400000000000001E-3</v>
      </c>
      <c r="AL96" s="13">
        <v>8.6400000000000005E-2</v>
      </c>
      <c r="AM96" s="13">
        <v>0.86399999999999999</v>
      </c>
      <c r="AN96" s="13">
        <v>8.64</v>
      </c>
      <c r="AO96" s="13">
        <v>86.4</v>
      </c>
      <c r="BN96" t="s">
        <v>92</v>
      </c>
      <c r="BO96" s="2">
        <v>800000000</v>
      </c>
      <c r="BP96">
        <v>0</v>
      </c>
      <c r="BQ96">
        <v>-100</v>
      </c>
      <c r="BR96">
        <v>-200</v>
      </c>
      <c r="BS96">
        <v>-1000</v>
      </c>
      <c r="BT96">
        <v>-2000</v>
      </c>
      <c r="BU96">
        <v>-20000</v>
      </c>
      <c r="BV96">
        <v>-100000</v>
      </c>
      <c r="BW96">
        <v>-200000</v>
      </c>
      <c r="BX96">
        <v>-600000</v>
      </c>
      <c r="BY96">
        <v>-1200000</v>
      </c>
      <c r="BZ96">
        <v>-2400000</v>
      </c>
    </row>
    <row r="97" spans="1:78" x14ac:dyDescent="0.45">
      <c r="A97" t="s">
        <v>255</v>
      </c>
      <c r="B97">
        <v>3420000</v>
      </c>
      <c r="C97" s="13">
        <v>5.9956195143206982E-4</v>
      </c>
      <c r="D97" s="13">
        <v>5.9956195143206978E-6</v>
      </c>
      <c r="E97" s="13">
        <v>5.9956195143206982E-4</v>
      </c>
      <c r="F97" s="13">
        <v>5.9956195143206978E-6</v>
      </c>
      <c r="G97" s="13">
        <v>5.9956195143206982E-4</v>
      </c>
      <c r="H97" s="1">
        <v>96</v>
      </c>
      <c r="I97">
        <v>36000</v>
      </c>
      <c r="U97">
        <v>2045</v>
      </c>
      <c r="V97">
        <v>34200</v>
      </c>
      <c r="W97" s="13">
        <v>8.1362777910270177E-4</v>
      </c>
      <c r="X97" s="13">
        <f t="shared" si="8"/>
        <v>8.1362777910270177E-6</v>
      </c>
      <c r="Y97" s="13">
        <f t="shared" si="9"/>
        <v>8.1362777910270177E-4</v>
      </c>
      <c r="Z97" s="13">
        <f t="shared" si="10"/>
        <v>8.1362777910270177E-6</v>
      </c>
      <c r="AA97" s="13">
        <f t="shared" si="11"/>
        <v>8.1362777910270177E-4</v>
      </c>
      <c r="AE97" s="4" t="s">
        <v>54</v>
      </c>
      <c r="AF97" s="13">
        <v>8.6400000000000001E-3</v>
      </c>
      <c r="AG97" s="13">
        <v>8.6400000000000005E-2</v>
      </c>
      <c r="AH97" s="13">
        <v>0.86399999999999999</v>
      </c>
      <c r="AI97" s="13">
        <v>8.64</v>
      </c>
      <c r="AJ97" s="13">
        <v>86.4</v>
      </c>
      <c r="AK97" s="13">
        <v>8.6400000000000001E-3</v>
      </c>
      <c r="AL97" s="13">
        <v>8.6400000000000005E-2</v>
      </c>
      <c r="AM97" s="13">
        <v>0.86399999999999999</v>
      </c>
      <c r="AN97" s="13">
        <v>8.64</v>
      </c>
      <c r="AO97" s="13">
        <v>86.4</v>
      </c>
      <c r="BN97" t="s">
        <v>93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</row>
    <row r="98" spans="1:78" x14ac:dyDescent="0.45">
      <c r="A98" t="s">
        <v>256</v>
      </c>
      <c r="B98">
        <v>3456000</v>
      </c>
      <c r="C98" s="13">
        <v>5.9866325095863206E-4</v>
      </c>
      <c r="D98" s="13">
        <v>5.9866325095863209E-6</v>
      </c>
      <c r="E98" s="13">
        <v>5.9866325095863206E-4</v>
      </c>
      <c r="F98" s="13">
        <v>5.9866325095863209E-6</v>
      </c>
      <c r="G98" s="13">
        <v>5.9866325095863206E-4</v>
      </c>
      <c r="H98" s="1">
        <v>97</v>
      </c>
      <c r="I98">
        <v>36000</v>
      </c>
      <c r="U98">
        <v>2046</v>
      </c>
      <c r="V98">
        <v>34560</v>
      </c>
      <c r="W98" s="13">
        <v>4.356087488178263E-4</v>
      </c>
      <c r="X98" s="13">
        <f t="shared" ref="X98:X129" si="12">+W98/100</f>
        <v>4.3560874881782632E-6</v>
      </c>
      <c r="Y98" s="13">
        <f t="shared" ref="Y98:Y129" si="13">+W98</f>
        <v>4.356087488178263E-4</v>
      </c>
      <c r="Z98" s="13">
        <f t="shared" ref="Z98:Z129" si="14">+Y98/100</f>
        <v>4.3560874881782632E-6</v>
      </c>
      <c r="AA98" s="13">
        <f t="shared" ref="AA98:AA129" si="15">+W98</f>
        <v>4.356087488178263E-4</v>
      </c>
      <c r="AE98" s="4" t="s">
        <v>55</v>
      </c>
      <c r="AF98" s="14">
        <v>8.6399999999999999E-5</v>
      </c>
      <c r="AG98" s="14">
        <v>8.6399999999999999E-5</v>
      </c>
      <c r="AH98" s="14">
        <v>8.6399999999999999E-5</v>
      </c>
      <c r="AI98" s="14">
        <v>8.6399999999999999E-5</v>
      </c>
      <c r="AJ98" s="14">
        <v>8.6399999999999999E-5</v>
      </c>
      <c r="AK98" s="14">
        <v>8.6400000000000001E-3</v>
      </c>
      <c r="AL98" s="14">
        <v>8.6400000000000001E-3</v>
      </c>
      <c r="AM98" s="14">
        <v>8.6400000000000001E-3</v>
      </c>
      <c r="AN98" s="14">
        <v>8.6400000000000001E-3</v>
      </c>
      <c r="AO98" s="14">
        <v>8.6400000000000001E-3</v>
      </c>
      <c r="BN98" t="s">
        <v>93</v>
      </c>
      <c r="BO98" s="2">
        <v>3600000</v>
      </c>
      <c r="BP98">
        <v>0</v>
      </c>
      <c r="BQ98">
        <v>-100</v>
      </c>
      <c r="BR98">
        <v>-200</v>
      </c>
      <c r="BS98">
        <v>-1000</v>
      </c>
      <c r="BT98">
        <v>-2000</v>
      </c>
      <c r="BU98">
        <v>-20000</v>
      </c>
      <c r="BV98">
        <v>-100000</v>
      </c>
      <c r="BW98">
        <v>-200000</v>
      </c>
      <c r="BX98">
        <v>-600000</v>
      </c>
      <c r="BY98">
        <v>-1200000</v>
      </c>
      <c r="BZ98">
        <v>-2400000</v>
      </c>
    </row>
    <row r="99" spans="1:78" x14ac:dyDescent="0.45">
      <c r="A99" t="s">
        <v>257</v>
      </c>
      <c r="B99">
        <v>3492000</v>
      </c>
      <c r="C99" s="13">
        <v>6.3791302803022922E-4</v>
      </c>
      <c r="D99" s="13">
        <v>6.3791302803022919E-6</v>
      </c>
      <c r="E99" s="13">
        <v>6.3791302803022922E-4</v>
      </c>
      <c r="F99" s="13">
        <v>6.3791302803022919E-6</v>
      </c>
      <c r="G99" s="13">
        <v>6.3791302803022922E-4</v>
      </c>
      <c r="H99" s="1">
        <v>98</v>
      </c>
      <c r="I99">
        <v>36000</v>
      </c>
      <c r="U99">
        <v>2047</v>
      </c>
      <c r="V99">
        <v>34920</v>
      </c>
      <c r="W99" s="13">
        <v>1.0028195602172999E-3</v>
      </c>
      <c r="X99" s="13">
        <f t="shared" si="12"/>
        <v>1.0028195602173E-5</v>
      </c>
      <c r="Y99" s="13">
        <f t="shared" si="13"/>
        <v>1.0028195602172999E-3</v>
      </c>
      <c r="Z99" s="13">
        <f t="shared" si="14"/>
        <v>1.0028195602173E-5</v>
      </c>
      <c r="AA99" s="13">
        <f t="shared" si="15"/>
        <v>1.0028195602172999E-3</v>
      </c>
      <c r="AE99" s="4" t="s">
        <v>56</v>
      </c>
      <c r="AF99" s="13">
        <v>8.6400000000000001E-3</v>
      </c>
      <c r="AG99" s="13">
        <v>8.6400000000000005E-2</v>
      </c>
      <c r="AH99" s="13">
        <v>0.86399999999999999</v>
      </c>
      <c r="AI99" s="13">
        <v>8.64</v>
      </c>
      <c r="AJ99" s="13">
        <v>86.4</v>
      </c>
      <c r="AK99" s="13">
        <v>8.6400000000000001E-3</v>
      </c>
      <c r="AL99" s="13">
        <v>8.6400000000000005E-2</v>
      </c>
      <c r="AM99" s="13">
        <v>0.86399999999999999</v>
      </c>
      <c r="AN99" s="13">
        <v>8.64</v>
      </c>
      <c r="AO99" s="13">
        <v>86.4</v>
      </c>
      <c r="BN99" t="s">
        <v>93</v>
      </c>
      <c r="BO99" s="2">
        <v>800000000</v>
      </c>
      <c r="BP99">
        <v>0</v>
      </c>
      <c r="BQ99">
        <v>-100</v>
      </c>
      <c r="BR99">
        <v>-200</v>
      </c>
      <c r="BS99">
        <v>-1000</v>
      </c>
      <c r="BT99">
        <v>-2000</v>
      </c>
      <c r="BU99">
        <v>-20000</v>
      </c>
      <c r="BV99">
        <v>-100000</v>
      </c>
      <c r="BW99">
        <v>-200000</v>
      </c>
      <c r="BX99">
        <v>-600000</v>
      </c>
      <c r="BY99">
        <v>-1200000</v>
      </c>
      <c r="BZ99">
        <v>-2400000</v>
      </c>
    </row>
    <row r="100" spans="1:78" x14ac:dyDescent="0.45">
      <c r="A100" t="s">
        <v>258</v>
      </c>
      <c r="B100">
        <v>3528000</v>
      </c>
      <c r="C100" s="13">
        <v>6.0289409948625179E-4</v>
      </c>
      <c r="D100" s="13">
        <v>6.0289409948625178E-6</v>
      </c>
      <c r="E100" s="13">
        <v>6.0289409948625179E-4</v>
      </c>
      <c r="F100" s="13">
        <v>6.0289409948625178E-6</v>
      </c>
      <c r="G100" s="13">
        <v>6.0289409948625179E-4</v>
      </c>
      <c r="H100" s="1">
        <v>99</v>
      </c>
      <c r="I100">
        <v>36000</v>
      </c>
      <c r="U100">
        <v>2048</v>
      </c>
      <c r="V100">
        <v>35280</v>
      </c>
      <c r="W100" s="13">
        <v>5.0364788225881177E-4</v>
      </c>
      <c r="X100" s="13">
        <f t="shared" si="12"/>
        <v>5.0364788225881174E-6</v>
      </c>
      <c r="Y100" s="13">
        <f t="shared" si="13"/>
        <v>5.0364788225881177E-4</v>
      </c>
      <c r="Z100" s="13">
        <f t="shared" si="14"/>
        <v>5.0364788225881174E-6</v>
      </c>
      <c r="AA100" s="13">
        <f t="shared" si="15"/>
        <v>5.0364788225881177E-4</v>
      </c>
      <c r="AE100" s="4" t="s">
        <v>57</v>
      </c>
      <c r="AF100" s="14">
        <v>8.6399999999999999E-5</v>
      </c>
      <c r="AG100" s="14">
        <v>8.6399999999999999E-5</v>
      </c>
      <c r="AH100" s="14">
        <v>8.6399999999999999E-5</v>
      </c>
      <c r="AI100" s="14">
        <v>8.6399999999999999E-5</v>
      </c>
      <c r="AJ100" s="14">
        <v>8.6399999999999999E-5</v>
      </c>
      <c r="AK100" s="14">
        <v>8.6400000000000001E-3</v>
      </c>
      <c r="AL100" s="14">
        <v>8.6400000000000001E-3</v>
      </c>
      <c r="AM100" s="14">
        <v>8.6400000000000001E-3</v>
      </c>
      <c r="AN100" s="14">
        <v>8.6400000000000001E-3</v>
      </c>
      <c r="AO100" s="14">
        <v>8.6400000000000001E-3</v>
      </c>
      <c r="BN100" t="s">
        <v>94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</row>
    <row r="101" spans="1:78" x14ac:dyDescent="0.45">
      <c r="A101" t="s">
        <v>259</v>
      </c>
      <c r="B101">
        <v>3564000</v>
      </c>
      <c r="C101" s="13">
        <v>6.1941513679506779E-4</v>
      </c>
      <c r="D101" s="13">
        <v>6.1941513679506778E-6</v>
      </c>
      <c r="E101" s="13">
        <v>6.1941513679506779E-4</v>
      </c>
      <c r="F101" s="13">
        <v>6.1941513679506778E-6</v>
      </c>
      <c r="G101" s="13">
        <v>6.1941513679506779E-4</v>
      </c>
      <c r="H101" s="1">
        <v>100</v>
      </c>
      <c r="I101">
        <v>36000</v>
      </c>
      <c r="U101">
        <v>2049</v>
      </c>
      <c r="V101">
        <v>35640</v>
      </c>
      <c r="W101" s="13">
        <v>7.9643019829107138E-4</v>
      </c>
      <c r="X101" s="13">
        <f t="shared" si="12"/>
        <v>7.9643019829107136E-6</v>
      </c>
      <c r="Y101" s="13">
        <f t="shared" si="13"/>
        <v>7.9643019829107138E-4</v>
      </c>
      <c r="Z101" s="13">
        <f t="shared" si="14"/>
        <v>7.9643019829107136E-6</v>
      </c>
      <c r="AA101" s="13">
        <f t="shared" si="15"/>
        <v>7.9643019829107138E-4</v>
      </c>
      <c r="AE101" s="4" t="s">
        <v>58</v>
      </c>
      <c r="AF101" s="13">
        <v>8.6400000000000001E-3</v>
      </c>
      <c r="AG101" s="13">
        <v>8.6400000000000005E-2</v>
      </c>
      <c r="AH101" s="13">
        <v>0.86399999999999999</v>
      </c>
      <c r="AI101" s="13">
        <v>8.64</v>
      </c>
      <c r="AJ101" s="13">
        <v>86.4</v>
      </c>
      <c r="AK101" s="13">
        <v>8.6400000000000001E-3</v>
      </c>
      <c r="AL101" s="13">
        <v>8.6400000000000005E-2</v>
      </c>
      <c r="AM101" s="13">
        <v>0.86399999999999999</v>
      </c>
      <c r="AN101" s="13">
        <v>8.64</v>
      </c>
      <c r="AO101" s="13">
        <v>86.4</v>
      </c>
      <c r="BN101" t="s">
        <v>94</v>
      </c>
      <c r="BO101" s="2">
        <v>3600000</v>
      </c>
      <c r="BP101">
        <v>0</v>
      </c>
      <c r="BQ101">
        <v>-100</v>
      </c>
      <c r="BR101">
        <v>-200</v>
      </c>
      <c r="BS101">
        <v>-1000</v>
      </c>
      <c r="BT101">
        <v>-2000</v>
      </c>
      <c r="BU101">
        <v>-20000</v>
      </c>
      <c r="BV101">
        <v>-100000</v>
      </c>
      <c r="BW101">
        <v>-200000</v>
      </c>
      <c r="BX101">
        <v>-600000</v>
      </c>
      <c r="BY101">
        <v>-1200000</v>
      </c>
      <c r="BZ101">
        <v>-2400000</v>
      </c>
    </row>
    <row r="102" spans="1:78" x14ac:dyDescent="0.45">
      <c r="A102" t="s">
        <v>260</v>
      </c>
      <c r="B102">
        <v>3600000</v>
      </c>
      <c r="C102" s="13">
        <v>5.3670187167978532E-4</v>
      </c>
      <c r="D102" s="13">
        <v>5.3670187167978527E-6</v>
      </c>
      <c r="E102" s="13">
        <v>5.3670187167978532E-4</v>
      </c>
      <c r="F102" s="13">
        <v>5.3670187167978527E-6</v>
      </c>
      <c r="G102" s="13">
        <v>5.3670187167978532E-4</v>
      </c>
      <c r="H102" s="1">
        <v>101</v>
      </c>
      <c r="I102">
        <v>36000</v>
      </c>
      <c r="U102">
        <v>2050</v>
      </c>
      <c r="V102">
        <v>36000</v>
      </c>
      <c r="W102" s="13">
        <v>4.7180228576033662E-4</v>
      </c>
      <c r="X102" s="13">
        <f t="shared" si="12"/>
        <v>4.7180228576033659E-6</v>
      </c>
      <c r="Y102" s="13">
        <f t="shared" si="13"/>
        <v>4.7180228576033662E-4</v>
      </c>
      <c r="Z102" s="13">
        <f t="shared" si="14"/>
        <v>4.7180228576033659E-6</v>
      </c>
      <c r="AA102" s="13">
        <f t="shared" si="15"/>
        <v>4.7180228576033662E-4</v>
      </c>
      <c r="BN102" t="s">
        <v>94</v>
      </c>
      <c r="BO102" s="2">
        <v>800000000</v>
      </c>
      <c r="BP102">
        <v>0</v>
      </c>
      <c r="BQ102">
        <v>-100</v>
      </c>
      <c r="BR102">
        <v>-200</v>
      </c>
      <c r="BS102">
        <v>-1000</v>
      </c>
      <c r="BT102">
        <v>-2000</v>
      </c>
      <c r="BU102">
        <v>-20000</v>
      </c>
      <c r="BV102">
        <v>-100000</v>
      </c>
      <c r="BW102">
        <v>-200000</v>
      </c>
      <c r="BX102">
        <v>-600000</v>
      </c>
      <c r="BY102">
        <v>-1200000</v>
      </c>
      <c r="BZ102">
        <v>-2400000</v>
      </c>
    </row>
    <row r="103" spans="1:78" x14ac:dyDescent="0.45">
      <c r="A103" t="s">
        <v>261</v>
      </c>
      <c r="B103">
        <v>3636000</v>
      </c>
      <c r="C103" s="13">
        <v>5.883177966047432E-4</v>
      </c>
      <c r="D103" s="13">
        <v>5.8831779660474319E-6</v>
      </c>
      <c r="E103" s="13">
        <v>5.883177966047432E-4</v>
      </c>
      <c r="F103" s="13">
        <v>5.8831779660474319E-6</v>
      </c>
      <c r="G103" s="13">
        <v>5.883177966047432E-4</v>
      </c>
      <c r="H103" s="1">
        <v>102</v>
      </c>
      <c r="I103">
        <v>36000</v>
      </c>
      <c r="U103">
        <v>2051</v>
      </c>
      <c r="V103">
        <v>36360</v>
      </c>
      <c r="W103" s="13">
        <v>6.1373542849109256E-4</v>
      </c>
      <c r="X103" s="13">
        <f t="shared" si="12"/>
        <v>6.137354284910926E-6</v>
      </c>
      <c r="Y103" s="13">
        <f t="shared" si="13"/>
        <v>6.1373542849109256E-4</v>
      </c>
      <c r="Z103" s="13">
        <f t="shared" si="14"/>
        <v>6.137354284910926E-6</v>
      </c>
      <c r="AA103" s="13">
        <f t="shared" si="15"/>
        <v>6.1373542849109256E-4</v>
      </c>
      <c r="AE103" s="10" t="s">
        <v>262</v>
      </c>
      <c r="BN103" t="s">
        <v>95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</row>
    <row r="104" spans="1:78" x14ac:dyDescent="0.45">
      <c r="A104" t="s">
        <v>263</v>
      </c>
      <c r="B104">
        <v>3672000</v>
      </c>
      <c r="C104" s="13">
        <v>5.5475802515992355E-4</v>
      </c>
      <c r="D104" s="13">
        <v>5.5475802515992357E-6</v>
      </c>
      <c r="E104" s="13">
        <v>5.5475802515992355E-4</v>
      </c>
      <c r="F104" s="13">
        <v>5.5475802515992357E-6</v>
      </c>
      <c r="G104" s="13">
        <v>5.5475802515992355E-4</v>
      </c>
      <c r="H104" s="1">
        <v>103</v>
      </c>
      <c r="I104">
        <v>36000</v>
      </c>
      <c r="U104">
        <v>2052</v>
      </c>
      <c r="V104">
        <v>36720</v>
      </c>
      <c r="W104" s="13">
        <v>6.4311012308476624E-4</v>
      </c>
      <c r="X104" s="13">
        <f t="shared" si="12"/>
        <v>6.431101230847662E-6</v>
      </c>
      <c r="Y104" s="13">
        <f t="shared" si="13"/>
        <v>6.4311012308476624E-4</v>
      </c>
      <c r="Z104" s="13">
        <f t="shared" si="14"/>
        <v>6.431101230847662E-6</v>
      </c>
      <c r="AA104" s="13">
        <f t="shared" si="15"/>
        <v>6.4311012308476624E-4</v>
      </c>
      <c r="AE104" t="s">
        <v>35</v>
      </c>
      <c r="AF104" t="s">
        <v>264</v>
      </c>
      <c r="AG104" t="s">
        <v>265</v>
      </c>
      <c r="AH104" t="s">
        <v>266</v>
      </c>
      <c r="AI104" t="s">
        <v>267</v>
      </c>
      <c r="AJ104" t="s">
        <v>125</v>
      </c>
      <c r="AK104" t="s">
        <v>268</v>
      </c>
      <c r="AL104" t="s">
        <v>269</v>
      </c>
      <c r="AM104" t="s">
        <v>270</v>
      </c>
      <c r="AN104" t="s">
        <v>271</v>
      </c>
      <c r="AO104" t="s">
        <v>126</v>
      </c>
      <c r="AP104" t="s">
        <v>272</v>
      </c>
      <c r="AQ104" t="s">
        <v>273</v>
      </c>
      <c r="AR104" t="s">
        <v>274</v>
      </c>
      <c r="AS104" t="s">
        <v>275</v>
      </c>
      <c r="AT104" t="s">
        <v>276</v>
      </c>
      <c r="BN104" t="s">
        <v>95</v>
      </c>
      <c r="BO104" s="2">
        <v>3600000</v>
      </c>
      <c r="BP104">
        <v>0</v>
      </c>
      <c r="BQ104">
        <v>-100</v>
      </c>
      <c r="BR104">
        <v>-200</v>
      </c>
      <c r="BS104">
        <v>-1000</v>
      </c>
      <c r="BT104">
        <v>-2000</v>
      </c>
      <c r="BU104">
        <v>-20000</v>
      </c>
      <c r="BV104">
        <v>-100000</v>
      </c>
      <c r="BW104">
        <v>-200000</v>
      </c>
      <c r="BX104">
        <v>-600000</v>
      </c>
      <c r="BY104">
        <v>-1200000</v>
      </c>
      <c r="BZ104">
        <v>-2400000</v>
      </c>
    </row>
    <row r="105" spans="1:78" x14ac:dyDescent="0.45">
      <c r="A105" t="s">
        <v>277</v>
      </c>
      <c r="B105">
        <v>3708000</v>
      </c>
      <c r="C105" s="13">
        <v>5.7647141815808092E-4</v>
      </c>
      <c r="D105" s="13">
        <v>5.7647141815808094E-6</v>
      </c>
      <c r="E105" s="13">
        <v>5.7647141815808092E-4</v>
      </c>
      <c r="F105" s="13">
        <v>5.7647141815808094E-6</v>
      </c>
      <c r="G105" s="13">
        <v>5.7647141815808092E-4</v>
      </c>
      <c r="H105" s="1">
        <v>104</v>
      </c>
      <c r="I105">
        <v>36000</v>
      </c>
      <c r="U105">
        <v>2053</v>
      </c>
      <c r="V105">
        <v>37080</v>
      </c>
      <c r="W105" s="13">
        <v>6.2770310871303756E-4</v>
      </c>
      <c r="X105" s="13">
        <f t="shared" si="12"/>
        <v>6.2770310871303753E-6</v>
      </c>
      <c r="Y105" s="13">
        <f t="shared" si="13"/>
        <v>6.2770310871303756E-4</v>
      </c>
      <c r="Z105" s="13">
        <f t="shared" si="14"/>
        <v>6.2770310871303753E-6</v>
      </c>
      <c r="AA105" s="13">
        <f t="shared" si="15"/>
        <v>6.2770310871303756E-4</v>
      </c>
      <c r="AE105" s="4" t="s">
        <v>42</v>
      </c>
      <c r="AF105" s="13">
        <v>8.6400000000000001E-3</v>
      </c>
      <c r="AG105" s="13">
        <v>8.6400000000000005E-2</v>
      </c>
      <c r="AH105" s="13">
        <v>0.86399999999999999</v>
      </c>
      <c r="AI105" s="13">
        <v>8.64</v>
      </c>
      <c r="AJ105" s="13">
        <v>86.4</v>
      </c>
      <c r="AK105" s="13">
        <v>8.6400000000000001E-3</v>
      </c>
      <c r="AL105" s="13">
        <v>8.6400000000000005E-2</v>
      </c>
      <c r="AM105" s="13">
        <v>0.86399999999999999</v>
      </c>
      <c r="AN105" s="13">
        <v>8.64</v>
      </c>
      <c r="AO105" s="13">
        <v>86.4</v>
      </c>
      <c r="AP105" s="13">
        <v>8.6400000000000001E-3</v>
      </c>
      <c r="AQ105" s="13">
        <v>8.6400000000000005E-2</v>
      </c>
      <c r="AR105" s="13">
        <v>0.86399999999999999</v>
      </c>
      <c r="AS105" s="13">
        <v>8.64</v>
      </c>
      <c r="AT105" s="13">
        <v>86.4</v>
      </c>
      <c r="BN105" t="s">
        <v>95</v>
      </c>
      <c r="BO105" s="2">
        <v>800000000</v>
      </c>
      <c r="BP105">
        <v>0</v>
      </c>
      <c r="BQ105">
        <v>-100</v>
      </c>
      <c r="BR105">
        <v>-200</v>
      </c>
      <c r="BS105">
        <v>-1000</v>
      </c>
      <c r="BT105">
        <v>-2000</v>
      </c>
      <c r="BU105">
        <v>-20000</v>
      </c>
      <c r="BV105">
        <v>-100000</v>
      </c>
      <c r="BW105">
        <v>-200000</v>
      </c>
      <c r="BX105">
        <v>-600000</v>
      </c>
      <c r="BY105">
        <v>-1200000</v>
      </c>
      <c r="BZ105">
        <v>-2400000</v>
      </c>
    </row>
    <row r="106" spans="1:78" x14ac:dyDescent="0.45">
      <c r="A106" t="s">
        <v>278</v>
      </c>
      <c r="B106">
        <v>3744000</v>
      </c>
      <c r="C106" s="13">
        <v>5.3949443250051376E-4</v>
      </c>
      <c r="D106" s="13">
        <v>5.3949443250051376E-6</v>
      </c>
      <c r="E106" s="13">
        <v>5.3949443250051376E-4</v>
      </c>
      <c r="F106" s="13">
        <v>5.3949443250051376E-6</v>
      </c>
      <c r="G106" s="13">
        <v>5.3949443250051376E-4</v>
      </c>
      <c r="H106" s="1">
        <v>105</v>
      </c>
      <c r="I106">
        <v>36000</v>
      </c>
      <c r="U106">
        <v>2054</v>
      </c>
      <c r="V106">
        <v>37440</v>
      </c>
      <c r="W106" s="13">
        <v>5.7559569640524308E-4</v>
      </c>
      <c r="X106" s="13">
        <f t="shared" si="12"/>
        <v>5.7559569640524311E-6</v>
      </c>
      <c r="Y106" s="13">
        <f t="shared" si="13"/>
        <v>5.7559569640524308E-4</v>
      </c>
      <c r="Z106" s="13">
        <f t="shared" si="14"/>
        <v>5.7559569640524311E-6</v>
      </c>
      <c r="AA106" s="13">
        <f t="shared" si="15"/>
        <v>5.7559569640524308E-4</v>
      </c>
      <c r="AE106" s="4" t="s">
        <v>46</v>
      </c>
      <c r="AF106" s="14">
        <v>8.6399999999999999E-9</v>
      </c>
      <c r="AG106" s="14">
        <v>8.6399999999999999E-9</v>
      </c>
      <c r="AH106" s="14">
        <v>8.6399999999999999E-9</v>
      </c>
      <c r="AI106" s="14">
        <v>8.6399999999999999E-9</v>
      </c>
      <c r="AJ106" s="14">
        <v>8.6399999999999999E-9</v>
      </c>
      <c r="AK106" s="11">
        <v>8.6400000000000006E-8</v>
      </c>
      <c r="AL106" s="11">
        <v>8.6400000000000006E-8</v>
      </c>
      <c r="AM106" s="11">
        <v>8.6400000000000006E-8</v>
      </c>
      <c r="AN106" s="11">
        <v>8.6400000000000006E-8</v>
      </c>
      <c r="AO106" s="11">
        <v>8.6400000000000006E-8</v>
      </c>
      <c r="AP106" s="14">
        <v>8.6400000000000001E-7</v>
      </c>
      <c r="AQ106" s="14">
        <v>8.6400000000000001E-7</v>
      </c>
      <c r="AR106" s="14">
        <v>8.6400000000000001E-7</v>
      </c>
      <c r="AS106" s="14">
        <v>8.6400000000000001E-7</v>
      </c>
      <c r="AT106" s="14">
        <v>8.6400000000000001E-7</v>
      </c>
    </row>
    <row r="107" spans="1:78" x14ac:dyDescent="0.45">
      <c r="A107" t="s">
        <v>279</v>
      </c>
      <c r="B107">
        <v>3780000</v>
      </c>
      <c r="C107" s="13">
        <v>5.8179711680716203E-4</v>
      </c>
      <c r="D107" s="13">
        <v>5.8179711680716197E-6</v>
      </c>
      <c r="E107" s="13">
        <v>5.8179711680716203E-4</v>
      </c>
      <c r="F107" s="13">
        <v>5.8179711680716197E-6</v>
      </c>
      <c r="G107" s="13">
        <v>5.8179711680716203E-4</v>
      </c>
      <c r="H107" s="1">
        <v>106</v>
      </c>
      <c r="I107">
        <v>36000</v>
      </c>
      <c r="U107">
        <v>2055</v>
      </c>
      <c r="V107">
        <v>37800</v>
      </c>
      <c r="W107" s="13">
        <v>5.3332641124062639E-4</v>
      </c>
      <c r="X107" s="13">
        <f t="shared" si="12"/>
        <v>5.3332641124062638E-6</v>
      </c>
      <c r="Y107" s="13">
        <f t="shared" si="13"/>
        <v>5.3332641124062639E-4</v>
      </c>
      <c r="Z107" s="13">
        <f t="shared" si="14"/>
        <v>5.3332641124062638E-6</v>
      </c>
      <c r="AA107" s="13">
        <f t="shared" si="15"/>
        <v>5.3332641124062639E-4</v>
      </c>
      <c r="AE107" s="4" t="s">
        <v>48</v>
      </c>
      <c r="AF107" s="13">
        <v>8.6400000000000001E-3</v>
      </c>
      <c r="AG107" s="13">
        <v>8.6400000000000005E-2</v>
      </c>
      <c r="AH107" s="13">
        <v>0.86399999999999999</v>
      </c>
      <c r="AI107" s="13">
        <v>8.64</v>
      </c>
      <c r="AJ107" s="13">
        <v>86.4</v>
      </c>
      <c r="AK107" s="13">
        <v>8.6400000000000001E-3</v>
      </c>
      <c r="AL107" s="13">
        <v>8.6400000000000005E-2</v>
      </c>
      <c r="AM107" s="13">
        <v>0.86399999999999999</v>
      </c>
      <c r="AN107" s="13">
        <v>8.64</v>
      </c>
      <c r="AO107" s="13">
        <v>86.4</v>
      </c>
      <c r="AP107" s="13">
        <v>8.6400000000000001E-3</v>
      </c>
      <c r="AQ107" s="13">
        <v>8.6400000000000005E-2</v>
      </c>
      <c r="AR107" s="13">
        <v>0.86399999999999999</v>
      </c>
      <c r="AS107" s="13">
        <v>8.64</v>
      </c>
      <c r="AT107" s="13">
        <v>86.4</v>
      </c>
    </row>
    <row r="108" spans="1:78" x14ac:dyDescent="0.45">
      <c r="A108" t="s">
        <v>280</v>
      </c>
      <c r="B108">
        <v>3816000</v>
      </c>
      <c r="C108" s="13">
        <v>5.2782982705747085E-4</v>
      </c>
      <c r="D108" s="13">
        <v>5.2782982705747083E-6</v>
      </c>
      <c r="E108" s="13">
        <v>5.2782982705747085E-4</v>
      </c>
      <c r="F108" s="13">
        <v>5.2782982705747083E-6</v>
      </c>
      <c r="G108" s="13">
        <v>5.2782982705747085E-4</v>
      </c>
      <c r="H108" s="1">
        <v>107</v>
      </c>
      <c r="I108">
        <v>36000</v>
      </c>
      <c r="U108">
        <v>2056</v>
      </c>
      <c r="V108">
        <v>38160</v>
      </c>
      <c r="W108" s="13">
        <v>8.2728508003655082E-4</v>
      </c>
      <c r="X108" s="13">
        <f t="shared" si="12"/>
        <v>8.2728508003655077E-6</v>
      </c>
      <c r="Y108" s="13">
        <f t="shared" si="13"/>
        <v>8.2728508003655082E-4</v>
      </c>
      <c r="Z108" s="13">
        <f t="shared" si="14"/>
        <v>8.2728508003655077E-6</v>
      </c>
      <c r="AA108" s="13">
        <f t="shared" si="15"/>
        <v>8.2728508003655082E-4</v>
      </c>
      <c r="AE108" s="4" t="s">
        <v>50</v>
      </c>
      <c r="AF108" s="14">
        <v>8.6399999999999999E-9</v>
      </c>
      <c r="AG108" s="14">
        <v>8.6399999999999999E-9</v>
      </c>
      <c r="AH108" s="14">
        <v>8.6399999999999999E-9</v>
      </c>
      <c r="AI108" s="14">
        <v>8.6399999999999999E-9</v>
      </c>
      <c r="AJ108" s="14">
        <v>8.6399999999999999E-9</v>
      </c>
      <c r="AK108" s="11">
        <v>8.6400000000000006E-8</v>
      </c>
      <c r="AL108" s="11">
        <v>8.6400000000000006E-8</v>
      </c>
      <c r="AM108" s="11">
        <v>8.6400000000000006E-8</v>
      </c>
      <c r="AN108" s="11">
        <v>8.6400000000000006E-8</v>
      </c>
      <c r="AO108" s="11">
        <v>8.6400000000000006E-8</v>
      </c>
      <c r="AP108" s="14">
        <v>8.6400000000000001E-7</v>
      </c>
      <c r="AQ108" s="14">
        <v>8.6400000000000001E-7</v>
      </c>
      <c r="AR108" s="14">
        <v>8.6400000000000001E-7</v>
      </c>
      <c r="AS108" s="14">
        <v>8.6400000000000001E-7</v>
      </c>
      <c r="AT108" s="14">
        <v>8.6400000000000001E-7</v>
      </c>
      <c r="BN108" t="s">
        <v>262</v>
      </c>
    </row>
    <row r="109" spans="1:78" x14ac:dyDescent="0.45">
      <c r="A109" t="s">
        <v>281</v>
      </c>
      <c r="B109">
        <v>3852000</v>
      </c>
      <c r="C109" s="13">
        <v>5.8810752127706593E-4</v>
      </c>
      <c r="D109" s="13">
        <v>5.8810752127706591E-6</v>
      </c>
      <c r="E109" s="13">
        <v>5.8810752127706593E-4</v>
      </c>
      <c r="F109" s="13">
        <v>5.8810752127706591E-6</v>
      </c>
      <c r="G109" s="13">
        <v>5.8810752127706593E-4</v>
      </c>
      <c r="H109" s="1">
        <v>108</v>
      </c>
      <c r="I109">
        <v>36000</v>
      </c>
      <c r="U109">
        <v>2057</v>
      </c>
      <c r="V109">
        <v>38520</v>
      </c>
      <c r="W109" s="13">
        <v>9.7268368705790624E-4</v>
      </c>
      <c r="X109" s="13">
        <f t="shared" si="12"/>
        <v>9.7268368705790621E-6</v>
      </c>
      <c r="Y109" s="13">
        <f t="shared" si="13"/>
        <v>9.7268368705790624E-4</v>
      </c>
      <c r="Z109" s="13">
        <f t="shared" si="14"/>
        <v>9.7268368705790621E-6</v>
      </c>
      <c r="AA109" s="13">
        <f t="shared" si="15"/>
        <v>9.7268368705790624E-4</v>
      </c>
      <c r="AE109" s="4" t="s">
        <v>52</v>
      </c>
      <c r="AF109" s="13">
        <v>8.6400000000000001E-3</v>
      </c>
      <c r="AG109" s="13">
        <v>8.6400000000000005E-2</v>
      </c>
      <c r="AH109" s="13">
        <v>0.86399999999999999</v>
      </c>
      <c r="AI109" s="13">
        <v>8.64</v>
      </c>
      <c r="AJ109" s="13">
        <v>86.4</v>
      </c>
      <c r="AK109" s="13">
        <v>8.6400000000000001E-3</v>
      </c>
      <c r="AL109" s="13">
        <v>8.6400000000000005E-2</v>
      </c>
      <c r="AM109" s="13">
        <v>0.86399999999999999</v>
      </c>
      <c r="AN109" s="13">
        <v>8.64</v>
      </c>
      <c r="AO109" s="13">
        <v>86.4</v>
      </c>
      <c r="AP109" s="13">
        <v>8.6400000000000001E-3</v>
      </c>
      <c r="AQ109" s="13">
        <v>8.6400000000000005E-2</v>
      </c>
      <c r="AR109" s="13">
        <v>0.86399999999999999</v>
      </c>
      <c r="AS109" s="13">
        <v>8.64</v>
      </c>
      <c r="AT109" s="13">
        <v>86.4</v>
      </c>
      <c r="BN109" t="s">
        <v>89</v>
      </c>
      <c r="BO109" t="s">
        <v>82</v>
      </c>
      <c r="BP109" t="s">
        <v>124</v>
      </c>
      <c r="BQ109" t="s">
        <v>114</v>
      </c>
      <c r="BR109" t="s">
        <v>115</v>
      </c>
      <c r="BS109" t="s">
        <v>116</v>
      </c>
      <c r="BT109" t="s">
        <v>117</v>
      </c>
      <c r="BU109" t="s">
        <v>118</v>
      </c>
      <c r="BV109" t="s">
        <v>119</v>
      </c>
      <c r="BW109" t="s">
        <v>120</v>
      </c>
      <c r="BX109" t="s">
        <v>121</v>
      </c>
      <c r="BY109" t="s">
        <v>122</v>
      </c>
      <c r="BZ109" t="s">
        <v>123</v>
      </c>
    </row>
    <row r="110" spans="1:78" x14ac:dyDescent="0.45">
      <c r="A110" t="s">
        <v>282</v>
      </c>
      <c r="B110">
        <v>3888000</v>
      </c>
      <c r="C110" s="13">
        <v>5.7619456389827349E-4</v>
      </c>
      <c r="D110" s="13">
        <v>5.7619456389827348E-6</v>
      </c>
      <c r="E110" s="13">
        <v>5.7619456389827349E-4</v>
      </c>
      <c r="F110" s="13">
        <v>5.7619456389827348E-6</v>
      </c>
      <c r="G110" s="13">
        <v>5.7619456389827349E-4</v>
      </c>
      <c r="H110" s="1">
        <v>109</v>
      </c>
      <c r="I110">
        <v>36000</v>
      </c>
      <c r="U110">
        <v>2058</v>
      </c>
      <c r="V110">
        <v>38880</v>
      </c>
      <c r="W110" s="13">
        <v>4.8961483057842047E-4</v>
      </c>
      <c r="X110" s="13">
        <f t="shared" si="12"/>
        <v>4.8961483057842049E-6</v>
      </c>
      <c r="Y110" s="13">
        <f t="shared" si="13"/>
        <v>4.8961483057842047E-4</v>
      </c>
      <c r="Z110" s="13">
        <f t="shared" si="14"/>
        <v>4.8961483057842049E-6</v>
      </c>
      <c r="AA110" s="13">
        <f t="shared" si="15"/>
        <v>4.8961483057842047E-4</v>
      </c>
      <c r="AE110" s="4" t="s">
        <v>54</v>
      </c>
      <c r="AF110" s="13">
        <v>8.6400000000000001E-3</v>
      </c>
      <c r="AG110" s="13">
        <v>8.6400000000000005E-2</v>
      </c>
      <c r="AH110" s="13">
        <v>0.86399999999999999</v>
      </c>
      <c r="AI110" s="13">
        <v>8.64</v>
      </c>
      <c r="AJ110" s="13">
        <v>86.4</v>
      </c>
      <c r="AK110" s="13">
        <v>8.6400000000000001E-3</v>
      </c>
      <c r="AL110" s="13">
        <v>8.6400000000000005E-2</v>
      </c>
      <c r="AM110" s="13">
        <v>0.86399999999999999</v>
      </c>
      <c r="AN110" s="13">
        <v>8.64</v>
      </c>
      <c r="AO110" s="13">
        <v>86.4</v>
      </c>
      <c r="AP110" s="13">
        <v>8.6400000000000001E-3</v>
      </c>
      <c r="AQ110" s="13">
        <v>8.6400000000000005E-2</v>
      </c>
      <c r="AR110" s="13">
        <v>0.86399999999999999</v>
      </c>
      <c r="AS110" s="13">
        <v>8.64</v>
      </c>
      <c r="AT110" s="13">
        <v>86.4</v>
      </c>
      <c r="BN110" t="s">
        <v>91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</row>
    <row r="111" spans="1:78" x14ac:dyDescent="0.45">
      <c r="A111" t="s">
        <v>283</v>
      </c>
      <c r="B111">
        <v>3924000</v>
      </c>
      <c r="C111" s="13">
        <v>5.7766213460612177E-4</v>
      </c>
      <c r="D111" s="13">
        <v>5.7766213460612176E-6</v>
      </c>
      <c r="E111" s="13">
        <v>5.7766213460612177E-4</v>
      </c>
      <c r="F111" s="13">
        <v>5.7766213460612176E-6</v>
      </c>
      <c r="G111" s="13">
        <v>5.7766213460612177E-4</v>
      </c>
      <c r="H111" s="1">
        <v>110</v>
      </c>
      <c r="I111">
        <v>36000</v>
      </c>
      <c r="U111">
        <v>2059</v>
      </c>
      <c r="V111">
        <v>39240</v>
      </c>
      <c r="W111" s="13">
        <v>5.6725746685323385E-4</v>
      </c>
      <c r="X111" s="13">
        <f t="shared" si="12"/>
        <v>5.6725746685323387E-6</v>
      </c>
      <c r="Y111" s="13">
        <f t="shared" si="13"/>
        <v>5.6725746685323385E-4</v>
      </c>
      <c r="Z111" s="13">
        <f t="shared" si="14"/>
        <v>5.6725746685323387E-6</v>
      </c>
      <c r="AA111" s="13">
        <f t="shared" si="15"/>
        <v>5.6725746685323385E-4</v>
      </c>
      <c r="AE111" s="4" t="s">
        <v>55</v>
      </c>
      <c r="AF111" s="14">
        <v>8.6399999999999999E-9</v>
      </c>
      <c r="AG111" s="14">
        <v>8.6399999999999999E-9</v>
      </c>
      <c r="AH111" s="14">
        <v>8.6399999999999999E-9</v>
      </c>
      <c r="AI111" s="14">
        <v>8.6399999999999999E-9</v>
      </c>
      <c r="AJ111" s="14">
        <v>8.6399999999999999E-9</v>
      </c>
      <c r="AK111" s="11">
        <v>8.6400000000000006E-8</v>
      </c>
      <c r="AL111" s="11">
        <v>8.6400000000000006E-8</v>
      </c>
      <c r="AM111" s="11">
        <v>8.6400000000000006E-8</v>
      </c>
      <c r="AN111" s="11">
        <v>8.6400000000000006E-8</v>
      </c>
      <c r="AO111" s="11">
        <v>8.6400000000000006E-8</v>
      </c>
      <c r="AP111" s="14">
        <v>8.6400000000000001E-7</v>
      </c>
      <c r="AQ111" s="14">
        <v>8.6400000000000001E-7</v>
      </c>
      <c r="AR111" s="14">
        <v>8.6400000000000001E-7</v>
      </c>
      <c r="AS111" s="14">
        <v>8.6400000000000001E-7</v>
      </c>
      <c r="AT111" s="14">
        <v>8.6400000000000001E-7</v>
      </c>
      <c r="BN111" t="s">
        <v>91</v>
      </c>
      <c r="BO111" s="2">
        <v>3600000</v>
      </c>
      <c r="BP111">
        <v>0</v>
      </c>
      <c r="BQ111">
        <v>-10</v>
      </c>
      <c r="BR111">
        <v>-50</v>
      </c>
      <c r="BS111">
        <v>-100</v>
      </c>
      <c r="BT111">
        <v>-200</v>
      </c>
      <c r="BU111">
        <v>-1000</v>
      </c>
      <c r="BV111">
        <v>-2000</v>
      </c>
      <c r="BW111">
        <v>-20000</v>
      </c>
      <c r="BX111">
        <v>-100000</v>
      </c>
      <c r="BY111">
        <v>-200000</v>
      </c>
      <c r="BZ111">
        <v>-600000</v>
      </c>
    </row>
    <row r="112" spans="1:78" x14ac:dyDescent="0.45">
      <c r="A112" t="s">
        <v>284</v>
      </c>
      <c r="B112">
        <v>3960000</v>
      </c>
      <c r="C112" s="13">
        <v>5.1832781184576104E-4</v>
      </c>
      <c r="D112" s="13">
        <v>5.1832781184576108E-6</v>
      </c>
      <c r="E112" s="13">
        <v>5.1832781184576104E-4</v>
      </c>
      <c r="F112" s="13">
        <v>5.1832781184576108E-6</v>
      </c>
      <c r="G112" s="13">
        <v>5.1832781184576104E-4</v>
      </c>
      <c r="H112" s="1">
        <v>111</v>
      </c>
      <c r="I112">
        <v>36000</v>
      </c>
      <c r="U112">
        <v>2060</v>
      </c>
      <c r="V112">
        <v>39600</v>
      </c>
      <c r="W112" s="13">
        <v>5.7586134556664864E-4</v>
      </c>
      <c r="X112" s="13">
        <f t="shared" si="12"/>
        <v>5.7586134556664866E-6</v>
      </c>
      <c r="Y112" s="13">
        <f t="shared" si="13"/>
        <v>5.7586134556664864E-4</v>
      </c>
      <c r="Z112" s="13">
        <f t="shared" si="14"/>
        <v>5.7586134556664866E-6</v>
      </c>
      <c r="AA112" s="13">
        <f t="shared" si="15"/>
        <v>5.7586134556664864E-4</v>
      </c>
      <c r="AE112" s="4" t="s">
        <v>56</v>
      </c>
      <c r="AF112" s="13">
        <v>8.6400000000000001E-3</v>
      </c>
      <c r="AG112" s="13">
        <v>8.6400000000000005E-2</v>
      </c>
      <c r="AH112" s="13">
        <v>0.86399999999999999</v>
      </c>
      <c r="AI112" s="13">
        <v>8.64</v>
      </c>
      <c r="AJ112" s="13">
        <v>86.4</v>
      </c>
      <c r="AK112" s="13">
        <v>8.6400000000000001E-3</v>
      </c>
      <c r="AL112" s="13">
        <v>8.6400000000000005E-2</v>
      </c>
      <c r="AM112" s="13">
        <v>0.86399999999999999</v>
      </c>
      <c r="AN112" s="13">
        <v>8.64</v>
      </c>
      <c r="AO112" s="13">
        <v>86.4</v>
      </c>
      <c r="AP112" s="13">
        <v>8.6400000000000001E-3</v>
      </c>
      <c r="AQ112" s="13">
        <v>8.6400000000000005E-2</v>
      </c>
      <c r="AR112" s="13">
        <v>0.86399999999999999</v>
      </c>
      <c r="AS112" s="13">
        <v>8.64</v>
      </c>
      <c r="AT112" s="13">
        <v>86.4</v>
      </c>
      <c r="BN112" t="s">
        <v>91</v>
      </c>
      <c r="BO112" s="2">
        <v>800000000</v>
      </c>
      <c r="BP112">
        <v>0</v>
      </c>
      <c r="BQ112">
        <v>-10</v>
      </c>
      <c r="BR112">
        <v>-50</v>
      </c>
      <c r="BS112">
        <v>-100</v>
      </c>
      <c r="BT112">
        <v>-200</v>
      </c>
      <c r="BU112">
        <v>-1000</v>
      </c>
      <c r="BV112">
        <v>-2000</v>
      </c>
      <c r="BW112">
        <v>-20000</v>
      </c>
      <c r="BX112">
        <v>-100000</v>
      </c>
      <c r="BY112">
        <v>-200000</v>
      </c>
      <c r="BZ112">
        <v>-600000</v>
      </c>
    </row>
    <row r="113" spans="1:78" x14ac:dyDescent="0.45">
      <c r="A113" t="s">
        <v>285</v>
      </c>
      <c r="B113">
        <v>3996000</v>
      </c>
      <c r="C113" s="13">
        <v>5.185090275899504E-4</v>
      </c>
      <c r="D113" s="13">
        <v>5.1850902758995042E-6</v>
      </c>
      <c r="E113" s="13">
        <v>5.185090275899504E-4</v>
      </c>
      <c r="F113" s="13">
        <v>5.1850902758995042E-6</v>
      </c>
      <c r="G113" s="13">
        <v>5.185090275899504E-4</v>
      </c>
      <c r="H113" s="1">
        <v>112</v>
      </c>
      <c r="I113">
        <v>36000</v>
      </c>
      <c r="U113">
        <v>2061</v>
      </c>
      <c r="V113">
        <v>39960</v>
      </c>
      <c r="W113" s="13">
        <v>6.64750588599489E-4</v>
      </c>
      <c r="X113" s="13">
        <f t="shared" si="12"/>
        <v>6.6475058859948897E-6</v>
      </c>
      <c r="Y113" s="13">
        <f t="shared" si="13"/>
        <v>6.64750588599489E-4</v>
      </c>
      <c r="Z113" s="13">
        <f t="shared" si="14"/>
        <v>6.6475058859948897E-6</v>
      </c>
      <c r="AA113" s="13">
        <f t="shared" si="15"/>
        <v>6.64750588599489E-4</v>
      </c>
      <c r="AE113" s="4" t="s">
        <v>57</v>
      </c>
      <c r="AF113" s="14">
        <v>8.6399999999999999E-9</v>
      </c>
      <c r="AG113" s="14">
        <v>8.6399999999999999E-9</v>
      </c>
      <c r="AH113" s="14">
        <v>8.6399999999999999E-9</v>
      </c>
      <c r="AI113" s="14">
        <v>8.6399999999999999E-9</v>
      </c>
      <c r="AJ113" s="14">
        <v>8.6399999999999999E-9</v>
      </c>
      <c r="AK113" s="11">
        <v>8.6400000000000006E-8</v>
      </c>
      <c r="AL113" s="11">
        <v>8.6400000000000006E-8</v>
      </c>
      <c r="AM113" s="11">
        <v>8.6400000000000006E-8</v>
      </c>
      <c r="AN113" s="11">
        <v>8.6400000000000006E-8</v>
      </c>
      <c r="AO113" s="11">
        <v>8.6400000000000006E-8</v>
      </c>
      <c r="AP113" s="14">
        <v>8.6400000000000001E-7</v>
      </c>
      <c r="AQ113" s="14">
        <v>8.6400000000000001E-7</v>
      </c>
      <c r="AR113" s="14">
        <v>8.6400000000000001E-7</v>
      </c>
      <c r="AS113" s="14">
        <v>8.6400000000000001E-7</v>
      </c>
      <c r="AT113" s="14">
        <v>8.6400000000000001E-7</v>
      </c>
      <c r="BN113" t="s">
        <v>92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</row>
    <row r="114" spans="1:78" x14ac:dyDescent="0.45">
      <c r="A114" t="s">
        <v>286</v>
      </c>
      <c r="B114">
        <v>4032000</v>
      </c>
      <c r="C114" s="13">
        <v>5.1162191445292557E-4</v>
      </c>
      <c r="D114" s="13">
        <v>5.1162191445292561E-6</v>
      </c>
      <c r="E114" s="13">
        <v>5.1162191445292557E-4</v>
      </c>
      <c r="F114" s="13">
        <v>5.1162191445292561E-6</v>
      </c>
      <c r="G114" s="13">
        <v>5.1162191445292557E-4</v>
      </c>
      <c r="H114" s="1">
        <v>113</v>
      </c>
      <c r="I114">
        <v>36000</v>
      </c>
      <c r="U114">
        <v>2062</v>
      </c>
      <c r="V114">
        <v>40320</v>
      </c>
      <c r="W114" s="13">
        <v>9.4712108096549959E-4</v>
      </c>
      <c r="X114" s="13">
        <f t="shared" si="12"/>
        <v>9.4712108096549951E-6</v>
      </c>
      <c r="Y114" s="13">
        <f t="shared" si="13"/>
        <v>9.4712108096549959E-4</v>
      </c>
      <c r="Z114" s="13">
        <f t="shared" si="14"/>
        <v>9.4712108096549951E-6</v>
      </c>
      <c r="AA114" s="13">
        <f t="shared" si="15"/>
        <v>9.4712108096549959E-4</v>
      </c>
      <c r="AE114" s="4" t="s">
        <v>58</v>
      </c>
      <c r="AF114" s="13">
        <v>8.6400000000000001E-3</v>
      </c>
      <c r="AG114" s="13">
        <v>8.6400000000000005E-2</v>
      </c>
      <c r="AH114" s="13">
        <v>0.86399999999999999</v>
      </c>
      <c r="AI114" s="13">
        <v>8.64</v>
      </c>
      <c r="AJ114" s="13">
        <v>86.4</v>
      </c>
      <c r="AK114" s="13">
        <v>8.6400000000000001E-3</v>
      </c>
      <c r="AL114" s="13">
        <v>8.6400000000000005E-2</v>
      </c>
      <c r="AM114" s="13">
        <v>0.86399999999999999</v>
      </c>
      <c r="AN114" s="13">
        <v>8.64</v>
      </c>
      <c r="AO114" s="13">
        <v>86.4</v>
      </c>
      <c r="AP114" s="13">
        <v>8.6400000000000001E-3</v>
      </c>
      <c r="AQ114" s="13">
        <v>8.6400000000000005E-2</v>
      </c>
      <c r="AR114" s="13">
        <v>0.86399999999999999</v>
      </c>
      <c r="AS114" s="13">
        <v>8.64</v>
      </c>
      <c r="AT114" s="13">
        <v>86.4</v>
      </c>
      <c r="BN114" t="s">
        <v>92</v>
      </c>
      <c r="BO114" s="2">
        <v>3600000</v>
      </c>
      <c r="BP114">
        <v>0</v>
      </c>
      <c r="BQ114">
        <v>-10</v>
      </c>
      <c r="BR114">
        <v>-50</v>
      </c>
      <c r="BS114">
        <v>-100</v>
      </c>
      <c r="BT114">
        <v>-200</v>
      </c>
      <c r="BU114">
        <v>-1000</v>
      </c>
      <c r="BV114">
        <v>-2000</v>
      </c>
      <c r="BW114">
        <v>-20000</v>
      </c>
      <c r="BX114">
        <v>-100000</v>
      </c>
      <c r="BY114">
        <v>-200000</v>
      </c>
      <c r="BZ114">
        <v>-600000</v>
      </c>
    </row>
    <row r="115" spans="1:78" x14ac:dyDescent="0.45">
      <c r="A115" t="s">
        <v>287</v>
      </c>
      <c r="B115">
        <v>4068000</v>
      </c>
      <c r="C115" s="13">
        <v>5.1229716135493884E-4</v>
      </c>
      <c r="D115" s="13">
        <v>5.1229716135493883E-6</v>
      </c>
      <c r="E115" s="13">
        <v>5.1229716135493884E-4</v>
      </c>
      <c r="F115" s="13">
        <v>5.1229716135493883E-6</v>
      </c>
      <c r="G115" s="13">
        <v>5.1229716135493884E-4</v>
      </c>
      <c r="H115" s="1">
        <v>114</v>
      </c>
      <c r="I115">
        <v>36000</v>
      </c>
      <c r="U115">
        <v>2063</v>
      </c>
      <c r="V115">
        <v>40680</v>
      </c>
      <c r="W115" s="13">
        <v>5.5438130895789643E-4</v>
      </c>
      <c r="X115" s="13">
        <f t="shared" si="12"/>
        <v>5.5438130895789645E-6</v>
      </c>
      <c r="Y115" s="13">
        <f t="shared" si="13"/>
        <v>5.5438130895789643E-4</v>
      </c>
      <c r="Z115" s="13">
        <f t="shared" si="14"/>
        <v>5.5438130895789645E-6</v>
      </c>
      <c r="AA115" s="13">
        <f t="shared" si="15"/>
        <v>5.5438130895789643E-4</v>
      </c>
      <c r="BN115" t="s">
        <v>92</v>
      </c>
      <c r="BO115" s="2">
        <v>800000000</v>
      </c>
      <c r="BP115">
        <v>0</v>
      </c>
      <c r="BQ115">
        <v>-10</v>
      </c>
      <c r="BR115">
        <v>-50</v>
      </c>
      <c r="BS115">
        <v>-100</v>
      </c>
      <c r="BT115">
        <v>-200</v>
      </c>
      <c r="BU115">
        <v>-1000</v>
      </c>
      <c r="BV115">
        <v>-2000</v>
      </c>
      <c r="BW115">
        <v>-20000</v>
      </c>
      <c r="BX115">
        <v>-100000</v>
      </c>
      <c r="BY115">
        <v>-200000</v>
      </c>
      <c r="BZ115">
        <v>-600000</v>
      </c>
    </row>
    <row r="116" spans="1:78" x14ac:dyDescent="0.45">
      <c r="A116" t="s">
        <v>288</v>
      </c>
      <c r="B116">
        <v>4104000</v>
      </c>
      <c r="C116" s="13">
        <v>5.1331647824950336E-4</v>
      </c>
      <c r="D116" s="13">
        <v>5.1331647824950329E-6</v>
      </c>
      <c r="E116" s="13">
        <v>5.1331647824950336E-4</v>
      </c>
      <c r="F116" s="13">
        <v>5.1331647824950329E-6</v>
      </c>
      <c r="G116" s="13">
        <v>5.1331647824950336E-4</v>
      </c>
      <c r="H116" s="1">
        <v>115</v>
      </c>
      <c r="I116">
        <v>36000</v>
      </c>
      <c r="U116">
        <v>2064</v>
      </c>
      <c r="V116">
        <v>41040</v>
      </c>
      <c r="W116" s="13">
        <v>9.0184342071178349E-4</v>
      </c>
      <c r="X116" s="13">
        <f t="shared" si="12"/>
        <v>9.0184342071178342E-6</v>
      </c>
      <c r="Y116" s="13">
        <f t="shared" si="13"/>
        <v>9.0184342071178349E-4</v>
      </c>
      <c r="Z116" s="13">
        <f t="shared" si="14"/>
        <v>9.0184342071178342E-6</v>
      </c>
      <c r="AA116" s="13">
        <f t="shared" si="15"/>
        <v>9.0184342071178349E-4</v>
      </c>
      <c r="AE116" s="10" t="s">
        <v>289</v>
      </c>
      <c r="BN116" t="s">
        <v>93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</row>
    <row r="117" spans="1:78" x14ac:dyDescent="0.45">
      <c r="A117" t="s">
        <v>290</v>
      </c>
      <c r="B117">
        <v>4140000</v>
      </c>
      <c r="C117" s="13">
        <v>5.4647138967454283E-4</v>
      </c>
      <c r="D117" s="13">
        <v>5.4647138967454279E-6</v>
      </c>
      <c r="E117" s="13">
        <v>5.4647138967454283E-4</v>
      </c>
      <c r="F117" s="13">
        <v>5.4647138967454279E-6</v>
      </c>
      <c r="G117" s="13">
        <v>5.4647138967454283E-4</v>
      </c>
      <c r="H117" s="1">
        <v>116</v>
      </c>
      <c r="I117">
        <v>36000</v>
      </c>
      <c r="U117">
        <v>2065</v>
      </c>
      <c r="V117">
        <v>41400</v>
      </c>
      <c r="W117" s="13">
        <v>6.2612911789142764E-4</v>
      </c>
      <c r="X117" s="13">
        <f t="shared" si="12"/>
        <v>6.261291178914276E-6</v>
      </c>
      <c r="Y117" s="13">
        <f t="shared" si="13"/>
        <v>6.2612911789142764E-4</v>
      </c>
      <c r="Z117" s="13">
        <f t="shared" si="14"/>
        <v>6.261291178914276E-6</v>
      </c>
      <c r="AA117" s="13">
        <f t="shared" si="15"/>
        <v>6.2612911789142764E-4</v>
      </c>
      <c r="AE117" t="s">
        <v>35</v>
      </c>
      <c r="AF117" t="s">
        <v>291</v>
      </c>
      <c r="AG117" t="s">
        <v>292</v>
      </c>
      <c r="AH117" t="s">
        <v>293</v>
      </c>
      <c r="AI117" t="s">
        <v>294</v>
      </c>
      <c r="AJ117" t="s">
        <v>295</v>
      </c>
      <c r="AK117" t="s">
        <v>240</v>
      </c>
      <c r="AL117" t="s">
        <v>241</v>
      </c>
      <c r="AM117" t="s">
        <v>242</v>
      </c>
      <c r="AN117" t="s">
        <v>243</v>
      </c>
      <c r="AO117" t="s">
        <v>244</v>
      </c>
      <c r="AP117" t="s">
        <v>296</v>
      </c>
      <c r="AQ117" t="s">
        <v>297</v>
      </c>
      <c r="AR117" t="s">
        <v>298</v>
      </c>
      <c r="AS117" t="s">
        <v>299</v>
      </c>
      <c r="AT117" t="s">
        <v>300</v>
      </c>
      <c r="AU117" t="s">
        <v>245</v>
      </c>
      <c r="AV117" t="s">
        <v>246</v>
      </c>
      <c r="AW117" t="s">
        <v>247</v>
      </c>
      <c r="AX117" t="s">
        <v>248</v>
      </c>
      <c r="AY117" t="s">
        <v>249</v>
      </c>
      <c r="BN117" t="s">
        <v>93</v>
      </c>
      <c r="BO117" s="2">
        <v>3600000</v>
      </c>
      <c r="BP117">
        <v>0</v>
      </c>
      <c r="BQ117">
        <v>-10</v>
      </c>
      <c r="BR117">
        <v>-50</v>
      </c>
      <c r="BS117">
        <v>-100</v>
      </c>
      <c r="BT117">
        <v>-200</v>
      </c>
      <c r="BU117">
        <v>-1000</v>
      </c>
      <c r="BV117">
        <v>-2000</v>
      </c>
      <c r="BW117">
        <v>-20000</v>
      </c>
      <c r="BX117">
        <v>-100000</v>
      </c>
      <c r="BY117">
        <v>-200000</v>
      </c>
      <c r="BZ117">
        <v>-600000</v>
      </c>
    </row>
    <row r="118" spans="1:78" x14ac:dyDescent="0.45">
      <c r="A118" t="s">
        <v>301</v>
      </c>
      <c r="B118">
        <v>4176000</v>
      </c>
      <c r="C118" s="13">
        <v>5.1427431743507465E-4</v>
      </c>
      <c r="D118" s="13">
        <v>5.1427431743507462E-6</v>
      </c>
      <c r="E118" s="13">
        <v>5.1427431743507465E-4</v>
      </c>
      <c r="F118" s="13">
        <v>5.1427431743507462E-6</v>
      </c>
      <c r="G118" s="13">
        <v>5.1427431743507465E-4</v>
      </c>
      <c r="H118" s="1">
        <v>117</v>
      </c>
      <c r="I118">
        <v>36000</v>
      </c>
      <c r="U118">
        <v>2066</v>
      </c>
      <c r="V118">
        <v>41760</v>
      </c>
      <c r="W118" s="13">
        <v>7.5873173424928584E-4</v>
      </c>
      <c r="X118" s="13">
        <f t="shared" si="12"/>
        <v>7.5873173424928586E-6</v>
      </c>
      <c r="Y118" s="13">
        <f t="shared" si="13"/>
        <v>7.5873173424928584E-4</v>
      </c>
      <c r="Z118" s="13">
        <f t="shared" si="14"/>
        <v>7.5873173424928586E-6</v>
      </c>
      <c r="AA118" s="13">
        <f t="shared" si="15"/>
        <v>7.5873173424928584E-4</v>
      </c>
      <c r="AE118" s="4" t="s">
        <v>42</v>
      </c>
      <c r="AF118" s="13">
        <v>8.6400000000000001E-3</v>
      </c>
      <c r="AG118" s="13">
        <v>8.6400000000000005E-2</v>
      </c>
      <c r="AH118" s="13">
        <v>0.86399999999999999</v>
      </c>
      <c r="AI118" s="13">
        <v>8.64</v>
      </c>
      <c r="AJ118" s="13">
        <v>86.4</v>
      </c>
      <c r="AK118" s="13">
        <v>8.6400000000000001E-3</v>
      </c>
      <c r="AL118" s="13">
        <v>8.6400000000000005E-2</v>
      </c>
      <c r="AM118" s="13">
        <v>0.86399999999999999</v>
      </c>
      <c r="AN118" s="13">
        <v>8.64</v>
      </c>
      <c r="AO118" s="13">
        <v>86.4</v>
      </c>
      <c r="AP118" s="13">
        <v>8.6400000000000001E-3</v>
      </c>
      <c r="AQ118" s="13">
        <v>8.6400000000000005E-2</v>
      </c>
      <c r="AR118" s="13">
        <v>0.86399999999999999</v>
      </c>
      <c r="AS118" s="13">
        <v>8.64</v>
      </c>
      <c r="AT118" s="13">
        <v>86.4</v>
      </c>
      <c r="AU118" s="13">
        <v>8.6400000000000001E-3</v>
      </c>
      <c r="AV118" s="13">
        <v>8.6400000000000005E-2</v>
      </c>
      <c r="AW118" s="13">
        <v>0.86399999999999999</v>
      </c>
      <c r="AX118" s="13">
        <v>8.64</v>
      </c>
      <c r="AY118" s="13">
        <v>86.4</v>
      </c>
      <c r="AZ118" s="13"/>
      <c r="BA118" s="13"/>
      <c r="BB118" s="13"/>
      <c r="BC118" s="13"/>
      <c r="BD118" s="13"/>
      <c r="BN118" t="s">
        <v>93</v>
      </c>
      <c r="BO118" s="2">
        <v>800000000</v>
      </c>
      <c r="BP118">
        <v>0</v>
      </c>
      <c r="BQ118">
        <v>-10</v>
      </c>
      <c r="BR118">
        <v>-50</v>
      </c>
      <c r="BS118">
        <v>-100</v>
      </c>
      <c r="BT118">
        <v>-200</v>
      </c>
      <c r="BU118">
        <v>-1000</v>
      </c>
      <c r="BV118">
        <v>-2000</v>
      </c>
      <c r="BW118">
        <v>-20000</v>
      </c>
      <c r="BX118">
        <v>-100000</v>
      </c>
      <c r="BY118">
        <v>-200000</v>
      </c>
      <c r="BZ118">
        <v>-600000</v>
      </c>
    </row>
    <row r="119" spans="1:78" x14ac:dyDescent="0.45">
      <c r="A119" t="s">
        <v>302</v>
      </c>
      <c r="B119">
        <v>4212000</v>
      </c>
      <c r="C119" s="13">
        <v>5.2626642278988845E-4</v>
      </c>
      <c r="D119" s="13">
        <v>5.2626642278988836E-6</v>
      </c>
      <c r="E119" s="13">
        <v>5.2626642278988845E-4</v>
      </c>
      <c r="F119" s="13">
        <v>5.2626642278988836E-6</v>
      </c>
      <c r="G119" s="13">
        <v>5.2626642278988845E-4</v>
      </c>
      <c r="H119" s="1">
        <v>118</v>
      </c>
      <c r="I119">
        <v>36000</v>
      </c>
      <c r="U119">
        <v>2067</v>
      </c>
      <c r="V119">
        <v>42120</v>
      </c>
      <c r="W119" s="13">
        <v>6.1259290710490542E-4</v>
      </c>
      <c r="X119" s="13">
        <f t="shared" si="12"/>
        <v>6.1259290710490544E-6</v>
      </c>
      <c r="Y119" s="13">
        <f t="shared" si="13"/>
        <v>6.1259290710490542E-4</v>
      </c>
      <c r="Z119" s="13">
        <f t="shared" si="14"/>
        <v>6.1259290710490544E-6</v>
      </c>
      <c r="AA119" s="13">
        <f t="shared" si="15"/>
        <v>6.1259290710490542E-4</v>
      </c>
      <c r="AE119" s="4" t="s">
        <v>46</v>
      </c>
      <c r="AF119" s="14">
        <v>8.6400000000000003E-6</v>
      </c>
      <c r="AG119" s="14">
        <v>8.6400000000000003E-6</v>
      </c>
      <c r="AH119" s="14">
        <v>8.6400000000000003E-6</v>
      </c>
      <c r="AI119" s="14">
        <v>8.6400000000000003E-6</v>
      </c>
      <c r="AJ119" s="14">
        <v>8.6400000000000003E-6</v>
      </c>
      <c r="AK119" s="14">
        <v>8.6399999999999999E-5</v>
      </c>
      <c r="AL119" s="14">
        <v>8.6399999999999999E-5</v>
      </c>
      <c r="AM119" s="14">
        <v>8.6399999999999999E-5</v>
      </c>
      <c r="AN119" s="14">
        <v>8.6399999999999999E-5</v>
      </c>
      <c r="AO119" s="14">
        <v>8.6399999999999999E-5</v>
      </c>
      <c r="AP119" s="14">
        <v>8.6399999999999997E-4</v>
      </c>
      <c r="AQ119" s="14">
        <v>8.6399999999999997E-4</v>
      </c>
      <c r="AR119" s="14">
        <v>8.6399999999999997E-4</v>
      </c>
      <c r="AS119" s="14">
        <v>8.6399999999999997E-4</v>
      </c>
      <c r="AT119" s="14">
        <v>8.6399999999999997E-4</v>
      </c>
      <c r="AU119" s="14">
        <v>8.6400000000000001E-3</v>
      </c>
      <c r="AV119" s="14">
        <v>8.6400000000000001E-3</v>
      </c>
      <c r="AW119" s="14">
        <v>8.6400000000000001E-3</v>
      </c>
      <c r="AX119" s="14">
        <v>8.6400000000000001E-3</v>
      </c>
      <c r="AY119" s="14">
        <v>8.6400000000000001E-3</v>
      </c>
      <c r="AZ119" s="14"/>
      <c r="BA119" s="14"/>
      <c r="BB119" s="14"/>
      <c r="BC119" s="14"/>
      <c r="BD119" s="14"/>
      <c r="BN119" t="s">
        <v>94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</row>
    <row r="120" spans="1:78" x14ac:dyDescent="0.45">
      <c r="A120" t="s">
        <v>303</v>
      </c>
      <c r="B120">
        <v>4248000</v>
      </c>
      <c r="C120" s="13">
        <v>4.8977719542421506E-4</v>
      </c>
      <c r="D120" s="13">
        <v>4.8977719542421494E-6</v>
      </c>
      <c r="E120" s="13">
        <v>4.8977719542421506E-4</v>
      </c>
      <c r="F120" s="13">
        <v>4.8977719542421494E-6</v>
      </c>
      <c r="G120" s="13">
        <v>4.8977719542421506E-4</v>
      </c>
      <c r="H120" s="1">
        <v>119</v>
      </c>
      <c r="I120">
        <v>36000</v>
      </c>
      <c r="U120">
        <v>2068</v>
      </c>
      <c r="V120">
        <v>42480</v>
      </c>
      <c r="W120" s="13">
        <v>6.9084118394068103E-4</v>
      </c>
      <c r="X120" s="13">
        <f t="shared" si="12"/>
        <v>6.9084118394068105E-6</v>
      </c>
      <c r="Y120" s="13">
        <f t="shared" si="13"/>
        <v>6.9084118394068103E-4</v>
      </c>
      <c r="Z120" s="13">
        <f t="shared" si="14"/>
        <v>6.9084118394068105E-6</v>
      </c>
      <c r="AA120" s="13">
        <f t="shared" si="15"/>
        <v>6.9084118394068103E-4</v>
      </c>
      <c r="AE120" s="4" t="s">
        <v>48</v>
      </c>
      <c r="AF120" s="13">
        <v>8.6400000000000001E-3</v>
      </c>
      <c r="AG120" s="13">
        <v>8.6400000000000005E-2</v>
      </c>
      <c r="AH120" s="13">
        <v>0.86399999999999999</v>
      </c>
      <c r="AI120" s="13">
        <v>8.64</v>
      </c>
      <c r="AJ120" s="13">
        <v>86.4</v>
      </c>
      <c r="AK120" s="13">
        <v>8.6400000000000001E-3</v>
      </c>
      <c r="AL120" s="13">
        <v>8.6400000000000005E-2</v>
      </c>
      <c r="AM120" s="13">
        <v>0.86399999999999999</v>
      </c>
      <c r="AN120" s="13">
        <v>8.64</v>
      </c>
      <c r="AO120" s="13">
        <v>86.4</v>
      </c>
      <c r="AP120" s="13">
        <v>8.6400000000000001E-3</v>
      </c>
      <c r="AQ120" s="13">
        <v>8.6400000000000005E-2</v>
      </c>
      <c r="AR120" s="13">
        <v>0.86399999999999999</v>
      </c>
      <c r="AS120" s="13">
        <v>8.64</v>
      </c>
      <c r="AT120" s="13">
        <v>86.4</v>
      </c>
      <c r="AU120" s="13">
        <v>8.6400000000000001E-3</v>
      </c>
      <c r="AV120" s="13">
        <v>8.6400000000000005E-2</v>
      </c>
      <c r="AW120" s="13">
        <v>0.86399999999999999</v>
      </c>
      <c r="AX120" s="13">
        <v>8.64</v>
      </c>
      <c r="AY120" s="13">
        <v>86.4</v>
      </c>
      <c r="AZ120" s="13"/>
      <c r="BA120" s="13"/>
      <c r="BB120" s="13"/>
      <c r="BC120" s="13"/>
      <c r="BD120" s="13"/>
      <c r="BN120" t="s">
        <v>94</v>
      </c>
      <c r="BO120" s="2">
        <v>3600000</v>
      </c>
      <c r="BP120">
        <v>0</v>
      </c>
      <c r="BQ120">
        <v>-10</v>
      </c>
      <c r="BR120">
        <v>-50</v>
      </c>
      <c r="BS120">
        <v>-100</v>
      </c>
      <c r="BT120">
        <v>-200</v>
      </c>
      <c r="BU120">
        <v>-1000</v>
      </c>
      <c r="BV120">
        <v>-2000</v>
      </c>
      <c r="BW120">
        <v>-20000</v>
      </c>
      <c r="BX120">
        <v>-100000</v>
      </c>
      <c r="BY120">
        <v>-200000</v>
      </c>
      <c r="BZ120">
        <v>-600000</v>
      </c>
    </row>
    <row r="121" spans="1:78" x14ac:dyDescent="0.45">
      <c r="A121" t="s">
        <v>304</v>
      </c>
      <c r="B121">
        <v>4284000</v>
      </c>
      <c r="C121" s="13">
        <v>5.2298202766352313E-4</v>
      </c>
      <c r="D121" s="13">
        <v>5.2298202766352313E-6</v>
      </c>
      <c r="E121" s="13">
        <v>5.2298202766352313E-4</v>
      </c>
      <c r="F121" s="13">
        <v>5.2298202766352313E-6</v>
      </c>
      <c r="G121" s="13">
        <v>5.2298202766352313E-4</v>
      </c>
      <c r="H121" s="1">
        <v>120</v>
      </c>
      <c r="I121">
        <v>36000</v>
      </c>
      <c r="U121">
        <v>2069</v>
      </c>
      <c r="V121">
        <v>42840</v>
      </c>
      <c r="W121" s="13">
        <v>6.6669851278469488E-4</v>
      </c>
      <c r="X121" s="13">
        <f t="shared" si="12"/>
        <v>6.6669851278469489E-6</v>
      </c>
      <c r="Y121" s="13">
        <f t="shared" si="13"/>
        <v>6.6669851278469488E-4</v>
      </c>
      <c r="Z121" s="13">
        <f t="shared" si="14"/>
        <v>6.6669851278469489E-6</v>
      </c>
      <c r="AA121" s="13">
        <f t="shared" si="15"/>
        <v>6.6669851278469488E-4</v>
      </c>
      <c r="AE121" s="4" t="s">
        <v>50</v>
      </c>
      <c r="AF121" s="14">
        <v>8.6400000000000003E-6</v>
      </c>
      <c r="AG121" s="14">
        <v>8.6400000000000003E-6</v>
      </c>
      <c r="AH121" s="14">
        <v>8.6400000000000003E-6</v>
      </c>
      <c r="AI121" s="14">
        <v>8.6400000000000003E-6</v>
      </c>
      <c r="AJ121" s="14">
        <v>8.6400000000000003E-6</v>
      </c>
      <c r="AK121" s="14">
        <v>8.6399999999999999E-5</v>
      </c>
      <c r="AL121" s="14">
        <v>8.6399999999999999E-5</v>
      </c>
      <c r="AM121" s="14">
        <v>8.6399999999999999E-5</v>
      </c>
      <c r="AN121" s="14">
        <v>8.6399999999999999E-5</v>
      </c>
      <c r="AO121" s="14">
        <v>8.6399999999999999E-5</v>
      </c>
      <c r="AP121" s="14">
        <v>8.6399999999999997E-4</v>
      </c>
      <c r="AQ121" s="14">
        <v>8.6399999999999997E-4</v>
      </c>
      <c r="AR121" s="14">
        <v>8.6399999999999997E-4</v>
      </c>
      <c r="AS121" s="14">
        <v>8.6399999999999997E-4</v>
      </c>
      <c r="AT121" s="14">
        <v>8.6399999999999997E-4</v>
      </c>
      <c r="AU121" s="14">
        <v>8.6400000000000001E-3</v>
      </c>
      <c r="AV121" s="14">
        <v>8.6400000000000001E-3</v>
      </c>
      <c r="AW121" s="14">
        <v>8.6400000000000001E-3</v>
      </c>
      <c r="AX121" s="14">
        <v>8.6400000000000001E-3</v>
      </c>
      <c r="AY121" s="14">
        <v>8.6400000000000001E-3</v>
      </c>
      <c r="AZ121" s="14"/>
      <c r="BA121" s="14"/>
      <c r="BB121" s="14"/>
      <c r="BC121" s="14"/>
      <c r="BD121" s="14"/>
      <c r="BN121" t="s">
        <v>94</v>
      </c>
      <c r="BO121" s="2">
        <v>800000000</v>
      </c>
      <c r="BP121">
        <v>0</v>
      </c>
      <c r="BQ121">
        <v>-10</v>
      </c>
      <c r="BR121">
        <v>-50</v>
      </c>
      <c r="BS121">
        <v>-100</v>
      </c>
      <c r="BT121">
        <v>-200</v>
      </c>
      <c r="BU121">
        <v>-1000</v>
      </c>
      <c r="BV121">
        <v>-2000</v>
      </c>
      <c r="BW121">
        <v>-20000</v>
      </c>
      <c r="BX121">
        <v>-100000</v>
      </c>
      <c r="BY121">
        <v>-200000</v>
      </c>
      <c r="BZ121">
        <v>-600000</v>
      </c>
    </row>
    <row r="122" spans="1:78" x14ac:dyDescent="0.45">
      <c r="A122" t="s">
        <v>305</v>
      </c>
      <c r="B122">
        <v>4320000</v>
      </c>
      <c r="C122" s="13">
        <v>5.2016294742985507E-4</v>
      </c>
      <c r="D122" s="13">
        <v>5.2016294742985506E-6</v>
      </c>
      <c r="E122" s="13">
        <v>5.2016294742985507E-4</v>
      </c>
      <c r="F122" s="13">
        <v>5.2016294742985506E-6</v>
      </c>
      <c r="G122" s="13">
        <v>5.2016294742985507E-4</v>
      </c>
      <c r="H122" s="1">
        <v>121</v>
      </c>
      <c r="I122">
        <v>36000</v>
      </c>
      <c r="U122">
        <v>2070</v>
      </c>
      <c r="V122">
        <v>43200</v>
      </c>
      <c r="W122" s="13">
        <v>8.2045218583240757E-4</v>
      </c>
      <c r="X122" s="13">
        <f t="shared" si="12"/>
        <v>8.2045218583240759E-6</v>
      </c>
      <c r="Y122" s="13">
        <f t="shared" si="13"/>
        <v>8.2045218583240757E-4</v>
      </c>
      <c r="Z122" s="13">
        <f t="shared" si="14"/>
        <v>8.2045218583240759E-6</v>
      </c>
      <c r="AA122" s="13">
        <f t="shared" si="15"/>
        <v>8.2045218583240757E-4</v>
      </c>
      <c r="AE122" s="4" t="s">
        <v>52</v>
      </c>
      <c r="AF122" s="13">
        <v>8.6400000000000001E-3</v>
      </c>
      <c r="AG122" s="13">
        <v>8.6400000000000005E-2</v>
      </c>
      <c r="AH122" s="13">
        <v>0.86399999999999999</v>
      </c>
      <c r="AI122" s="13">
        <v>8.64</v>
      </c>
      <c r="AJ122" s="13">
        <v>86.4</v>
      </c>
      <c r="AK122" s="13">
        <v>8.6400000000000001E-3</v>
      </c>
      <c r="AL122" s="13">
        <v>8.6400000000000005E-2</v>
      </c>
      <c r="AM122" s="13">
        <v>0.86399999999999999</v>
      </c>
      <c r="AN122" s="13">
        <v>8.64</v>
      </c>
      <c r="AO122" s="13">
        <v>86.4</v>
      </c>
      <c r="AP122" s="13">
        <v>8.6400000000000001E-3</v>
      </c>
      <c r="AQ122" s="13">
        <v>8.6400000000000005E-2</v>
      </c>
      <c r="AR122" s="13">
        <v>0.86399999999999999</v>
      </c>
      <c r="AS122" s="13">
        <v>8.64</v>
      </c>
      <c r="AT122" s="13">
        <v>86.4</v>
      </c>
      <c r="AU122" s="13">
        <v>8.6400000000000001E-3</v>
      </c>
      <c r="AV122" s="13">
        <v>8.6400000000000005E-2</v>
      </c>
      <c r="AW122" s="13">
        <v>0.86399999999999999</v>
      </c>
      <c r="AX122" s="13">
        <v>8.64</v>
      </c>
      <c r="AY122" s="13">
        <v>86.4</v>
      </c>
      <c r="AZ122" s="13"/>
      <c r="BA122" s="13"/>
      <c r="BB122" s="13"/>
      <c r="BC122" s="13"/>
      <c r="BD122" s="13"/>
      <c r="BN122" t="s">
        <v>95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</row>
    <row r="123" spans="1:78" x14ac:dyDescent="0.45">
      <c r="A123" t="s">
        <v>306</v>
      </c>
      <c r="B123">
        <v>4356000</v>
      </c>
      <c r="C123" s="13">
        <v>5.5927988371079387E-4</v>
      </c>
      <c r="D123" s="13">
        <v>5.5927988371079391E-6</v>
      </c>
      <c r="E123" s="13">
        <v>5.5927988371079387E-4</v>
      </c>
      <c r="F123" s="13">
        <v>5.5927988371079391E-6</v>
      </c>
      <c r="G123" s="13">
        <v>5.5927988371079387E-4</v>
      </c>
      <c r="H123" s="1">
        <v>122</v>
      </c>
      <c r="I123">
        <v>36000</v>
      </c>
      <c r="U123">
        <v>2071</v>
      </c>
      <c r="V123">
        <v>43560</v>
      </c>
      <c r="W123" s="13">
        <v>5.2081387235738941E-4</v>
      </c>
      <c r="X123" s="13">
        <f t="shared" si="12"/>
        <v>5.2081387235738937E-6</v>
      </c>
      <c r="Y123" s="13">
        <f t="shared" si="13"/>
        <v>5.2081387235738941E-4</v>
      </c>
      <c r="Z123" s="13">
        <f t="shared" si="14"/>
        <v>5.2081387235738937E-6</v>
      </c>
      <c r="AA123" s="13">
        <f t="shared" si="15"/>
        <v>5.2081387235738941E-4</v>
      </c>
      <c r="AE123" s="4" t="s">
        <v>54</v>
      </c>
      <c r="AF123" s="13">
        <v>8.6400000000000001E-3</v>
      </c>
      <c r="AG123" s="13">
        <v>8.6400000000000005E-2</v>
      </c>
      <c r="AH123" s="13">
        <v>0.86399999999999999</v>
      </c>
      <c r="AI123" s="13">
        <v>8.64</v>
      </c>
      <c r="AJ123" s="13">
        <v>86.4</v>
      </c>
      <c r="AK123" s="13">
        <v>8.6400000000000001E-3</v>
      </c>
      <c r="AL123" s="13">
        <v>8.6400000000000005E-2</v>
      </c>
      <c r="AM123" s="13">
        <v>0.86399999999999999</v>
      </c>
      <c r="AN123" s="13">
        <v>8.64</v>
      </c>
      <c r="AO123" s="13">
        <v>86.4</v>
      </c>
      <c r="AP123" s="13">
        <v>8.6400000000000001E-3</v>
      </c>
      <c r="AQ123" s="13">
        <v>8.6400000000000005E-2</v>
      </c>
      <c r="AR123" s="13">
        <v>0.86399999999999999</v>
      </c>
      <c r="AS123" s="13">
        <v>8.64</v>
      </c>
      <c r="AT123" s="13">
        <v>86.4</v>
      </c>
      <c r="AU123" s="13">
        <v>8.6400000000000001E-3</v>
      </c>
      <c r="AV123" s="13">
        <v>8.6400000000000005E-2</v>
      </c>
      <c r="AW123" s="13">
        <v>0.86399999999999999</v>
      </c>
      <c r="AX123" s="13">
        <v>8.64</v>
      </c>
      <c r="AY123" s="13">
        <v>86.4</v>
      </c>
      <c r="AZ123" s="13"/>
      <c r="BA123" s="13"/>
      <c r="BB123" s="13"/>
      <c r="BC123" s="13"/>
      <c r="BD123" s="13"/>
      <c r="BN123" t="s">
        <v>95</v>
      </c>
      <c r="BO123" s="2">
        <v>3600000</v>
      </c>
      <c r="BP123">
        <v>0</v>
      </c>
      <c r="BQ123">
        <v>-10</v>
      </c>
      <c r="BR123">
        <v>-50</v>
      </c>
      <c r="BS123">
        <v>-100</v>
      </c>
      <c r="BT123">
        <v>-200</v>
      </c>
      <c r="BU123">
        <v>-1000</v>
      </c>
      <c r="BV123">
        <v>-2000</v>
      </c>
      <c r="BW123">
        <v>-20000</v>
      </c>
      <c r="BX123">
        <v>-100000</v>
      </c>
      <c r="BY123">
        <v>-200000</v>
      </c>
      <c r="BZ123">
        <v>-600000</v>
      </c>
    </row>
    <row r="124" spans="1:78" x14ac:dyDescent="0.45">
      <c r="A124" t="s">
        <v>307</v>
      </c>
      <c r="B124">
        <v>4392000</v>
      </c>
      <c r="C124" s="13">
        <v>5.6263244724874366E-4</v>
      </c>
      <c r="D124" s="13">
        <v>5.6263244724874358E-6</v>
      </c>
      <c r="E124" s="13">
        <v>5.6263244724874366E-4</v>
      </c>
      <c r="F124" s="13">
        <v>5.6263244724874358E-6</v>
      </c>
      <c r="G124" s="13">
        <v>5.6263244724874366E-4</v>
      </c>
      <c r="H124" s="1">
        <v>123</v>
      </c>
      <c r="I124">
        <v>36000</v>
      </c>
      <c r="U124">
        <v>2072</v>
      </c>
      <c r="V124">
        <v>43920</v>
      </c>
      <c r="W124" s="13">
        <v>5.7189465431413248E-4</v>
      </c>
      <c r="X124" s="13">
        <f t="shared" si="12"/>
        <v>5.7189465431413244E-6</v>
      </c>
      <c r="Y124" s="13">
        <f t="shared" si="13"/>
        <v>5.7189465431413248E-4</v>
      </c>
      <c r="Z124" s="13">
        <f t="shared" si="14"/>
        <v>5.7189465431413244E-6</v>
      </c>
      <c r="AA124" s="13">
        <f t="shared" si="15"/>
        <v>5.7189465431413248E-4</v>
      </c>
      <c r="AE124" s="4" t="s">
        <v>55</v>
      </c>
      <c r="AF124" s="14">
        <v>8.6400000000000003E-6</v>
      </c>
      <c r="AG124" s="14">
        <v>8.6400000000000003E-6</v>
      </c>
      <c r="AH124" s="14">
        <v>8.6400000000000003E-6</v>
      </c>
      <c r="AI124" s="14">
        <v>8.6400000000000003E-6</v>
      </c>
      <c r="AJ124" s="14">
        <v>8.6400000000000003E-6</v>
      </c>
      <c r="AK124" s="14">
        <v>8.6399999999999999E-5</v>
      </c>
      <c r="AL124" s="14">
        <v>8.6399999999999999E-5</v>
      </c>
      <c r="AM124" s="14">
        <v>8.6399999999999999E-5</v>
      </c>
      <c r="AN124" s="14">
        <v>8.6399999999999999E-5</v>
      </c>
      <c r="AO124" s="14">
        <v>8.6399999999999999E-5</v>
      </c>
      <c r="AP124" s="14">
        <v>8.6399999999999997E-4</v>
      </c>
      <c r="AQ124" s="14">
        <v>8.6399999999999997E-4</v>
      </c>
      <c r="AR124" s="14">
        <v>8.6399999999999997E-4</v>
      </c>
      <c r="AS124" s="14">
        <v>8.6399999999999997E-4</v>
      </c>
      <c r="AT124" s="14">
        <v>8.6399999999999997E-4</v>
      </c>
      <c r="AU124" s="14">
        <v>8.6400000000000001E-3</v>
      </c>
      <c r="AV124" s="14">
        <v>8.6400000000000001E-3</v>
      </c>
      <c r="AW124" s="14">
        <v>8.6400000000000001E-3</v>
      </c>
      <c r="AX124" s="14">
        <v>8.6400000000000001E-3</v>
      </c>
      <c r="AY124" s="14">
        <v>8.6400000000000001E-3</v>
      </c>
      <c r="AZ124" s="14"/>
      <c r="BA124" s="14"/>
      <c r="BB124" s="14"/>
      <c r="BC124" s="14"/>
      <c r="BD124" s="14"/>
      <c r="BN124" t="s">
        <v>95</v>
      </c>
      <c r="BO124" s="2">
        <v>800000000</v>
      </c>
      <c r="BP124">
        <v>0</v>
      </c>
      <c r="BQ124">
        <v>-10</v>
      </c>
      <c r="BR124">
        <v>-50</v>
      </c>
      <c r="BS124">
        <v>-100</v>
      </c>
      <c r="BT124">
        <v>-200</v>
      </c>
      <c r="BU124">
        <v>-1000</v>
      </c>
      <c r="BV124">
        <v>-2000</v>
      </c>
      <c r="BW124">
        <v>-20000</v>
      </c>
      <c r="BX124">
        <v>-100000</v>
      </c>
      <c r="BY124">
        <v>-200000</v>
      </c>
      <c r="BZ124">
        <v>-600000</v>
      </c>
    </row>
    <row r="125" spans="1:78" x14ac:dyDescent="0.45">
      <c r="A125" t="s">
        <v>308</v>
      </c>
      <c r="B125">
        <v>4428000</v>
      </c>
      <c r="C125" s="13">
        <v>5.5570147743848645E-4</v>
      </c>
      <c r="D125" s="13">
        <v>5.5570147743848646E-6</v>
      </c>
      <c r="E125" s="13">
        <v>5.5570147743848645E-4</v>
      </c>
      <c r="F125" s="13">
        <v>5.5570147743848646E-6</v>
      </c>
      <c r="G125" s="13">
        <v>5.5570147743848645E-4</v>
      </c>
      <c r="H125" s="1">
        <v>124</v>
      </c>
      <c r="I125">
        <v>36000</v>
      </c>
      <c r="U125">
        <v>2073</v>
      </c>
      <c r="V125">
        <v>44280</v>
      </c>
      <c r="W125" s="13">
        <v>9.1233097501937279E-4</v>
      </c>
      <c r="X125" s="13">
        <f t="shared" si="12"/>
        <v>9.1233097501937278E-6</v>
      </c>
      <c r="Y125" s="13">
        <f t="shared" si="13"/>
        <v>9.1233097501937279E-4</v>
      </c>
      <c r="Z125" s="13">
        <f t="shared" si="14"/>
        <v>9.1233097501937278E-6</v>
      </c>
      <c r="AA125" s="13">
        <f t="shared" si="15"/>
        <v>9.1233097501937279E-4</v>
      </c>
      <c r="AE125" s="4" t="s">
        <v>56</v>
      </c>
      <c r="AF125" s="13">
        <v>8.6400000000000001E-3</v>
      </c>
      <c r="AG125" s="13">
        <v>8.6400000000000005E-2</v>
      </c>
      <c r="AH125" s="13">
        <v>0.86399999999999999</v>
      </c>
      <c r="AI125" s="13">
        <v>8.64</v>
      </c>
      <c r="AJ125" s="13">
        <v>86.4</v>
      </c>
      <c r="AK125" s="13">
        <v>8.6400000000000001E-3</v>
      </c>
      <c r="AL125" s="13">
        <v>8.6400000000000005E-2</v>
      </c>
      <c r="AM125" s="13">
        <v>0.86399999999999999</v>
      </c>
      <c r="AN125" s="13">
        <v>8.64</v>
      </c>
      <c r="AO125" s="13">
        <v>86.4</v>
      </c>
      <c r="AP125" s="13">
        <v>8.6400000000000001E-3</v>
      </c>
      <c r="AQ125" s="13">
        <v>8.6400000000000005E-2</v>
      </c>
      <c r="AR125" s="13">
        <v>0.86399999999999999</v>
      </c>
      <c r="AS125" s="13">
        <v>8.64</v>
      </c>
      <c r="AT125" s="13">
        <v>86.4</v>
      </c>
      <c r="AU125" s="13">
        <v>8.6400000000000001E-3</v>
      </c>
      <c r="AV125" s="13">
        <v>8.6400000000000005E-2</v>
      </c>
      <c r="AW125" s="13">
        <v>0.86399999999999999</v>
      </c>
      <c r="AX125" s="13">
        <v>8.64</v>
      </c>
      <c r="AY125" s="13">
        <v>86.4</v>
      </c>
      <c r="AZ125" s="13"/>
      <c r="BA125" s="13"/>
      <c r="BB125" s="13"/>
      <c r="BC125" s="13"/>
      <c r="BD125" s="13"/>
    </row>
    <row r="126" spans="1:78" x14ac:dyDescent="0.45">
      <c r="A126" t="s">
        <v>309</v>
      </c>
      <c r="B126">
        <v>4464000</v>
      </c>
      <c r="C126" s="13">
        <v>5.5880199503133244E-4</v>
      </c>
      <c r="D126" s="13">
        <v>5.5880199503133254E-6</v>
      </c>
      <c r="E126" s="13">
        <v>5.5880199503133244E-4</v>
      </c>
      <c r="F126" s="13">
        <v>5.5880199503133254E-6</v>
      </c>
      <c r="G126" s="13">
        <v>5.5880199503133244E-4</v>
      </c>
      <c r="H126" s="1">
        <v>125</v>
      </c>
      <c r="I126">
        <v>36000</v>
      </c>
      <c r="U126">
        <v>2074</v>
      </c>
      <c r="V126">
        <v>44640</v>
      </c>
      <c r="W126" s="13">
        <v>5.1138621680753824E-4</v>
      </c>
      <c r="X126" s="13">
        <f t="shared" si="12"/>
        <v>5.1138621680753828E-6</v>
      </c>
      <c r="Y126" s="13">
        <f t="shared" si="13"/>
        <v>5.1138621680753824E-4</v>
      </c>
      <c r="Z126" s="13">
        <f t="shared" si="14"/>
        <v>5.1138621680753828E-6</v>
      </c>
      <c r="AA126" s="13">
        <f t="shared" si="15"/>
        <v>5.1138621680753824E-4</v>
      </c>
      <c r="AE126" s="4" t="s">
        <v>57</v>
      </c>
      <c r="AF126" s="14">
        <v>8.6400000000000003E-6</v>
      </c>
      <c r="AG126" s="14">
        <v>8.6400000000000003E-6</v>
      </c>
      <c r="AH126" s="14">
        <v>8.6400000000000003E-6</v>
      </c>
      <c r="AI126" s="14">
        <v>8.6400000000000003E-6</v>
      </c>
      <c r="AJ126" s="14">
        <v>8.6400000000000003E-6</v>
      </c>
      <c r="AK126" s="14">
        <v>8.6399999999999999E-5</v>
      </c>
      <c r="AL126" s="14">
        <v>8.6399999999999999E-5</v>
      </c>
      <c r="AM126" s="14">
        <v>8.6399999999999999E-5</v>
      </c>
      <c r="AN126" s="14">
        <v>8.6399999999999999E-5</v>
      </c>
      <c r="AO126" s="14">
        <v>8.6399999999999999E-5</v>
      </c>
      <c r="AP126" s="14">
        <v>8.6399999999999997E-4</v>
      </c>
      <c r="AQ126" s="14">
        <v>8.6399999999999997E-4</v>
      </c>
      <c r="AR126" s="14">
        <v>8.6399999999999997E-4</v>
      </c>
      <c r="AS126" s="14">
        <v>8.6399999999999997E-4</v>
      </c>
      <c r="AT126" s="14">
        <v>8.6399999999999997E-4</v>
      </c>
      <c r="AU126" s="14">
        <v>8.6400000000000001E-3</v>
      </c>
      <c r="AV126" s="14">
        <v>8.6400000000000001E-3</v>
      </c>
      <c r="AW126" s="14">
        <v>8.6400000000000001E-3</v>
      </c>
      <c r="AX126" s="14">
        <v>8.6400000000000001E-3</v>
      </c>
      <c r="AY126" s="14">
        <v>8.6400000000000001E-3</v>
      </c>
      <c r="AZ126" s="14"/>
      <c r="BA126" s="14"/>
      <c r="BB126" s="14"/>
      <c r="BC126" s="14"/>
      <c r="BD126" s="14"/>
    </row>
    <row r="127" spans="1:78" x14ac:dyDescent="0.45">
      <c r="A127" t="s">
        <v>310</v>
      </c>
      <c r="B127">
        <v>4500000</v>
      </c>
      <c r="C127" s="13">
        <v>5.3484183894189771E-4</v>
      </c>
      <c r="D127" s="13">
        <v>5.3484183894189772E-6</v>
      </c>
      <c r="E127" s="13">
        <v>5.3484183894189771E-4</v>
      </c>
      <c r="F127" s="13">
        <v>5.3484183894189772E-6</v>
      </c>
      <c r="G127" s="13">
        <v>5.3484183894189771E-4</v>
      </c>
      <c r="H127" s="1">
        <v>126</v>
      </c>
      <c r="I127">
        <v>36000</v>
      </c>
      <c r="U127">
        <v>2075</v>
      </c>
      <c r="V127">
        <v>45000</v>
      </c>
      <c r="W127" s="13">
        <v>5.834401472729541E-4</v>
      </c>
      <c r="X127" s="13">
        <f t="shared" si="12"/>
        <v>5.8344014727295408E-6</v>
      </c>
      <c r="Y127" s="13">
        <f t="shared" si="13"/>
        <v>5.834401472729541E-4</v>
      </c>
      <c r="Z127" s="13">
        <f t="shared" si="14"/>
        <v>5.8344014727295408E-6</v>
      </c>
      <c r="AA127" s="13">
        <f t="shared" si="15"/>
        <v>5.834401472729541E-4</v>
      </c>
      <c r="AE127" s="4" t="s">
        <v>58</v>
      </c>
      <c r="AF127" s="13">
        <v>8.6400000000000001E-3</v>
      </c>
      <c r="AG127" s="13">
        <v>8.6400000000000005E-2</v>
      </c>
      <c r="AH127" s="13">
        <v>0.86399999999999999</v>
      </c>
      <c r="AI127" s="13">
        <v>8.64</v>
      </c>
      <c r="AJ127" s="13">
        <v>86.4</v>
      </c>
      <c r="AK127" s="13">
        <v>8.6400000000000001E-3</v>
      </c>
      <c r="AL127" s="13">
        <v>8.6400000000000005E-2</v>
      </c>
      <c r="AM127" s="13">
        <v>0.86399999999999999</v>
      </c>
      <c r="AN127" s="13">
        <v>8.64</v>
      </c>
      <c r="AO127" s="13">
        <v>86.4</v>
      </c>
      <c r="AP127" s="13">
        <v>8.6400000000000001E-3</v>
      </c>
      <c r="AQ127" s="13">
        <v>8.6400000000000005E-2</v>
      </c>
      <c r="AR127" s="13">
        <v>0.86399999999999999</v>
      </c>
      <c r="AS127" s="13">
        <v>8.64</v>
      </c>
      <c r="AT127" s="13">
        <v>86.4</v>
      </c>
      <c r="AU127" s="13">
        <v>8.6400000000000001E-3</v>
      </c>
      <c r="AV127" s="13">
        <v>8.6400000000000005E-2</v>
      </c>
      <c r="AW127" s="13">
        <v>0.86399999999999999</v>
      </c>
      <c r="AX127" s="13">
        <v>8.64</v>
      </c>
      <c r="AY127" s="13">
        <v>86.4</v>
      </c>
      <c r="AZ127" s="13"/>
      <c r="BA127" s="13"/>
      <c r="BB127" s="13"/>
      <c r="BC127" s="13"/>
      <c r="BD127" s="13"/>
      <c r="BN127" t="s">
        <v>289</v>
      </c>
    </row>
    <row r="128" spans="1:78" x14ac:dyDescent="0.45">
      <c r="A128" t="s">
        <v>311</v>
      </c>
      <c r="B128">
        <v>4536000</v>
      </c>
      <c r="C128" s="13">
        <v>5.6813211154299636E-4</v>
      </c>
      <c r="D128" s="13">
        <v>5.6813211154299638E-6</v>
      </c>
      <c r="E128" s="13">
        <v>5.6813211154299636E-4</v>
      </c>
      <c r="F128" s="13">
        <v>5.6813211154299638E-6</v>
      </c>
      <c r="G128" s="13">
        <v>5.6813211154299636E-4</v>
      </c>
      <c r="H128" s="1">
        <v>127</v>
      </c>
      <c r="I128">
        <v>36000</v>
      </c>
      <c r="U128">
        <v>2076</v>
      </c>
      <c r="V128">
        <v>45360</v>
      </c>
      <c r="W128" s="13">
        <v>7.1160228947361758E-4</v>
      </c>
      <c r="X128" s="13">
        <f t="shared" si="12"/>
        <v>7.1160228947361762E-6</v>
      </c>
      <c r="Y128" s="13">
        <f t="shared" si="13"/>
        <v>7.1160228947361758E-4</v>
      </c>
      <c r="Z128" s="13">
        <f t="shared" si="14"/>
        <v>7.1160228947361762E-6</v>
      </c>
      <c r="AA128" s="13">
        <f t="shared" si="15"/>
        <v>7.1160228947361758E-4</v>
      </c>
      <c r="BN128" t="s">
        <v>89</v>
      </c>
      <c r="BO128" t="s">
        <v>82</v>
      </c>
      <c r="BP128" t="s">
        <v>124</v>
      </c>
      <c r="BQ128" t="s">
        <v>114</v>
      </c>
      <c r="BR128" t="s">
        <v>115</v>
      </c>
      <c r="BS128" t="s">
        <v>116</v>
      </c>
      <c r="BT128" t="s">
        <v>117</v>
      </c>
      <c r="BU128" t="s">
        <v>118</v>
      </c>
      <c r="BV128" t="s">
        <v>119</v>
      </c>
      <c r="BW128" t="s">
        <v>120</v>
      </c>
      <c r="BX128" t="s">
        <v>121</v>
      </c>
    </row>
    <row r="129" spans="1:76" x14ac:dyDescent="0.45">
      <c r="A129" t="s">
        <v>312</v>
      </c>
      <c r="B129">
        <v>4572000</v>
      </c>
      <c r="C129" s="13">
        <v>5.6900059610674454E-4</v>
      </c>
      <c r="D129" s="13">
        <v>5.6900059610674446E-6</v>
      </c>
      <c r="E129" s="13">
        <v>5.6900059610674454E-4</v>
      </c>
      <c r="F129" s="13">
        <v>5.6900059610674446E-6</v>
      </c>
      <c r="G129" s="13">
        <v>5.6900059610674454E-4</v>
      </c>
      <c r="H129" s="1">
        <v>128</v>
      </c>
      <c r="I129">
        <v>36000</v>
      </c>
      <c r="U129">
        <v>2077</v>
      </c>
      <c r="V129">
        <v>45720</v>
      </c>
      <c r="W129" s="13">
        <v>6.7192904177343729E-4</v>
      </c>
      <c r="X129" s="13">
        <f t="shared" si="12"/>
        <v>6.719290417734373E-6</v>
      </c>
      <c r="Y129" s="13">
        <f t="shared" si="13"/>
        <v>6.7192904177343729E-4</v>
      </c>
      <c r="Z129" s="13">
        <f t="shared" si="14"/>
        <v>6.719290417734373E-6</v>
      </c>
      <c r="AA129" s="13">
        <f t="shared" si="15"/>
        <v>6.7192904177343729E-4</v>
      </c>
      <c r="AE129" s="10" t="s">
        <v>313</v>
      </c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BN129" t="s">
        <v>91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</row>
    <row r="130" spans="1:76" x14ac:dyDescent="0.45">
      <c r="A130" t="s">
        <v>314</v>
      </c>
      <c r="B130">
        <v>4608000</v>
      </c>
      <c r="C130" s="13">
        <v>5.4325687953621241E-4</v>
      </c>
      <c r="D130" s="13">
        <v>5.4325687953621242E-6</v>
      </c>
      <c r="E130" s="13">
        <v>5.4325687953621241E-4</v>
      </c>
      <c r="F130" s="13">
        <v>5.4325687953621242E-6</v>
      </c>
      <c r="G130" s="13">
        <v>5.4325687953621241E-4</v>
      </c>
      <c r="H130" s="1">
        <v>129</v>
      </c>
      <c r="I130">
        <v>36000</v>
      </c>
      <c r="U130">
        <v>2078</v>
      </c>
      <c r="V130">
        <v>46080</v>
      </c>
      <c r="W130" s="13">
        <v>6.8402164621609858E-4</v>
      </c>
      <c r="X130" s="13">
        <f t="shared" ref="X130:X154" si="16">+W130/100</f>
        <v>6.8402164621609862E-6</v>
      </c>
      <c r="Y130" s="13">
        <f t="shared" ref="Y130:Y154" si="17">+W130</f>
        <v>6.8402164621609858E-4</v>
      </c>
      <c r="Z130" s="13">
        <f t="shared" ref="Z130:Z154" si="18">+Y130/100</f>
        <v>6.8402164621609862E-6</v>
      </c>
      <c r="AA130" s="13">
        <f t="shared" ref="AA130:AA154" si="19">+W130</f>
        <v>6.8402164621609858E-4</v>
      </c>
      <c r="AE130" t="s">
        <v>35</v>
      </c>
      <c r="AF130" t="s">
        <v>125</v>
      </c>
      <c r="AG130" t="s">
        <v>126</v>
      </c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BN130" t="s">
        <v>91</v>
      </c>
      <c r="BO130" s="2">
        <v>3600000</v>
      </c>
      <c r="BP130">
        <v>0</v>
      </c>
      <c r="BQ130">
        <v>-100</v>
      </c>
      <c r="BR130">
        <v>-200</v>
      </c>
      <c r="BS130">
        <v>-1000</v>
      </c>
      <c r="BT130">
        <v>-2000</v>
      </c>
      <c r="BU130">
        <v>-20000</v>
      </c>
      <c r="BV130">
        <v>-100000</v>
      </c>
      <c r="BW130">
        <v>-200000</v>
      </c>
      <c r="BX130">
        <v>-600000</v>
      </c>
    </row>
    <row r="131" spans="1:76" x14ac:dyDescent="0.45">
      <c r="A131" t="s">
        <v>315</v>
      </c>
      <c r="B131">
        <v>4644000</v>
      </c>
      <c r="C131" s="13">
        <v>5.5103897986034131E-4</v>
      </c>
      <c r="D131" s="13">
        <v>5.510389798603413E-6</v>
      </c>
      <c r="E131" s="13">
        <v>5.5103897986034131E-4</v>
      </c>
      <c r="F131" s="13">
        <v>5.510389798603413E-6</v>
      </c>
      <c r="G131" s="13">
        <v>5.5103897986034131E-4</v>
      </c>
      <c r="H131" s="1">
        <v>130</v>
      </c>
      <c r="I131">
        <v>36000</v>
      </c>
      <c r="U131">
        <v>2079</v>
      </c>
      <c r="V131">
        <v>46440</v>
      </c>
      <c r="W131" s="13">
        <v>7.3510433221211555E-4</v>
      </c>
      <c r="X131" s="13">
        <f t="shared" si="16"/>
        <v>7.3510433221211552E-6</v>
      </c>
      <c r="Y131" s="13">
        <f t="shared" si="17"/>
        <v>7.3510433221211555E-4</v>
      </c>
      <c r="Z131" s="13">
        <f t="shared" si="18"/>
        <v>7.3510433221211552E-6</v>
      </c>
      <c r="AA131" s="13">
        <f t="shared" si="19"/>
        <v>7.3510433221211555E-4</v>
      </c>
      <c r="AE131" s="4" t="s">
        <v>42</v>
      </c>
      <c r="AF131" s="13">
        <v>86.4</v>
      </c>
      <c r="AG131" s="13">
        <v>86.4</v>
      </c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BN131" t="s">
        <v>91</v>
      </c>
      <c r="BO131" s="2">
        <v>800000000</v>
      </c>
      <c r="BP131">
        <v>0</v>
      </c>
      <c r="BQ131">
        <v>-100</v>
      </c>
      <c r="BR131">
        <v>-200</v>
      </c>
      <c r="BS131">
        <v>-1000</v>
      </c>
      <c r="BT131">
        <v>-2000</v>
      </c>
      <c r="BU131">
        <v>-20000</v>
      </c>
      <c r="BV131">
        <v>-100000</v>
      </c>
      <c r="BW131">
        <v>-200000</v>
      </c>
      <c r="BX131">
        <v>-600000</v>
      </c>
    </row>
    <row r="132" spans="1:76" x14ac:dyDescent="0.45">
      <c r="A132" t="s">
        <v>316</v>
      </c>
      <c r="B132">
        <v>4680000</v>
      </c>
      <c r="C132" s="13">
        <v>5.6477315049182557E-4</v>
      </c>
      <c r="D132" s="13">
        <v>5.6477315049182558E-6</v>
      </c>
      <c r="E132" s="13">
        <v>5.6477315049182557E-4</v>
      </c>
      <c r="F132" s="13">
        <v>5.6477315049182558E-6</v>
      </c>
      <c r="G132" s="13">
        <v>5.6477315049182557E-4</v>
      </c>
      <c r="H132" s="1">
        <v>131</v>
      </c>
      <c r="I132">
        <v>36000</v>
      </c>
      <c r="U132">
        <v>2080</v>
      </c>
      <c r="V132">
        <v>46800</v>
      </c>
      <c r="W132" s="13">
        <v>6.8958168854050443E-4</v>
      </c>
      <c r="X132" s="13">
        <f t="shared" si="16"/>
        <v>6.8958168854050447E-6</v>
      </c>
      <c r="Y132" s="13">
        <f t="shared" si="17"/>
        <v>6.8958168854050443E-4</v>
      </c>
      <c r="Z132" s="13">
        <f t="shared" si="18"/>
        <v>6.8958168854050447E-6</v>
      </c>
      <c r="AA132" s="13">
        <f t="shared" si="19"/>
        <v>6.8958168854050443E-4</v>
      </c>
      <c r="AE132" s="4" t="s">
        <v>46</v>
      </c>
      <c r="AF132" s="14">
        <v>8.6399999999999999E-9</v>
      </c>
      <c r="AG132" s="11">
        <v>8.6400000000000006E-8</v>
      </c>
      <c r="BN132" t="s">
        <v>92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</row>
    <row r="133" spans="1:76" x14ac:dyDescent="0.45">
      <c r="A133" t="s">
        <v>317</v>
      </c>
      <c r="B133">
        <v>4716000</v>
      </c>
      <c r="C133" s="13">
        <v>5.6745063098694308E-4</v>
      </c>
      <c r="D133" s="13">
        <v>5.6745063098694314E-6</v>
      </c>
      <c r="E133" s="13">
        <v>5.6745063098694308E-4</v>
      </c>
      <c r="F133" s="13">
        <v>5.6745063098694314E-6</v>
      </c>
      <c r="G133" s="13">
        <v>5.6745063098694308E-4</v>
      </c>
      <c r="H133" s="1">
        <v>132</v>
      </c>
      <c r="I133">
        <v>36000</v>
      </c>
      <c r="U133">
        <v>2081</v>
      </c>
      <c r="V133">
        <v>47160</v>
      </c>
      <c r="W133" s="13">
        <v>7.0175093423377206E-4</v>
      </c>
      <c r="X133" s="13">
        <f t="shared" si="16"/>
        <v>7.0175093423377209E-6</v>
      </c>
      <c r="Y133" s="13">
        <f t="shared" si="17"/>
        <v>7.0175093423377206E-4</v>
      </c>
      <c r="Z133" s="13">
        <f t="shared" si="18"/>
        <v>7.0175093423377209E-6</v>
      </c>
      <c r="AA133" s="13">
        <f t="shared" si="19"/>
        <v>7.0175093423377206E-4</v>
      </c>
      <c r="AE133" s="4" t="s">
        <v>48</v>
      </c>
      <c r="AF133" s="13">
        <v>86.4</v>
      </c>
      <c r="AG133" s="13">
        <v>86.4</v>
      </c>
      <c r="BN133" t="s">
        <v>92</v>
      </c>
      <c r="BO133" s="2">
        <v>3600000</v>
      </c>
      <c r="BP133">
        <v>0</v>
      </c>
      <c r="BQ133">
        <v>-100</v>
      </c>
      <c r="BR133">
        <v>-200</v>
      </c>
      <c r="BS133">
        <v>-1000</v>
      </c>
      <c r="BT133">
        <v>-2000</v>
      </c>
      <c r="BU133">
        <v>-20000</v>
      </c>
      <c r="BV133">
        <v>-100000</v>
      </c>
      <c r="BW133">
        <v>-200000</v>
      </c>
      <c r="BX133">
        <v>-600000</v>
      </c>
    </row>
    <row r="134" spans="1:76" x14ac:dyDescent="0.45">
      <c r="A134" t="s">
        <v>318</v>
      </c>
      <c r="B134">
        <v>4752000</v>
      </c>
      <c r="C134" s="13">
        <v>5.6811922800493271E-4</v>
      </c>
      <c r="D134" s="13">
        <v>5.6811922800493268E-6</v>
      </c>
      <c r="E134" s="13">
        <v>5.6811922800493271E-4</v>
      </c>
      <c r="F134" s="13">
        <v>5.6811922800493268E-6</v>
      </c>
      <c r="G134" s="13">
        <v>5.6811922800493271E-4</v>
      </c>
      <c r="H134" s="1">
        <v>133</v>
      </c>
      <c r="I134">
        <v>36000</v>
      </c>
      <c r="U134">
        <v>2082</v>
      </c>
      <c r="V134">
        <v>47520</v>
      </c>
      <c r="W134" s="13">
        <v>9.24392529713391E-4</v>
      </c>
      <c r="X134" s="13">
        <f t="shared" si="16"/>
        <v>9.2439252971339094E-6</v>
      </c>
      <c r="Y134" s="13">
        <f t="shared" si="17"/>
        <v>9.24392529713391E-4</v>
      </c>
      <c r="Z134" s="13">
        <f t="shared" si="18"/>
        <v>9.2439252971339094E-6</v>
      </c>
      <c r="AA134" s="13">
        <f t="shared" si="19"/>
        <v>9.24392529713391E-4</v>
      </c>
      <c r="AE134" s="4" t="s">
        <v>50</v>
      </c>
      <c r="AF134" s="14">
        <v>8.6399999999999999E-9</v>
      </c>
      <c r="AG134" s="11">
        <v>8.6400000000000006E-8</v>
      </c>
      <c r="BN134" t="s">
        <v>92</v>
      </c>
      <c r="BO134" s="2">
        <v>800000000</v>
      </c>
      <c r="BP134">
        <v>0</v>
      </c>
      <c r="BQ134">
        <v>-100</v>
      </c>
      <c r="BR134">
        <v>-200</v>
      </c>
      <c r="BS134">
        <v>-1000</v>
      </c>
      <c r="BT134">
        <v>-2000</v>
      </c>
      <c r="BU134">
        <v>-20000</v>
      </c>
      <c r="BV134">
        <v>-100000</v>
      </c>
      <c r="BW134">
        <v>-200000</v>
      </c>
      <c r="BX134">
        <v>-600000</v>
      </c>
    </row>
    <row r="135" spans="1:76" x14ac:dyDescent="0.45">
      <c r="A135" t="s">
        <v>319</v>
      </c>
      <c r="B135">
        <v>4788000</v>
      </c>
      <c r="C135" s="13">
        <v>5.3856638198421648E-4</v>
      </c>
      <c r="D135" s="13">
        <v>5.3856638198421652E-6</v>
      </c>
      <c r="E135" s="13">
        <v>5.3856638198421648E-4</v>
      </c>
      <c r="F135" s="13">
        <v>5.3856638198421652E-6</v>
      </c>
      <c r="G135" s="13">
        <v>5.3856638198421648E-4</v>
      </c>
      <c r="H135" s="1">
        <v>134</v>
      </c>
      <c r="I135">
        <v>36000</v>
      </c>
      <c r="U135">
        <v>2083</v>
      </c>
      <c r="V135">
        <v>47880</v>
      </c>
      <c r="W135" s="13">
        <v>4.2679489394130968E-4</v>
      </c>
      <c r="X135" s="13">
        <f t="shared" si="16"/>
        <v>4.2679489394130971E-6</v>
      </c>
      <c r="Y135" s="13">
        <f t="shared" si="17"/>
        <v>4.2679489394130968E-4</v>
      </c>
      <c r="Z135" s="13">
        <f t="shared" si="18"/>
        <v>4.2679489394130971E-6</v>
      </c>
      <c r="AA135" s="13">
        <f t="shared" si="19"/>
        <v>4.2679489394130968E-4</v>
      </c>
      <c r="AE135" s="4" t="s">
        <v>52</v>
      </c>
      <c r="AF135" s="13">
        <v>86.4</v>
      </c>
      <c r="AG135" s="13">
        <v>86.4</v>
      </c>
      <c r="BN135" t="s">
        <v>93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</row>
    <row r="136" spans="1:76" x14ac:dyDescent="0.45">
      <c r="A136" t="s">
        <v>320</v>
      </c>
      <c r="B136">
        <v>4824000</v>
      </c>
      <c r="C136" s="13">
        <v>5.8974204616573549E-4</v>
      </c>
      <c r="D136" s="13">
        <v>5.8974204616573552E-6</v>
      </c>
      <c r="E136" s="13">
        <v>5.8974204616573549E-4</v>
      </c>
      <c r="F136" s="13">
        <v>5.8974204616573552E-6</v>
      </c>
      <c r="G136" s="13">
        <v>5.8974204616573549E-4</v>
      </c>
      <c r="H136" s="1">
        <v>135</v>
      </c>
      <c r="I136">
        <v>36000</v>
      </c>
      <c r="U136">
        <v>2084</v>
      </c>
      <c r="V136">
        <v>48240</v>
      </c>
      <c r="W136" s="13">
        <v>7.0492044974188462E-4</v>
      </c>
      <c r="X136" s="13">
        <f t="shared" si="16"/>
        <v>7.0492044974188458E-6</v>
      </c>
      <c r="Y136" s="13">
        <f t="shared" si="17"/>
        <v>7.0492044974188462E-4</v>
      </c>
      <c r="Z136" s="13">
        <f t="shared" si="18"/>
        <v>7.0492044974188458E-6</v>
      </c>
      <c r="AA136" s="13">
        <f t="shared" si="19"/>
        <v>7.0492044974188462E-4</v>
      </c>
      <c r="AE136" s="4" t="s">
        <v>54</v>
      </c>
      <c r="AF136" s="13">
        <v>86.4</v>
      </c>
      <c r="AG136" s="13">
        <v>86.4</v>
      </c>
      <c r="BN136" t="s">
        <v>93</v>
      </c>
      <c r="BO136" s="2">
        <v>3600000</v>
      </c>
      <c r="BP136">
        <v>0</v>
      </c>
      <c r="BQ136">
        <v>-100</v>
      </c>
      <c r="BR136">
        <v>-200</v>
      </c>
      <c r="BS136">
        <v>-1000</v>
      </c>
      <c r="BT136">
        <v>-2000</v>
      </c>
      <c r="BU136">
        <v>-20000</v>
      </c>
      <c r="BV136">
        <v>-100000</v>
      </c>
      <c r="BW136">
        <v>-200000</v>
      </c>
      <c r="BX136">
        <v>-600000</v>
      </c>
    </row>
    <row r="137" spans="1:76" x14ac:dyDescent="0.45">
      <c r="A137" t="s">
        <v>321</v>
      </c>
      <c r="B137">
        <v>4860000</v>
      </c>
      <c r="C137" s="13">
        <v>5.5320727310630082E-4</v>
      </c>
      <c r="D137" s="13">
        <v>5.5320727310630076E-6</v>
      </c>
      <c r="E137" s="13">
        <v>5.5320727310630082E-4</v>
      </c>
      <c r="F137" s="13">
        <v>5.5320727310630076E-6</v>
      </c>
      <c r="G137" s="13">
        <v>5.5320727310630082E-4</v>
      </c>
      <c r="H137" s="1">
        <v>136</v>
      </c>
      <c r="I137">
        <v>36000</v>
      </c>
      <c r="U137">
        <v>2085</v>
      </c>
      <c r="V137">
        <v>48600</v>
      </c>
      <c r="W137" s="13">
        <v>6.0317831663807579E-4</v>
      </c>
      <c r="X137" s="13">
        <f t="shared" si="16"/>
        <v>6.031783166380758E-6</v>
      </c>
      <c r="Y137" s="13">
        <f t="shared" si="17"/>
        <v>6.0317831663807579E-4</v>
      </c>
      <c r="Z137" s="13">
        <f t="shared" si="18"/>
        <v>6.031783166380758E-6</v>
      </c>
      <c r="AA137" s="13">
        <f t="shared" si="19"/>
        <v>6.0317831663807579E-4</v>
      </c>
      <c r="AE137" s="4" t="s">
        <v>55</v>
      </c>
      <c r="AF137" s="14">
        <v>8.6399999999999999E-9</v>
      </c>
      <c r="AG137" s="11">
        <v>8.6400000000000006E-8</v>
      </c>
      <c r="BN137" t="s">
        <v>93</v>
      </c>
      <c r="BO137" s="2">
        <v>800000000</v>
      </c>
      <c r="BP137">
        <v>0</v>
      </c>
      <c r="BQ137">
        <v>-100</v>
      </c>
      <c r="BR137">
        <v>-200</v>
      </c>
      <c r="BS137">
        <v>-1000</v>
      </c>
      <c r="BT137">
        <v>-2000</v>
      </c>
      <c r="BU137">
        <v>-20000</v>
      </c>
      <c r="BV137">
        <v>-100000</v>
      </c>
      <c r="BW137">
        <v>-200000</v>
      </c>
      <c r="BX137">
        <v>-600000</v>
      </c>
    </row>
    <row r="138" spans="1:76" x14ac:dyDescent="0.45">
      <c r="A138" t="s">
        <v>322</v>
      </c>
      <c r="B138">
        <v>4896000</v>
      </c>
      <c r="C138" s="13">
        <v>5.3970317798715474E-4</v>
      </c>
      <c r="D138" s="13">
        <v>5.3970317798715473E-6</v>
      </c>
      <c r="E138" s="13">
        <v>5.3970317798715474E-4</v>
      </c>
      <c r="F138" s="13">
        <v>5.3970317798715473E-6</v>
      </c>
      <c r="G138" s="13">
        <v>5.3970317798715474E-4</v>
      </c>
      <c r="H138" s="1">
        <v>137</v>
      </c>
      <c r="I138">
        <v>36000</v>
      </c>
      <c r="U138">
        <v>2086</v>
      </c>
      <c r="V138">
        <v>48960</v>
      </c>
      <c r="W138" s="13">
        <v>5.3431529879549361E-4</v>
      </c>
      <c r="X138" s="13">
        <f t="shared" si="16"/>
        <v>5.3431529879549362E-6</v>
      </c>
      <c r="Y138" s="13">
        <f t="shared" si="17"/>
        <v>5.3431529879549361E-4</v>
      </c>
      <c r="Z138" s="13">
        <f t="shared" si="18"/>
        <v>5.3431529879549362E-6</v>
      </c>
      <c r="AA138" s="13">
        <f t="shared" si="19"/>
        <v>5.3431529879549361E-4</v>
      </c>
      <c r="AE138" s="4" t="s">
        <v>56</v>
      </c>
      <c r="AF138" s="13">
        <v>86.4</v>
      </c>
      <c r="AG138" s="13">
        <v>86.4</v>
      </c>
      <c r="BN138" t="s">
        <v>94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</row>
    <row r="139" spans="1:76" x14ac:dyDescent="0.45">
      <c r="A139" t="s">
        <v>323</v>
      </c>
      <c r="B139">
        <v>4932000</v>
      </c>
      <c r="C139" s="13">
        <v>5.2981361477011791E-4</v>
      </c>
      <c r="D139" s="13">
        <v>5.298136147701179E-6</v>
      </c>
      <c r="E139" s="13">
        <v>5.2981361477011791E-4</v>
      </c>
      <c r="F139" s="13">
        <v>5.298136147701179E-6</v>
      </c>
      <c r="G139" s="13">
        <v>5.2981361477011791E-4</v>
      </c>
      <c r="H139" s="1">
        <v>138</v>
      </c>
      <c r="I139">
        <v>36000</v>
      </c>
      <c r="U139">
        <v>2087</v>
      </c>
      <c r="V139">
        <v>49320</v>
      </c>
      <c r="W139" s="13">
        <v>9.2650687165257131E-4</v>
      </c>
      <c r="X139" s="13">
        <f t="shared" si="16"/>
        <v>9.2650687165257136E-6</v>
      </c>
      <c r="Y139" s="13">
        <f t="shared" si="17"/>
        <v>9.2650687165257131E-4</v>
      </c>
      <c r="Z139" s="13">
        <f t="shared" si="18"/>
        <v>9.2650687165257136E-6</v>
      </c>
      <c r="AA139" s="13">
        <f t="shared" si="19"/>
        <v>9.2650687165257131E-4</v>
      </c>
      <c r="AE139" s="4" t="s">
        <v>57</v>
      </c>
      <c r="AF139" s="14">
        <v>8.6399999999999999E-9</v>
      </c>
      <c r="AG139" s="11">
        <v>8.6400000000000006E-8</v>
      </c>
      <c r="BN139" t="s">
        <v>94</v>
      </c>
      <c r="BO139" s="2">
        <v>3600000</v>
      </c>
      <c r="BP139">
        <v>0</v>
      </c>
      <c r="BQ139">
        <v>-100</v>
      </c>
      <c r="BR139">
        <v>-200</v>
      </c>
      <c r="BS139">
        <v>-1000</v>
      </c>
      <c r="BT139">
        <v>-2000</v>
      </c>
      <c r="BU139">
        <v>-20000</v>
      </c>
      <c r="BV139">
        <v>-100000</v>
      </c>
      <c r="BW139">
        <v>-200000</v>
      </c>
      <c r="BX139">
        <v>-600000</v>
      </c>
    </row>
    <row r="140" spans="1:76" x14ac:dyDescent="0.45">
      <c r="A140" t="s">
        <v>324</v>
      </c>
      <c r="B140">
        <v>4968000</v>
      </c>
      <c r="C140" s="13">
        <v>5.3657512747202281E-4</v>
      </c>
      <c r="D140" s="13">
        <v>5.3657512747202283E-6</v>
      </c>
      <c r="E140" s="13">
        <v>5.3657512747202281E-4</v>
      </c>
      <c r="F140" s="13">
        <v>5.3657512747202283E-6</v>
      </c>
      <c r="G140" s="13">
        <v>5.3657512747202281E-4</v>
      </c>
      <c r="H140" s="1">
        <v>139</v>
      </c>
      <c r="I140">
        <v>36000</v>
      </c>
      <c r="U140">
        <v>2088</v>
      </c>
      <c r="V140">
        <v>49680</v>
      </c>
      <c r="W140" s="13">
        <v>4.9093461376614072E-4</v>
      </c>
      <c r="X140" s="13">
        <f t="shared" si="16"/>
        <v>4.9093461376614071E-6</v>
      </c>
      <c r="Y140" s="13">
        <f t="shared" si="17"/>
        <v>4.9093461376614072E-4</v>
      </c>
      <c r="Z140" s="13">
        <f t="shared" si="18"/>
        <v>4.9093461376614071E-6</v>
      </c>
      <c r="AA140" s="13">
        <f t="shared" si="19"/>
        <v>4.9093461376614072E-4</v>
      </c>
      <c r="AE140" s="4" t="s">
        <v>58</v>
      </c>
      <c r="AF140" s="13">
        <v>86.4</v>
      </c>
      <c r="AG140" s="13">
        <v>86.4</v>
      </c>
      <c r="BN140" t="s">
        <v>94</v>
      </c>
      <c r="BO140" s="2">
        <v>800000000</v>
      </c>
      <c r="BP140">
        <v>0</v>
      </c>
      <c r="BQ140">
        <v>-100</v>
      </c>
      <c r="BR140">
        <v>-200</v>
      </c>
      <c r="BS140">
        <v>-1000</v>
      </c>
      <c r="BT140">
        <v>-2000</v>
      </c>
      <c r="BU140">
        <v>-20000</v>
      </c>
      <c r="BV140">
        <v>-100000</v>
      </c>
      <c r="BW140">
        <v>-200000</v>
      </c>
      <c r="BX140">
        <v>-600000</v>
      </c>
    </row>
    <row r="141" spans="1:76" x14ac:dyDescent="0.45">
      <c r="A141" t="s">
        <v>325</v>
      </c>
      <c r="B141">
        <v>5004000</v>
      </c>
      <c r="C141" s="13">
        <v>5.7325512164222543E-4</v>
      </c>
      <c r="D141" s="13">
        <v>5.7325512164222536E-6</v>
      </c>
      <c r="E141" s="13">
        <v>5.7325512164222543E-4</v>
      </c>
      <c r="F141" s="13">
        <v>5.7325512164222536E-6</v>
      </c>
      <c r="G141" s="13">
        <v>5.7325512164222543E-4</v>
      </c>
      <c r="H141" s="1">
        <v>140</v>
      </c>
      <c r="I141">
        <v>36000</v>
      </c>
      <c r="U141">
        <v>2089</v>
      </c>
      <c r="V141">
        <v>50040</v>
      </c>
      <c r="W141" s="13">
        <v>4.6471042769603648E-4</v>
      </c>
      <c r="X141" s="13">
        <f t="shared" si="16"/>
        <v>4.6471042769603649E-6</v>
      </c>
      <c r="Y141" s="13">
        <f t="shared" si="17"/>
        <v>4.6471042769603648E-4</v>
      </c>
      <c r="Z141" s="13">
        <f t="shared" si="18"/>
        <v>4.6471042769603649E-6</v>
      </c>
      <c r="AA141" s="13">
        <f t="shared" si="19"/>
        <v>4.6471042769603648E-4</v>
      </c>
      <c r="BN141" t="s">
        <v>95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</row>
    <row r="142" spans="1:76" x14ac:dyDescent="0.45">
      <c r="A142" t="s">
        <v>326</v>
      </c>
      <c r="B142">
        <v>5040000</v>
      </c>
      <c r="C142" s="13">
        <v>5.4803156158054556E-4</v>
      </c>
      <c r="D142" s="13">
        <v>5.4803156158054566E-6</v>
      </c>
      <c r="E142" s="13">
        <v>5.4803156158054556E-4</v>
      </c>
      <c r="F142" s="13">
        <v>5.4803156158054566E-6</v>
      </c>
      <c r="G142" s="13">
        <v>5.4803156158054556E-4</v>
      </c>
      <c r="H142" s="1">
        <v>141</v>
      </c>
      <c r="I142">
        <v>36000</v>
      </c>
      <c r="U142">
        <v>2090</v>
      </c>
      <c r="V142">
        <v>50400</v>
      </c>
      <c r="W142" s="13">
        <v>3.9116170433328728E-4</v>
      </c>
      <c r="X142" s="13">
        <f t="shared" si="16"/>
        <v>3.911617043332873E-6</v>
      </c>
      <c r="Y142" s="13">
        <f t="shared" si="17"/>
        <v>3.9116170433328728E-4</v>
      </c>
      <c r="Z142" s="13">
        <f t="shared" si="18"/>
        <v>3.911617043332873E-6</v>
      </c>
      <c r="AA142" s="13">
        <f t="shared" si="19"/>
        <v>3.9116170433328728E-4</v>
      </c>
      <c r="BN142" t="s">
        <v>95</v>
      </c>
      <c r="BO142" s="2">
        <v>3600000</v>
      </c>
      <c r="BP142">
        <v>0</v>
      </c>
      <c r="BQ142">
        <v>-100</v>
      </c>
      <c r="BR142">
        <v>-200</v>
      </c>
      <c r="BS142">
        <v>-1000</v>
      </c>
      <c r="BT142">
        <v>-2000</v>
      </c>
      <c r="BU142">
        <v>-20000</v>
      </c>
      <c r="BV142">
        <v>-100000</v>
      </c>
      <c r="BW142">
        <v>-200000</v>
      </c>
      <c r="BX142">
        <v>-600000</v>
      </c>
    </row>
    <row r="143" spans="1:76" x14ac:dyDescent="0.45">
      <c r="A143" t="s">
        <v>327</v>
      </c>
      <c r="B143">
        <v>5076000</v>
      </c>
      <c r="C143" s="13">
        <v>5.0767431984555375E-4</v>
      </c>
      <c r="D143" s="13">
        <v>5.0767431984555379E-6</v>
      </c>
      <c r="E143" s="13">
        <v>5.0767431984555375E-4</v>
      </c>
      <c r="F143" s="13">
        <v>5.0767431984555379E-6</v>
      </c>
      <c r="G143" s="13">
        <v>5.0767431984555375E-4</v>
      </c>
      <c r="H143" s="1">
        <v>142</v>
      </c>
      <c r="I143">
        <v>36000</v>
      </c>
      <c r="U143">
        <v>2091</v>
      </c>
      <c r="V143">
        <v>50760</v>
      </c>
      <c r="W143" s="13">
        <v>4.0431038289007962E-4</v>
      </c>
      <c r="X143" s="13">
        <f t="shared" si="16"/>
        <v>4.043103828900796E-6</v>
      </c>
      <c r="Y143" s="13">
        <f t="shared" si="17"/>
        <v>4.0431038289007962E-4</v>
      </c>
      <c r="Z143" s="13">
        <f t="shared" si="18"/>
        <v>4.043103828900796E-6</v>
      </c>
      <c r="AA143" s="13">
        <f t="shared" si="19"/>
        <v>4.0431038289007962E-4</v>
      </c>
      <c r="BN143" t="s">
        <v>95</v>
      </c>
      <c r="BO143" s="2">
        <v>800000000</v>
      </c>
      <c r="BP143">
        <v>0</v>
      </c>
      <c r="BQ143">
        <v>-100</v>
      </c>
      <c r="BR143">
        <v>-200</v>
      </c>
      <c r="BS143">
        <v>-1000</v>
      </c>
      <c r="BT143">
        <v>-2000</v>
      </c>
      <c r="BU143">
        <v>-20000</v>
      </c>
      <c r="BV143">
        <v>-100000</v>
      </c>
      <c r="BW143">
        <v>-200000</v>
      </c>
      <c r="BX143">
        <v>-600000</v>
      </c>
    </row>
    <row r="144" spans="1:76" x14ac:dyDescent="0.45">
      <c r="A144" t="s">
        <v>328</v>
      </c>
      <c r="B144">
        <v>5112000</v>
      </c>
      <c r="C144" s="13">
        <v>5.4193699445552013E-4</v>
      </c>
      <c r="D144" s="13">
        <v>5.4193699445552034E-6</v>
      </c>
      <c r="E144" s="13">
        <v>5.4193699445552013E-4</v>
      </c>
      <c r="F144" s="13">
        <v>5.4193699445552034E-6</v>
      </c>
      <c r="G144" s="13">
        <v>5.4193699445552013E-4</v>
      </c>
      <c r="H144" s="1">
        <v>143</v>
      </c>
      <c r="I144">
        <v>36000</v>
      </c>
      <c r="U144">
        <v>2092</v>
      </c>
      <c r="V144">
        <v>51120</v>
      </c>
      <c r="W144" s="13">
        <v>6.785411243790979E-4</v>
      </c>
      <c r="X144" s="13">
        <f t="shared" si="16"/>
        <v>6.7854112437909794E-6</v>
      </c>
      <c r="Y144" s="13">
        <f t="shared" si="17"/>
        <v>6.785411243790979E-4</v>
      </c>
      <c r="Z144" s="13">
        <f t="shared" si="18"/>
        <v>6.7854112437909794E-6</v>
      </c>
      <c r="AA144" s="13">
        <f t="shared" si="19"/>
        <v>6.785411243790979E-4</v>
      </c>
    </row>
    <row r="145" spans="1:73" x14ac:dyDescent="0.45">
      <c r="A145" t="s">
        <v>329</v>
      </c>
      <c r="B145">
        <v>5148000</v>
      </c>
      <c r="C145" s="13">
        <v>5.4406065810467153E-4</v>
      </c>
      <c r="D145" s="13">
        <v>5.4406065810467148E-6</v>
      </c>
      <c r="E145" s="13">
        <v>5.4406065810467153E-4</v>
      </c>
      <c r="F145" s="13">
        <v>5.4406065810467148E-6</v>
      </c>
      <c r="G145" s="13">
        <v>5.4406065810467153E-4</v>
      </c>
      <c r="H145" s="1">
        <v>144</v>
      </c>
      <c r="I145">
        <v>36000</v>
      </c>
      <c r="U145">
        <v>2093</v>
      </c>
      <c r="V145">
        <v>51480</v>
      </c>
      <c r="W145" s="13">
        <v>7.2348983877483703E-4</v>
      </c>
      <c r="X145" s="13">
        <f t="shared" si="16"/>
        <v>7.2348983877483707E-6</v>
      </c>
      <c r="Y145" s="13">
        <f t="shared" si="17"/>
        <v>7.2348983877483703E-4</v>
      </c>
      <c r="Z145" s="13">
        <f t="shared" si="18"/>
        <v>7.2348983877483707E-6</v>
      </c>
      <c r="AA145" s="13">
        <f t="shared" si="19"/>
        <v>7.2348983877483703E-4</v>
      </c>
    </row>
    <row r="146" spans="1:73" x14ac:dyDescent="0.45">
      <c r="A146" t="s">
        <v>330</v>
      </c>
      <c r="B146">
        <v>5184000</v>
      </c>
      <c r="C146" s="13">
        <v>5.9310170101675654E-4</v>
      </c>
      <c r="D146" s="13">
        <v>5.9310170101675653E-6</v>
      </c>
      <c r="E146" s="13">
        <v>5.9310170101675654E-4</v>
      </c>
      <c r="F146" s="13">
        <v>5.9310170101675653E-6</v>
      </c>
      <c r="G146" s="13">
        <v>5.9310170101675654E-4</v>
      </c>
      <c r="H146" s="1">
        <v>145</v>
      </c>
      <c r="I146">
        <v>36000</v>
      </c>
      <c r="U146">
        <v>2094</v>
      </c>
      <c r="V146">
        <v>51840</v>
      </c>
      <c r="W146" s="13">
        <v>6.5532909863160892E-4</v>
      </c>
      <c r="X146" s="13">
        <f t="shared" si="16"/>
        <v>6.5532909863160895E-6</v>
      </c>
      <c r="Y146" s="13">
        <f t="shared" si="17"/>
        <v>6.5532909863160892E-4</v>
      </c>
      <c r="Z146" s="13">
        <f t="shared" si="18"/>
        <v>6.5532909863160895E-6</v>
      </c>
      <c r="AA146" s="13">
        <f t="shared" si="19"/>
        <v>6.5532909863160892E-4</v>
      </c>
      <c r="BN146" t="s">
        <v>313</v>
      </c>
    </row>
    <row r="147" spans="1:73" x14ac:dyDescent="0.45">
      <c r="A147" t="s">
        <v>331</v>
      </c>
      <c r="B147">
        <v>5220000</v>
      </c>
      <c r="C147" s="13">
        <v>5.6136691494966138E-4</v>
      </c>
      <c r="D147" s="13">
        <v>5.6136691494966137E-6</v>
      </c>
      <c r="E147" s="13">
        <v>5.6136691494966138E-4</v>
      </c>
      <c r="F147" s="13">
        <v>5.6136691494966137E-6</v>
      </c>
      <c r="G147" s="13">
        <v>5.6136691494966138E-4</v>
      </c>
      <c r="H147" s="1">
        <v>146</v>
      </c>
      <c r="I147">
        <v>36000</v>
      </c>
      <c r="U147">
        <v>2095</v>
      </c>
      <c r="V147">
        <v>52200</v>
      </c>
      <c r="W147" s="13">
        <v>7.5474341979737567E-4</v>
      </c>
      <c r="X147" s="13">
        <f t="shared" si="16"/>
        <v>7.5474341979737569E-6</v>
      </c>
      <c r="Y147" s="13">
        <f t="shared" si="17"/>
        <v>7.5474341979737567E-4</v>
      </c>
      <c r="Z147" s="13">
        <f t="shared" si="18"/>
        <v>7.5474341979737569E-6</v>
      </c>
      <c r="AA147" s="13">
        <f t="shared" si="19"/>
        <v>7.5474341979737567E-4</v>
      </c>
      <c r="BN147" t="s">
        <v>89</v>
      </c>
      <c r="BO147" t="s">
        <v>82</v>
      </c>
      <c r="BP147" t="s">
        <v>124</v>
      </c>
      <c r="BQ147" t="s">
        <v>114</v>
      </c>
      <c r="BR147" t="s">
        <v>115</v>
      </c>
      <c r="BS147" t="s">
        <v>116</v>
      </c>
      <c r="BT147" t="s">
        <v>117</v>
      </c>
      <c r="BU147" t="s">
        <v>118</v>
      </c>
    </row>
    <row r="148" spans="1:73" x14ac:dyDescent="0.45">
      <c r="A148" t="s">
        <v>332</v>
      </c>
      <c r="B148">
        <v>5256000</v>
      </c>
      <c r="C148" s="13">
        <v>5.4207687944974302E-4</v>
      </c>
      <c r="D148" s="13">
        <v>5.4207687944974302E-6</v>
      </c>
      <c r="E148" s="13">
        <v>5.4207687944974302E-4</v>
      </c>
      <c r="F148" s="13">
        <v>5.4207687944974302E-6</v>
      </c>
      <c r="G148" s="13">
        <v>5.4207687944974302E-4</v>
      </c>
      <c r="H148" s="1">
        <v>147</v>
      </c>
      <c r="I148">
        <v>36000</v>
      </c>
      <c r="U148">
        <v>2096</v>
      </c>
      <c r="V148">
        <v>52560</v>
      </c>
      <c r="W148" s="13">
        <v>5.7669688744116539E-4</v>
      </c>
      <c r="X148" s="13">
        <f t="shared" si="16"/>
        <v>5.7669688744116542E-6</v>
      </c>
      <c r="Y148" s="13">
        <f t="shared" si="17"/>
        <v>5.7669688744116539E-4</v>
      </c>
      <c r="Z148" s="13">
        <f t="shared" si="18"/>
        <v>5.7669688744116542E-6</v>
      </c>
      <c r="AA148" s="13">
        <f t="shared" si="19"/>
        <v>5.7669688744116539E-4</v>
      </c>
      <c r="BN148" t="s">
        <v>91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spans="1:73" x14ac:dyDescent="0.45">
      <c r="A149" t="s">
        <v>333</v>
      </c>
      <c r="B149">
        <v>5292000</v>
      </c>
      <c r="C149" s="13">
        <v>5.7680816746343488E-4</v>
      </c>
      <c r="D149" s="13">
        <v>5.768081674634349E-6</v>
      </c>
      <c r="E149" s="13">
        <v>5.7680816746343488E-4</v>
      </c>
      <c r="F149" s="13">
        <v>5.768081674634349E-6</v>
      </c>
      <c r="G149" s="13">
        <v>5.7680816746343488E-4</v>
      </c>
      <c r="H149" s="1">
        <v>148</v>
      </c>
      <c r="I149">
        <v>36000</v>
      </c>
      <c r="U149">
        <v>2097</v>
      </c>
      <c r="V149">
        <v>52920</v>
      </c>
      <c r="W149" s="13">
        <v>8.0697176066542612E-4</v>
      </c>
      <c r="X149" s="13">
        <f t="shared" si="16"/>
        <v>8.0697176066542615E-6</v>
      </c>
      <c r="Y149" s="13">
        <f t="shared" si="17"/>
        <v>8.0697176066542612E-4</v>
      </c>
      <c r="Z149" s="13">
        <f t="shared" si="18"/>
        <v>8.0697176066542615E-6</v>
      </c>
      <c r="AA149" s="13">
        <f t="shared" si="19"/>
        <v>8.0697176066542612E-4</v>
      </c>
      <c r="BN149" t="s">
        <v>91</v>
      </c>
      <c r="BO149" s="2">
        <v>3600000</v>
      </c>
      <c r="BP149">
        <v>0</v>
      </c>
      <c r="BQ149">
        <v>-1000</v>
      </c>
      <c r="BR149">
        <v>-10000</v>
      </c>
      <c r="BS149">
        <v>-100000</v>
      </c>
      <c r="BT149">
        <v>-200000</v>
      </c>
      <c r="BU149">
        <v>-600000</v>
      </c>
    </row>
    <row r="150" spans="1:73" x14ac:dyDescent="0.45">
      <c r="A150" t="s">
        <v>334</v>
      </c>
      <c r="B150">
        <v>5328000</v>
      </c>
      <c r="C150" s="13">
        <v>5.6189505512654458E-4</v>
      </c>
      <c r="D150" s="13">
        <v>5.6189505512654464E-6</v>
      </c>
      <c r="E150" s="13">
        <v>5.6189505512654458E-4</v>
      </c>
      <c r="F150" s="13">
        <v>5.6189505512654464E-6</v>
      </c>
      <c r="G150" s="13">
        <v>5.6189505512654458E-4</v>
      </c>
      <c r="H150" s="1">
        <v>149</v>
      </c>
      <c r="I150">
        <v>36000</v>
      </c>
      <c r="U150">
        <v>2098</v>
      </c>
      <c r="V150">
        <v>53280</v>
      </c>
      <c r="W150" s="13">
        <v>6.0999509381094925E-4</v>
      </c>
      <c r="X150" s="13">
        <f t="shared" si="16"/>
        <v>6.0999509381094923E-6</v>
      </c>
      <c r="Y150" s="13">
        <f t="shared" si="17"/>
        <v>6.0999509381094925E-4</v>
      </c>
      <c r="Z150" s="13">
        <f t="shared" si="18"/>
        <v>6.0999509381094923E-6</v>
      </c>
      <c r="AA150" s="13">
        <f t="shared" si="19"/>
        <v>6.0999509381094925E-4</v>
      </c>
      <c r="BN150" t="s">
        <v>91</v>
      </c>
      <c r="BO150" s="2">
        <v>800000000</v>
      </c>
      <c r="BP150">
        <v>0</v>
      </c>
      <c r="BQ150">
        <v>-1000</v>
      </c>
      <c r="BR150">
        <v>-10000</v>
      </c>
      <c r="BS150">
        <v>-100000</v>
      </c>
      <c r="BT150">
        <v>-200000</v>
      </c>
      <c r="BU150">
        <v>-600000</v>
      </c>
    </row>
    <row r="151" spans="1:73" x14ac:dyDescent="0.45">
      <c r="A151" t="s">
        <v>335</v>
      </c>
      <c r="B151">
        <v>5364000</v>
      </c>
      <c r="C151" s="13">
        <v>5.6479068646041739E-4</v>
      </c>
      <c r="D151" s="13">
        <v>5.6479068646041726E-6</v>
      </c>
      <c r="E151" s="13">
        <v>5.6479068646041739E-4</v>
      </c>
      <c r="F151" s="13">
        <v>5.6479068646041726E-6</v>
      </c>
      <c r="G151" s="13">
        <v>5.6479068646041739E-4</v>
      </c>
      <c r="H151" s="1">
        <v>150</v>
      </c>
      <c r="I151">
        <v>36000</v>
      </c>
      <c r="U151">
        <v>2099</v>
      </c>
      <c r="V151">
        <v>53640</v>
      </c>
      <c r="W151" s="13">
        <v>5.3117803129513444E-4</v>
      </c>
      <c r="X151" s="13">
        <f t="shared" si="16"/>
        <v>5.3117803129513445E-6</v>
      </c>
      <c r="Y151" s="13">
        <f t="shared" si="17"/>
        <v>5.3117803129513444E-4</v>
      </c>
      <c r="Z151" s="13">
        <f t="shared" si="18"/>
        <v>5.3117803129513445E-6</v>
      </c>
      <c r="AA151" s="13">
        <f t="shared" si="19"/>
        <v>5.3117803129513444E-4</v>
      </c>
      <c r="BN151" t="s">
        <v>92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spans="1:73" x14ac:dyDescent="0.45">
      <c r="A152" t="s">
        <v>336</v>
      </c>
      <c r="B152">
        <v>5400000</v>
      </c>
      <c r="C152" s="13">
        <v>5.4825777342298486E-4</v>
      </c>
      <c r="D152" s="13">
        <v>5.4825777342298489E-6</v>
      </c>
      <c r="E152" s="13">
        <v>5.4825777342298486E-4</v>
      </c>
      <c r="F152" s="13">
        <v>5.4825777342298489E-6</v>
      </c>
      <c r="G152" s="13">
        <v>5.4825777342298486E-4</v>
      </c>
      <c r="H152" s="1">
        <v>151</v>
      </c>
      <c r="I152">
        <v>36000</v>
      </c>
      <c r="U152">
        <v>2100</v>
      </c>
      <c r="V152">
        <v>54000</v>
      </c>
      <c r="W152" s="13">
        <v>6.8402085428227407E-4</v>
      </c>
      <c r="X152" s="13">
        <f t="shared" si="16"/>
        <v>6.8402085428227409E-6</v>
      </c>
      <c r="Y152" s="13">
        <f t="shared" si="17"/>
        <v>6.8402085428227407E-4</v>
      </c>
      <c r="Z152" s="13">
        <f t="shared" si="18"/>
        <v>6.8402085428227409E-6</v>
      </c>
      <c r="AA152" s="13">
        <f t="shared" si="19"/>
        <v>6.8402085428227407E-4</v>
      </c>
      <c r="BN152" t="s">
        <v>92</v>
      </c>
      <c r="BO152" s="2">
        <v>3600000</v>
      </c>
      <c r="BP152">
        <v>0</v>
      </c>
      <c r="BQ152">
        <v>-1000</v>
      </c>
      <c r="BR152">
        <v>-10000</v>
      </c>
      <c r="BS152">
        <v>-100000</v>
      </c>
      <c r="BT152">
        <v>-200000</v>
      </c>
      <c r="BU152">
        <v>-600000</v>
      </c>
    </row>
    <row r="153" spans="1:73" x14ac:dyDescent="0.45">
      <c r="A153" t="s">
        <v>337</v>
      </c>
      <c r="B153">
        <v>5436000</v>
      </c>
      <c r="C153" s="13">
        <v>5.663516283709025E-4</v>
      </c>
      <c r="D153" s="13">
        <v>5.663516283709025E-6</v>
      </c>
      <c r="E153" s="13">
        <v>5.663516283709025E-4</v>
      </c>
      <c r="F153" s="13">
        <v>5.663516283709025E-6</v>
      </c>
      <c r="G153" s="13">
        <v>5.663516283709025E-4</v>
      </c>
      <c r="H153" s="1">
        <v>152</v>
      </c>
      <c r="I153">
        <v>36000</v>
      </c>
      <c r="U153">
        <v>2101</v>
      </c>
      <c r="V153">
        <v>54360</v>
      </c>
      <c r="W153" s="13">
        <v>5.6115552392589597E-4</v>
      </c>
      <c r="X153" s="13">
        <f t="shared" si="16"/>
        <v>5.6115552392589597E-6</v>
      </c>
      <c r="Y153" s="13">
        <f t="shared" si="17"/>
        <v>5.6115552392589597E-4</v>
      </c>
      <c r="Z153" s="13">
        <f t="shared" si="18"/>
        <v>5.6115552392589597E-6</v>
      </c>
      <c r="AA153" s="13">
        <f t="shared" si="19"/>
        <v>5.6115552392589597E-4</v>
      </c>
      <c r="BN153" t="s">
        <v>92</v>
      </c>
      <c r="BO153" s="2">
        <v>800000000</v>
      </c>
      <c r="BP153">
        <v>0</v>
      </c>
      <c r="BQ153">
        <v>-1000</v>
      </c>
      <c r="BR153">
        <v>-10000</v>
      </c>
      <c r="BS153">
        <v>-100000</v>
      </c>
      <c r="BT153">
        <v>-200000</v>
      </c>
      <c r="BU153">
        <v>-600000</v>
      </c>
    </row>
    <row r="154" spans="1:73" x14ac:dyDescent="0.45">
      <c r="A154" t="s">
        <v>338</v>
      </c>
      <c r="B154">
        <v>5472000</v>
      </c>
      <c r="C154" s="13">
        <v>5.4617208903741019E-4</v>
      </c>
      <c r="D154" s="13">
        <v>5.4617208903741022E-6</v>
      </c>
      <c r="E154" s="13">
        <v>5.4617208903741019E-4</v>
      </c>
      <c r="F154" s="13">
        <v>5.4617208903741022E-6</v>
      </c>
      <c r="G154" s="13">
        <v>5.4617208903741019E-4</v>
      </c>
      <c r="H154" s="1">
        <v>153</v>
      </c>
      <c r="I154">
        <v>36000</v>
      </c>
      <c r="U154">
        <v>2102</v>
      </c>
      <c r="V154">
        <v>20000000</v>
      </c>
      <c r="W154" s="13">
        <v>5.6175108458420442E-4</v>
      </c>
      <c r="X154" s="13">
        <f t="shared" si="16"/>
        <v>5.6175108458420442E-6</v>
      </c>
      <c r="Y154" s="13">
        <f t="shared" si="17"/>
        <v>5.6175108458420442E-4</v>
      </c>
      <c r="Z154" s="13">
        <f t="shared" si="18"/>
        <v>5.6175108458420442E-6</v>
      </c>
      <c r="AA154" s="13">
        <f t="shared" si="19"/>
        <v>5.6175108458420442E-4</v>
      </c>
      <c r="BN154" t="s">
        <v>93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  <row r="155" spans="1:73" x14ac:dyDescent="0.45">
      <c r="A155" t="s">
        <v>339</v>
      </c>
      <c r="B155">
        <v>5508000</v>
      </c>
      <c r="C155" s="13">
        <v>5.4297521962481823E-4</v>
      </c>
      <c r="D155" s="13">
        <v>5.4297521962481822E-6</v>
      </c>
      <c r="E155" s="13">
        <v>5.4297521962481823E-4</v>
      </c>
      <c r="F155" s="13">
        <v>5.4297521962481822E-6</v>
      </c>
      <c r="G155" s="13">
        <v>5.4297521962481823E-4</v>
      </c>
      <c r="H155" s="1">
        <v>154</v>
      </c>
      <c r="I155">
        <v>36000</v>
      </c>
      <c r="BN155" t="s">
        <v>93</v>
      </c>
      <c r="BO155" s="2">
        <v>3600000</v>
      </c>
      <c r="BP155">
        <v>0</v>
      </c>
      <c r="BQ155">
        <v>-1000</v>
      </c>
      <c r="BR155">
        <v>-10000</v>
      </c>
      <c r="BS155">
        <v>-100000</v>
      </c>
      <c r="BT155">
        <v>-200000</v>
      </c>
      <c r="BU155">
        <v>-600000</v>
      </c>
    </row>
    <row r="156" spans="1:73" x14ac:dyDescent="0.45">
      <c r="A156" t="s">
        <v>340</v>
      </c>
      <c r="B156">
        <v>5544000</v>
      </c>
      <c r="C156" s="13">
        <v>5.4256348540342549E-4</v>
      </c>
      <c r="D156" s="13">
        <v>5.4256348540342546E-6</v>
      </c>
      <c r="E156" s="13">
        <v>5.4256348540342549E-4</v>
      </c>
      <c r="F156" s="13">
        <v>5.4256348540342546E-6</v>
      </c>
      <c r="G156" s="13">
        <v>5.4256348540342549E-4</v>
      </c>
      <c r="H156" s="1">
        <v>155</v>
      </c>
      <c r="I156">
        <v>36000</v>
      </c>
      <c r="BN156" t="s">
        <v>93</v>
      </c>
      <c r="BO156" s="2">
        <v>800000000</v>
      </c>
      <c r="BP156">
        <v>0</v>
      </c>
      <c r="BQ156">
        <v>-1000</v>
      </c>
      <c r="BR156">
        <v>-10000</v>
      </c>
      <c r="BS156">
        <v>-100000</v>
      </c>
      <c r="BT156">
        <v>-200000</v>
      </c>
      <c r="BU156">
        <v>-600000</v>
      </c>
    </row>
    <row r="157" spans="1:73" x14ac:dyDescent="0.45">
      <c r="A157" t="s">
        <v>341</v>
      </c>
      <c r="B157">
        <v>5580000</v>
      </c>
      <c r="C157" s="13">
        <v>5.4590872240150234E-4</v>
      </c>
      <c r="D157" s="13">
        <v>5.459087224015024E-6</v>
      </c>
      <c r="E157" s="13">
        <v>5.4590872240150234E-4</v>
      </c>
      <c r="F157" s="13">
        <v>5.459087224015024E-6</v>
      </c>
      <c r="G157" s="13">
        <v>5.4590872240150234E-4</v>
      </c>
      <c r="H157" s="1">
        <v>156</v>
      </c>
      <c r="I157">
        <v>36000</v>
      </c>
      <c r="BN157" t="s">
        <v>94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</row>
    <row r="158" spans="1:73" x14ac:dyDescent="0.45">
      <c r="A158" t="s">
        <v>342</v>
      </c>
      <c r="B158">
        <v>5616000</v>
      </c>
      <c r="C158" s="13">
        <v>5.2345676796947322E-4</v>
      </c>
      <c r="D158" s="13">
        <v>5.2345676796947313E-6</v>
      </c>
      <c r="E158" s="13">
        <v>5.2345676796947322E-4</v>
      </c>
      <c r="F158" s="13">
        <v>5.2345676796947313E-6</v>
      </c>
      <c r="G158" s="13">
        <v>5.2345676796947322E-4</v>
      </c>
      <c r="H158" s="1">
        <v>157</v>
      </c>
      <c r="I158">
        <v>36000</v>
      </c>
      <c r="BN158" t="s">
        <v>94</v>
      </c>
      <c r="BO158" s="2">
        <v>3600000</v>
      </c>
      <c r="BP158">
        <v>0</v>
      </c>
      <c r="BQ158">
        <v>-1000</v>
      </c>
      <c r="BR158">
        <v>-10000</v>
      </c>
      <c r="BS158">
        <v>-100000</v>
      </c>
      <c r="BT158">
        <v>-200000</v>
      </c>
      <c r="BU158">
        <v>-600000</v>
      </c>
    </row>
    <row r="159" spans="1:73" x14ac:dyDescent="0.45">
      <c r="A159" t="s">
        <v>343</v>
      </c>
      <c r="B159">
        <v>5652000</v>
      </c>
      <c r="C159" s="13">
        <v>5.4439518670728704E-4</v>
      </c>
      <c r="D159" s="13">
        <v>5.443951867072871E-6</v>
      </c>
      <c r="E159" s="13">
        <v>5.4439518670728704E-4</v>
      </c>
      <c r="F159" s="13">
        <v>5.443951867072871E-6</v>
      </c>
      <c r="G159" s="13">
        <v>5.4439518670728704E-4</v>
      </c>
      <c r="H159" s="1">
        <v>158</v>
      </c>
      <c r="I159">
        <v>36000</v>
      </c>
      <c r="BN159" t="s">
        <v>94</v>
      </c>
      <c r="BO159" s="2">
        <v>800000000</v>
      </c>
      <c r="BP159">
        <v>0</v>
      </c>
      <c r="BQ159">
        <v>-1000</v>
      </c>
      <c r="BR159">
        <v>-10000</v>
      </c>
      <c r="BS159">
        <v>-100000</v>
      </c>
      <c r="BT159">
        <v>-200000</v>
      </c>
      <c r="BU159">
        <v>-600000</v>
      </c>
    </row>
    <row r="160" spans="1:73" x14ac:dyDescent="0.45">
      <c r="A160" t="s">
        <v>344</v>
      </c>
      <c r="B160">
        <v>5688000</v>
      </c>
      <c r="C160" s="13">
        <v>5.3960127816494844E-4</v>
      </c>
      <c r="D160" s="13">
        <v>5.3960127816494847E-6</v>
      </c>
      <c r="E160" s="13">
        <v>5.3960127816494844E-4</v>
      </c>
      <c r="F160" s="13">
        <v>5.3960127816494847E-6</v>
      </c>
      <c r="G160" s="13">
        <v>5.3960127816494844E-4</v>
      </c>
      <c r="H160" s="1">
        <v>159</v>
      </c>
      <c r="I160">
        <v>36000</v>
      </c>
      <c r="BN160" t="s">
        <v>95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spans="1:73" x14ac:dyDescent="0.45">
      <c r="A161" t="s">
        <v>345</v>
      </c>
      <c r="B161">
        <v>5724000</v>
      </c>
      <c r="C161" s="13">
        <v>5.4195836026967969E-4</v>
      </c>
      <c r="D161" s="13">
        <v>5.4195836026967966E-6</v>
      </c>
      <c r="E161" s="13">
        <v>5.4195836026967969E-4</v>
      </c>
      <c r="F161" s="13">
        <v>5.4195836026967966E-6</v>
      </c>
      <c r="G161" s="13">
        <v>5.4195836026967969E-4</v>
      </c>
      <c r="H161" s="1">
        <v>160</v>
      </c>
      <c r="I161">
        <v>36000</v>
      </c>
      <c r="BN161" t="s">
        <v>95</v>
      </c>
      <c r="BO161" s="2">
        <v>3600000</v>
      </c>
      <c r="BP161">
        <v>0</v>
      </c>
      <c r="BQ161">
        <v>-1000</v>
      </c>
      <c r="BR161">
        <v>-10000</v>
      </c>
      <c r="BS161">
        <v>-100000</v>
      </c>
      <c r="BT161">
        <v>-200000</v>
      </c>
      <c r="BU161">
        <v>-600000</v>
      </c>
    </row>
    <row r="162" spans="1:73" x14ac:dyDescent="0.45">
      <c r="A162" t="s">
        <v>346</v>
      </c>
      <c r="B162">
        <v>5760000</v>
      </c>
      <c r="C162" s="13">
        <v>5.6842831772850144E-4</v>
      </c>
      <c r="D162" s="13">
        <v>5.6842831772850141E-6</v>
      </c>
      <c r="E162" s="13">
        <v>5.6842831772850144E-4</v>
      </c>
      <c r="F162" s="13">
        <v>5.6842831772850141E-6</v>
      </c>
      <c r="G162" s="13">
        <v>5.6842831772850144E-4</v>
      </c>
      <c r="H162" s="1">
        <v>161</v>
      </c>
      <c r="I162">
        <v>36000</v>
      </c>
      <c r="BN162" t="s">
        <v>95</v>
      </c>
      <c r="BO162" s="2">
        <v>800000000</v>
      </c>
      <c r="BP162">
        <v>0</v>
      </c>
      <c r="BQ162">
        <v>-1000</v>
      </c>
      <c r="BR162">
        <v>-10000</v>
      </c>
      <c r="BS162">
        <v>-100000</v>
      </c>
      <c r="BT162">
        <v>-200000</v>
      </c>
      <c r="BU162">
        <v>-600000</v>
      </c>
    </row>
    <row r="163" spans="1:73" x14ac:dyDescent="0.45">
      <c r="A163" t="s">
        <v>347</v>
      </c>
      <c r="B163">
        <v>5796000</v>
      </c>
      <c r="C163" s="13">
        <v>5.1683819506558352E-4</v>
      </c>
      <c r="D163" s="13">
        <v>5.1683819506558351E-6</v>
      </c>
      <c r="E163" s="13">
        <v>5.1683819506558352E-4</v>
      </c>
      <c r="F163" s="13">
        <v>5.1683819506558351E-6</v>
      </c>
      <c r="G163" s="13">
        <v>5.1683819506558352E-4</v>
      </c>
      <c r="H163" s="1">
        <v>162</v>
      </c>
      <c r="I163">
        <v>36000</v>
      </c>
    </row>
    <row r="164" spans="1:73" x14ac:dyDescent="0.45">
      <c r="A164" t="s">
        <v>348</v>
      </c>
      <c r="B164">
        <v>5832000</v>
      </c>
      <c r="C164" s="13">
        <v>5.2843081926747686E-4</v>
      </c>
      <c r="D164" s="13">
        <v>5.2843081926747689E-6</v>
      </c>
      <c r="E164" s="13">
        <v>5.2843081926747686E-4</v>
      </c>
      <c r="F164" s="13">
        <v>5.2843081926747689E-6</v>
      </c>
      <c r="G164" s="13">
        <v>5.2843081926747686E-4</v>
      </c>
      <c r="H164" s="1">
        <v>163</v>
      </c>
      <c r="I164">
        <v>36000</v>
      </c>
    </row>
    <row r="165" spans="1:73" x14ac:dyDescent="0.45">
      <c r="A165" t="s">
        <v>349</v>
      </c>
      <c r="B165">
        <v>5868000</v>
      </c>
      <c r="C165" s="13">
        <v>5.6692699380641199E-4</v>
      </c>
      <c r="D165" s="13">
        <v>5.6692699380641196E-6</v>
      </c>
      <c r="E165" s="13">
        <v>5.6692699380641199E-4</v>
      </c>
      <c r="F165" s="13">
        <v>5.6692699380641196E-6</v>
      </c>
      <c r="G165" s="13">
        <v>5.6692699380641199E-4</v>
      </c>
      <c r="H165" s="1">
        <v>164</v>
      </c>
      <c r="I165">
        <v>36000</v>
      </c>
    </row>
    <row r="166" spans="1:73" x14ac:dyDescent="0.45">
      <c r="A166" t="s">
        <v>350</v>
      </c>
      <c r="B166">
        <v>5904000</v>
      </c>
      <c r="C166" s="13">
        <v>5.9526873047479906E-4</v>
      </c>
      <c r="D166" s="13">
        <v>5.9526873047479897E-6</v>
      </c>
      <c r="E166" s="13">
        <v>5.9526873047479906E-4</v>
      </c>
      <c r="F166" s="13">
        <v>5.9526873047479897E-6</v>
      </c>
      <c r="G166" s="13">
        <v>5.9526873047479906E-4</v>
      </c>
      <c r="H166" s="1">
        <v>165</v>
      </c>
      <c r="I166">
        <v>36000</v>
      </c>
    </row>
    <row r="167" spans="1:73" x14ac:dyDescent="0.45">
      <c r="A167" t="s">
        <v>351</v>
      </c>
      <c r="B167">
        <v>5940000</v>
      </c>
      <c r="C167" s="13">
        <v>5.4043744054418333E-4</v>
      </c>
      <c r="D167" s="13">
        <v>5.4043744054418341E-6</v>
      </c>
      <c r="E167" s="13">
        <v>5.4043744054418333E-4</v>
      </c>
      <c r="F167" s="13">
        <v>5.4043744054418341E-6</v>
      </c>
      <c r="G167" s="13">
        <v>5.4043744054418333E-4</v>
      </c>
      <c r="H167" s="1">
        <v>166</v>
      </c>
      <c r="I167">
        <v>36000</v>
      </c>
    </row>
    <row r="168" spans="1:73" x14ac:dyDescent="0.45">
      <c r="A168" t="s">
        <v>352</v>
      </c>
      <c r="B168">
        <v>5976000</v>
      </c>
      <c r="C168" s="13">
        <v>5.546522174026962E-4</v>
      </c>
      <c r="D168" s="13">
        <v>5.5465221740269614E-6</v>
      </c>
      <c r="E168" s="13">
        <v>5.546522174026962E-4</v>
      </c>
      <c r="F168" s="13">
        <v>5.5465221740269614E-6</v>
      </c>
      <c r="G168" s="13">
        <v>5.546522174026962E-4</v>
      </c>
      <c r="H168" s="1">
        <v>167</v>
      </c>
      <c r="I168">
        <v>36000</v>
      </c>
    </row>
    <row r="169" spans="1:73" x14ac:dyDescent="0.45">
      <c r="A169" t="s">
        <v>353</v>
      </c>
      <c r="B169">
        <v>6012000</v>
      </c>
      <c r="C169" s="13">
        <v>5.5852427238067587E-4</v>
      </c>
      <c r="D169" s="13">
        <v>5.5852427238067586E-6</v>
      </c>
      <c r="E169" s="13">
        <v>5.5852427238067587E-4</v>
      </c>
      <c r="F169" s="13">
        <v>5.5852427238067586E-6</v>
      </c>
      <c r="G169" s="13">
        <v>5.5852427238067587E-4</v>
      </c>
      <c r="H169" s="1">
        <v>168</v>
      </c>
      <c r="I169">
        <v>36000</v>
      </c>
    </row>
    <row r="170" spans="1:73" x14ac:dyDescent="0.45">
      <c r="A170" t="s">
        <v>354</v>
      </c>
      <c r="B170">
        <v>6048000</v>
      </c>
      <c r="C170" s="13">
        <v>6.0001618530151099E-4</v>
      </c>
      <c r="D170" s="13">
        <v>6.0001618530151104E-6</v>
      </c>
      <c r="E170" s="13">
        <v>6.0001618530151099E-4</v>
      </c>
      <c r="F170" s="13">
        <v>6.0001618530151104E-6</v>
      </c>
      <c r="G170" s="13">
        <v>6.0001618530151099E-4</v>
      </c>
      <c r="H170" s="1">
        <v>169</v>
      </c>
      <c r="I170">
        <v>36000</v>
      </c>
    </row>
    <row r="171" spans="1:73" x14ac:dyDescent="0.45">
      <c r="A171" t="s">
        <v>355</v>
      </c>
      <c r="B171">
        <v>6084000</v>
      </c>
      <c r="C171" s="13">
        <v>5.6764786443070237E-4</v>
      </c>
      <c r="D171" s="13">
        <v>5.6764786443070238E-6</v>
      </c>
      <c r="E171" s="13">
        <v>5.6764786443070237E-4</v>
      </c>
      <c r="F171" s="13">
        <v>5.6764786443070238E-6</v>
      </c>
      <c r="G171" s="13">
        <v>5.6764786443070237E-4</v>
      </c>
      <c r="H171" s="1">
        <v>170</v>
      </c>
      <c r="I171">
        <v>36000</v>
      </c>
    </row>
    <row r="172" spans="1:73" x14ac:dyDescent="0.45">
      <c r="A172" t="s">
        <v>356</v>
      </c>
      <c r="B172">
        <v>6120000</v>
      </c>
      <c r="C172" s="13">
        <v>5.866519392757043E-4</v>
      </c>
      <c r="D172" s="13">
        <v>5.866519392757043E-6</v>
      </c>
      <c r="E172" s="13">
        <v>5.866519392757043E-4</v>
      </c>
      <c r="F172" s="13">
        <v>5.866519392757043E-6</v>
      </c>
      <c r="G172" s="13">
        <v>5.866519392757043E-4</v>
      </c>
      <c r="H172" s="1">
        <v>171</v>
      </c>
      <c r="I172">
        <v>36000</v>
      </c>
    </row>
    <row r="173" spans="1:73" x14ac:dyDescent="0.45">
      <c r="A173" t="s">
        <v>357</v>
      </c>
      <c r="B173">
        <v>6156000</v>
      </c>
      <c r="C173" s="13">
        <v>5.2386258027421328E-4</v>
      </c>
      <c r="D173" s="13">
        <v>5.2386258027421316E-6</v>
      </c>
      <c r="E173" s="13">
        <v>5.2386258027421328E-4</v>
      </c>
      <c r="F173" s="13">
        <v>5.2386258027421316E-6</v>
      </c>
      <c r="G173" s="13">
        <v>5.2386258027421328E-4</v>
      </c>
      <c r="H173" s="1">
        <v>172</v>
      </c>
      <c r="I173">
        <v>36000</v>
      </c>
    </row>
    <row r="174" spans="1:73" x14ac:dyDescent="0.45">
      <c r="A174" t="s">
        <v>358</v>
      </c>
      <c r="B174">
        <v>6192000</v>
      </c>
      <c r="C174" s="13">
        <v>5.6632488596835456E-4</v>
      </c>
      <c r="D174" s="13">
        <v>5.663248859683546E-6</v>
      </c>
      <c r="E174" s="13">
        <v>5.6632488596835456E-4</v>
      </c>
      <c r="F174" s="13">
        <v>5.663248859683546E-6</v>
      </c>
      <c r="G174" s="13">
        <v>5.6632488596835456E-4</v>
      </c>
      <c r="H174" s="1">
        <v>173</v>
      </c>
      <c r="I174">
        <v>36000</v>
      </c>
    </row>
    <row r="175" spans="1:73" x14ac:dyDescent="0.45">
      <c r="A175" t="s">
        <v>359</v>
      </c>
      <c r="B175">
        <v>6228000</v>
      </c>
      <c r="C175" s="13">
        <v>5.9586942733376523E-4</v>
      </c>
      <c r="D175" s="13">
        <v>5.958694273337652E-6</v>
      </c>
      <c r="E175" s="13">
        <v>5.9586942733376523E-4</v>
      </c>
      <c r="F175" s="13">
        <v>5.958694273337652E-6</v>
      </c>
      <c r="G175" s="13">
        <v>5.9586942733376523E-4</v>
      </c>
      <c r="H175" s="1">
        <v>174</v>
      </c>
      <c r="I175">
        <v>36000</v>
      </c>
    </row>
    <row r="176" spans="1:73" x14ac:dyDescent="0.45">
      <c r="A176" t="s">
        <v>360</v>
      </c>
      <c r="B176">
        <v>6264000</v>
      </c>
      <c r="C176" s="13">
        <v>5.7768547271220693E-4</v>
      </c>
      <c r="D176" s="13">
        <v>5.7768547271220688E-6</v>
      </c>
      <c r="E176" s="13">
        <v>5.7768547271220693E-4</v>
      </c>
      <c r="F176" s="13">
        <v>5.7768547271220688E-6</v>
      </c>
      <c r="G176" s="13">
        <v>5.7768547271220693E-4</v>
      </c>
      <c r="H176" s="1">
        <v>175</v>
      </c>
      <c r="I176">
        <v>36000</v>
      </c>
    </row>
    <row r="177" spans="1:9" x14ac:dyDescent="0.45">
      <c r="A177" t="s">
        <v>361</v>
      </c>
      <c r="B177">
        <v>6300000</v>
      </c>
      <c r="C177" s="13">
        <v>5.9558767657298239E-4</v>
      </c>
      <c r="D177" s="13">
        <v>5.9558767657298234E-6</v>
      </c>
      <c r="E177" s="13">
        <v>5.9558767657298239E-4</v>
      </c>
      <c r="F177" s="13">
        <v>5.9558767657298234E-6</v>
      </c>
      <c r="G177" s="13">
        <v>5.9558767657298239E-4</v>
      </c>
      <c r="H177" s="1">
        <v>176</v>
      </c>
      <c r="I177">
        <v>36000</v>
      </c>
    </row>
    <row r="178" spans="1:9" x14ac:dyDescent="0.45">
      <c r="A178" t="s">
        <v>362</v>
      </c>
      <c r="B178">
        <v>6336000</v>
      </c>
      <c r="C178" s="13">
        <v>5.8695582782231786E-4</v>
      </c>
      <c r="D178" s="13">
        <v>5.8695582782231789E-6</v>
      </c>
      <c r="E178" s="13">
        <v>5.8695582782231786E-4</v>
      </c>
      <c r="F178" s="13">
        <v>5.8695582782231789E-6</v>
      </c>
      <c r="G178" s="13">
        <v>5.8695582782231786E-4</v>
      </c>
      <c r="H178" s="1">
        <v>177</v>
      </c>
      <c r="I178">
        <v>36000</v>
      </c>
    </row>
    <row r="179" spans="1:9" x14ac:dyDescent="0.45">
      <c r="A179" t="s">
        <v>363</v>
      </c>
      <c r="B179">
        <v>6372000</v>
      </c>
      <c r="C179" s="13">
        <v>5.8471871515687482E-4</v>
      </c>
      <c r="D179" s="13">
        <v>5.8471871515687481E-6</v>
      </c>
      <c r="E179" s="13">
        <v>5.8471871515687482E-4</v>
      </c>
      <c r="F179" s="13">
        <v>5.8471871515687481E-6</v>
      </c>
      <c r="G179" s="13">
        <v>5.8471871515687482E-4</v>
      </c>
      <c r="H179" s="1">
        <v>178</v>
      </c>
      <c r="I179">
        <v>36000</v>
      </c>
    </row>
    <row r="180" spans="1:9" x14ac:dyDescent="0.45">
      <c r="A180" t="s">
        <v>364</v>
      </c>
      <c r="B180">
        <v>6408000</v>
      </c>
      <c r="C180" s="13">
        <v>5.6399428415836563E-4</v>
      </c>
      <c r="D180" s="13">
        <v>5.6399428415836572E-6</v>
      </c>
      <c r="E180" s="13">
        <v>5.6399428415836563E-4</v>
      </c>
      <c r="F180" s="13">
        <v>5.6399428415836572E-6</v>
      </c>
      <c r="G180" s="13">
        <v>5.6399428415836563E-4</v>
      </c>
      <c r="H180" s="1">
        <v>179</v>
      </c>
      <c r="I180">
        <v>36000</v>
      </c>
    </row>
    <row r="181" spans="1:9" x14ac:dyDescent="0.45">
      <c r="A181" t="s">
        <v>365</v>
      </c>
      <c r="B181">
        <v>6444000</v>
      </c>
      <c r="C181" s="13">
        <v>5.6699468413706083E-4</v>
      </c>
      <c r="D181" s="13">
        <v>5.6699468413706079E-6</v>
      </c>
      <c r="E181" s="13">
        <v>5.6699468413706083E-4</v>
      </c>
      <c r="F181" s="13">
        <v>5.6699468413706079E-6</v>
      </c>
      <c r="G181" s="13">
        <v>5.6699468413706083E-4</v>
      </c>
      <c r="H181" s="1">
        <v>180</v>
      </c>
      <c r="I181">
        <v>36000</v>
      </c>
    </row>
    <row r="182" spans="1:9" x14ac:dyDescent="0.45">
      <c r="A182" t="s">
        <v>366</v>
      </c>
      <c r="B182">
        <v>6480000</v>
      </c>
      <c r="C182" s="13">
        <v>5.832937479450268E-4</v>
      </c>
      <c r="D182" s="13">
        <v>5.8329374794502681E-6</v>
      </c>
      <c r="E182" s="13">
        <v>5.832937479450268E-4</v>
      </c>
      <c r="F182" s="13">
        <v>5.8329374794502681E-6</v>
      </c>
      <c r="G182" s="13">
        <v>5.832937479450268E-4</v>
      </c>
      <c r="H182" s="1">
        <v>181</v>
      </c>
      <c r="I182">
        <v>36000</v>
      </c>
    </row>
    <row r="183" spans="1:9" x14ac:dyDescent="0.45">
      <c r="A183" t="s">
        <v>367</v>
      </c>
      <c r="B183">
        <v>6516000</v>
      </c>
      <c r="C183" s="13">
        <v>5.6789470352291765E-4</v>
      </c>
      <c r="D183" s="13">
        <v>5.6789470352291754E-6</v>
      </c>
      <c r="E183" s="13">
        <v>5.6789470352291765E-4</v>
      </c>
      <c r="F183" s="13">
        <v>5.6789470352291754E-6</v>
      </c>
      <c r="G183" s="13">
        <v>5.6789470352291765E-4</v>
      </c>
      <c r="H183" s="1">
        <v>182</v>
      </c>
      <c r="I183">
        <v>36000</v>
      </c>
    </row>
    <row r="184" spans="1:9" x14ac:dyDescent="0.45">
      <c r="A184" t="s">
        <v>368</v>
      </c>
      <c r="B184">
        <v>6552000</v>
      </c>
      <c r="C184" s="13">
        <v>5.7838409981616134E-4</v>
      </c>
      <c r="D184" s="13">
        <v>5.7838409981616133E-6</v>
      </c>
      <c r="E184" s="13">
        <v>5.7838409981616134E-4</v>
      </c>
      <c r="F184" s="13">
        <v>5.7838409981616133E-6</v>
      </c>
      <c r="G184" s="13">
        <v>5.7838409981616134E-4</v>
      </c>
      <c r="H184" s="1">
        <v>183</v>
      </c>
      <c r="I184">
        <v>36000</v>
      </c>
    </row>
    <row r="185" spans="1:9" x14ac:dyDescent="0.45">
      <c r="A185" t="s">
        <v>369</v>
      </c>
      <c r="B185">
        <v>6588000</v>
      </c>
      <c r="C185" s="13">
        <v>5.8796232881764307E-4</v>
      </c>
      <c r="D185" s="13">
        <v>5.8796232881764312E-6</v>
      </c>
      <c r="E185" s="13">
        <v>5.8796232881764307E-4</v>
      </c>
      <c r="F185" s="13">
        <v>5.8796232881764312E-6</v>
      </c>
      <c r="G185" s="13">
        <v>5.8796232881764307E-4</v>
      </c>
      <c r="H185" s="1">
        <v>184</v>
      </c>
      <c r="I185">
        <v>36000</v>
      </c>
    </row>
    <row r="186" spans="1:9" x14ac:dyDescent="0.45">
      <c r="A186" t="s">
        <v>370</v>
      </c>
      <c r="B186">
        <v>6624000</v>
      </c>
      <c r="C186" s="13">
        <v>6.1525613941874088E-4</v>
      </c>
      <c r="D186" s="13">
        <v>6.1525613941874083E-6</v>
      </c>
      <c r="E186" s="13">
        <v>6.1525613941874088E-4</v>
      </c>
      <c r="F186" s="13">
        <v>6.1525613941874083E-6</v>
      </c>
      <c r="G186" s="13">
        <v>6.1525613941874088E-4</v>
      </c>
      <c r="H186" s="1">
        <v>185</v>
      </c>
      <c r="I186">
        <v>36000</v>
      </c>
    </row>
    <row r="187" spans="1:9" x14ac:dyDescent="0.45">
      <c r="A187" t="s">
        <v>371</v>
      </c>
      <c r="B187">
        <v>6660000</v>
      </c>
      <c r="C187" s="13">
        <v>5.6126711364166688E-4</v>
      </c>
      <c r="D187" s="13">
        <v>5.612671136416669E-6</v>
      </c>
      <c r="E187" s="13">
        <v>5.6126711364166688E-4</v>
      </c>
      <c r="F187" s="13">
        <v>5.612671136416669E-6</v>
      </c>
      <c r="G187" s="13">
        <v>5.6126711364166688E-4</v>
      </c>
      <c r="H187" s="1">
        <v>186</v>
      </c>
      <c r="I187">
        <v>36000</v>
      </c>
    </row>
    <row r="188" spans="1:9" x14ac:dyDescent="0.45">
      <c r="A188" t="s">
        <v>372</v>
      </c>
      <c r="B188">
        <v>6696000</v>
      </c>
      <c r="C188" s="13">
        <v>5.807790158276207E-4</v>
      </c>
      <c r="D188" s="13">
        <v>5.8077901582762071E-6</v>
      </c>
      <c r="E188" s="13">
        <v>5.807790158276207E-4</v>
      </c>
      <c r="F188" s="13">
        <v>5.8077901582762071E-6</v>
      </c>
      <c r="G188" s="13">
        <v>5.807790158276207E-4</v>
      </c>
      <c r="H188" s="1">
        <v>187</v>
      </c>
      <c r="I188">
        <v>36000</v>
      </c>
    </row>
    <row r="189" spans="1:9" x14ac:dyDescent="0.45">
      <c r="A189" t="s">
        <v>373</v>
      </c>
      <c r="B189">
        <v>6732000</v>
      </c>
      <c r="C189" s="13">
        <v>5.6808072877890571E-4</v>
      </c>
      <c r="D189" s="13">
        <v>5.6808072877890567E-6</v>
      </c>
      <c r="E189" s="13">
        <v>5.6808072877890571E-4</v>
      </c>
      <c r="F189" s="13">
        <v>5.6808072877890567E-6</v>
      </c>
      <c r="G189" s="13">
        <v>5.6808072877890571E-4</v>
      </c>
      <c r="H189" s="1">
        <v>188</v>
      </c>
      <c r="I189">
        <v>36000</v>
      </c>
    </row>
    <row r="190" spans="1:9" x14ac:dyDescent="0.45">
      <c r="A190" t="s">
        <v>374</v>
      </c>
      <c r="B190">
        <v>6768000</v>
      </c>
      <c r="C190" s="13">
        <v>5.6546319369958501E-4</v>
      </c>
      <c r="D190" s="13">
        <v>5.6546319369958514E-6</v>
      </c>
      <c r="E190" s="13">
        <v>5.6546319369958501E-4</v>
      </c>
      <c r="F190" s="13">
        <v>5.6546319369958514E-6</v>
      </c>
      <c r="G190" s="13">
        <v>5.6546319369958501E-4</v>
      </c>
      <c r="H190" s="1">
        <v>189</v>
      </c>
      <c r="I190">
        <v>36000</v>
      </c>
    </row>
    <row r="191" spans="1:9" x14ac:dyDescent="0.45">
      <c r="A191" t="s">
        <v>375</v>
      </c>
      <c r="B191">
        <v>6804000</v>
      </c>
      <c r="C191" s="13">
        <v>5.8201144863307232E-4</v>
      </c>
      <c r="D191" s="13">
        <v>5.820114486330723E-6</v>
      </c>
      <c r="E191" s="13">
        <v>5.8201144863307232E-4</v>
      </c>
      <c r="F191" s="13">
        <v>5.820114486330723E-6</v>
      </c>
      <c r="G191" s="13">
        <v>5.8201144863307232E-4</v>
      </c>
      <c r="H191" s="1">
        <v>190</v>
      </c>
      <c r="I191">
        <v>36000</v>
      </c>
    </row>
    <row r="192" spans="1:9" x14ac:dyDescent="0.45">
      <c r="A192" t="s">
        <v>376</v>
      </c>
      <c r="B192">
        <v>6840000</v>
      </c>
      <c r="C192" s="13">
        <v>5.7329833387245667E-4</v>
      </c>
      <c r="D192" s="13">
        <v>5.7329833387245667E-6</v>
      </c>
      <c r="E192" s="13">
        <v>5.7329833387245667E-4</v>
      </c>
      <c r="F192" s="13">
        <v>5.7329833387245667E-6</v>
      </c>
      <c r="G192" s="13">
        <v>5.7329833387245667E-4</v>
      </c>
      <c r="H192" s="1">
        <v>191</v>
      </c>
      <c r="I192">
        <v>36000</v>
      </c>
    </row>
    <row r="193" spans="1:9" x14ac:dyDescent="0.45">
      <c r="A193" t="s">
        <v>377</v>
      </c>
      <c r="B193">
        <v>6876000</v>
      </c>
      <c r="C193" s="13">
        <v>5.6301982317487852E-4</v>
      </c>
      <c r="D193" s="13">
        <v>5.6301982317487864E-6</v>
      </c>
      <c r="E193" s="13">
        <v>5.6301982317487852E-4</v>
      </c>
      <c r="F193" s="13">
        <v>5.6301982317487864E-6</v>
      </c>
      <c r="G193" s="13">
        <v>5.6301982317487852E-4</v>
      </c>
      <c r="H193" s="1">
        <v>192</v>
      </c>
      <c r="I193">
        <v>36000</v>
      </c>
    </row>
    <row r="194" spans="1:9" x14ac:dyDescent="0.45">
      <c r="A194" t="s">
        <v>378</v>
      </c>
      <c r="B194">
        <v>6912000</v>
      </c>
      <c r="C194" s="13">
        <v>5.799785455916362E-4</v>
      </c>
      <c r="D194" s="13">
        <v>5.799785455916362E-6</v>
      </c>
      <c r="E194" s="13">
        <v>5.799785455916362E-4</v>
      </c>
      <c r="F194" s="13">
        <v>5.799785455916362E-6</v>
      </c>
      <c r="G194" s="13">
        <v>5.799785455916362E-4</v>
      </c>
      <c r="H194" s="1">
        <v>193</v>
      </c>
      <c r="I194">
        <v>36000</v>
      </c>
    </row>
    <row r="195" spans="1:9" x14ac:dyDescent="0.45">
      <c r="A195" t="s">
        <v>379</v>
      </c>
      <c r="B195">
        <v>6948000</v>
      </c>
      <c r="C195" s="13">
        <v>5.8431572479348225E-4</v>
      </c>
      <c r="D195" s="13">
        <v>5.8431572479348218E-6</v>
      </c>
      <c r="E195" s="13">
        <v>5.8431572479348225E-4</v>
      </c>
      <c r="F195" s="13">
        <v>5.8431572479348218E-6</v>
      </c>
      <c r="G195" s="13">
        <v>5.8431572479348225E-4</v>
      </c>
      <c r="H195" s="1">
        <v>194</v>
      </c>
      <c r="I195">
        <v>36000</v>
      </c>
    </row>
    <row r="196" spans="1:9" x14ac:dyDescent="0.45">
      <c r="A196" t="s">
        <v>380</v>
      </c>
      <c r="B196">
        <v>6984000</v>
      </c>
      <c r="C196" s="13">
        <v>5.3565474626599734E-4</v>
      </c>
      <c r="D196" s="13">
        <v>5.3565474626599724E-6</v>
      </c>
      <c r="E196" s="13">
        <v>5.3565474626599734E-4</v>
      </c>
      <c r="F196" s="13">
        <v>5.3565474626599724E-6</v>
      </c>
      <c r="G196" s="13">
        <v>5.3565474626599734E-4</v>
      </c>
      <c r="H196" s="1">
        <v>195</v>
      </c>
      <c r="I196">
        <v>36000</v>
      </c>
    </row>
    <row r="197" spans="1:9" x14ac:dyDescent="0.45">
      <c r="A197" t="s">
        <v>381</v>
      </c>
      <c r="B197">
        <v>7020000</v>
      </c>
      <c r="C197" s="13">
        <v>5.6384517646575108E-4</v>
      </c>
      <c r="D197" s="13">
        <v>5.6384517646575104E-6</v>
      </c>
      <c r="E197" s="13">
        <v>5.6384517646575108E-4</v>
      </c>
      <c r="F197" s="13">
        <v>5.6384517646575104E-6</v>
      </c>
      <c r="G197" s="13">
        <v>5.6384517646575108E-4</v>
      </c>
      <c r="H197" s="1">
        <v>196</v>
      </c>
      <c r="I197">
        <v>36000</v>
      </c>
    </row>
    <row r="198" spans="1:9" x14ac:dyDescent="0.45">
      <c r="A198" t="s">
        <v>382</v>
      </c>
      <c r="B198">
        <v>7056000</v>
      </c>
      <c r="C198" s="13">
        <v>5.5550882767076886E-4</v>
      </c>
      <c r="D198" s="13">
        <v>5.555088276707689E-6</v>
      </c>
      <c r="E198" s="13">
        <v>5.5550882767076886E-4</v>
      </c>
      <c r="F198" s="13">
        <v>5.555088276707689E-6</v>
      </c>
      <c r="G198" s="13">
        <v>5.5550882767076886E-4</v>
      </c>
      <c r="H198" s="1">
        <v>197</v>
      </c>
      <c r="I198">
        <v>36000</v>
      </c>
    </row>
    <row r="199" spans="1:9" x14ac:dyDescent="0.45">
      <c r="A199" t="s">
        <v>383</v>
      </c>
      <c r="B199">
        <v>7092000</v>
      </c>
      <c r="C199" s="13">
        <v>5.9604645592270218E-4</v>
      </c>
      <c r="D199" s="13">
        <v>5.9604645592270216E-6</v>
      </c>
      <c r="E199" s="13">
        <v>5.9604645592270218E-4</v>
      </c>
      <c r="F199" s="13">
        <v>5.9604645592270216E-6</v>
      </c>
      <c r="G199" s="13">
        <v>5.9604645592270218E-4</v>
      </c>
      <c r="H199" s="1">
        <v>198</v>
      </c>
      <c r="I199">
        <v>36000</v>
      </c>
    </row>
    <row r="200" spans="1:9" x14ac:dyDescent="0.45">
      <c r="A200" t="s">
        <v>384</v>
      </c>
      <c r="B200">
        <v>7128000</v>
      </c>
      <c r="C200" s="13">
        <v>5.8387038442197267E-4</v>
      </c>
      <c r="D200" s="13">
        <v>5.8387038442197268E-6</v>
      </c>
      <c r="E200" s="13">
        <v>5.8387038442197267E-4</v>
      </c>
      <c r="F200" s="13">
        <v>5.8387038442197268E-6</v>
      </c>
      <c r="G200" s="13">
        <v>5.8387038442197267E-4</v>
      </c>
      <c r="H200" s="1">
        <v>199</v>
      </c>
      <c r="I200">
        <v>36000</v>
      </c>
    </row>
    <row r="201" spans="1:9" x14ac:dyDescent="0.45">
      <c r="A201" t="s">
        <v>385</v>
      </c>
      <c r="B201">
        <v>7164000</v>
      </c>
      <c r="C201" s="13">
        <v>5.8922951637840784E-4</v>
      </c>
      <c r="D201" s="13">
        <v>5.8922951637840779E-6</v>
      </c>
      <c r="E201" s="13">
        <v>5.8922951637840784E-4</v>
      </c>
      <c r="F201" s="13">
        <v>5.8922951637840779E-6</v>
      </c>
      <c r="G201" s="13">
        <v>5.8922951637840784E-4</v>
      </c>
      <c r="H201" s="1">
        <v>200</v>
      </c>
      <c r="I201">
        <v>36000</v>
      </c>
    </row>
    <row r="202" spans="1:9" x14ac:dyDescent="0.45">
      <c r="A202" t="s">
        <v>386</v>
      </c>
      <c r="B202">
        <v>7200000</v>
      </c>
      <c r="C202" s="13">
        <v>5.6176382554800675E-4</v>
      </c>
      <c r="D202" s="13">
        <v>5.6176382554800684E-6</v>
      </c>
      <c r="E202" s="13">
        <v>5.6176382554800675E-4</v>
      </c>
      <c r="F202" s="13">
        <v>5.6176382554800684E-6</v>
      </c>
      <c r="G202" s="13">
        <v>5.6176382554800675E-4</v>
      </c>
      <c r="H202" s="1">
        <v>201</v>
      </c>
      <c r="I202">
        <v>36000</v>
      </c>
    </row>
    <row r="203" spans="1:9" x14ac:dyDescent="0.45">
      <c r="A203" t="s">
        <v>387</v>
      </c>
      <c r="B203">
        <v>7236000</v>
      </c>
      <c r="C203" s="13">
        <v>5.9889603912474383E-4</v>
      </c>
      <c r="D203" s="13">
        <v>5.9889603912474392E-6</v>
      </c>
      <c r="E203" s="13">
        <v>5.9889603912474383E-4</v>
      </c>
      <c r="F203" s="13">
        <v>5.9889603912474392E-6</v>
      </c>
      <c r="G203" s="13">
        <v>5.9889603912474383E-4</v>
      </c>
      <c r="H203" s="1">
        <v>202</v>
      </c>
      <c r="I203">
        <v>36000</v>
      </c>
    </row>
    <row r="204" spans="1:9" x14ac:dyDescent="0.45">
      <c r="A204" t="s">
        <v>388</v>
      </c>
      <c r="B204">
        <v>7272000</v>
      </c>
      <c r="C204" s="13">
        <v>5.6219127725288078E-4</v>
      </c>
      <c r="D204" s="13">
        <v>5.6219127725288083E-6</v>
      </c>
      <c r="E204" s="13">
        <v>5.6219127725288078E-4</v>
      </c>
      <c r="F204" s="13">
        <v>5.6219127725288083E-6</v>
      </c>
      <c r="G204" s="13">
        <v>5.6219127725288078E-4</v>
      </c>
      <c r="H204" s="1">
        <v>203</v>
      </c>
      <c r="I204">
        <v>36000</v>
      </c>
    </row>
    <row r="205" spans="1:9" x14ac:dyDescent="0.45">
      <c r="A205" t="s">
        <v>389</v>
      </c>
      <c r="B205">
        <v>7308000</v>
      </c>
      <c r="C205" s="13">
        <v>5.5191038767168454E-4</v>
      </c>
      <c r="D205" s="13">
        <v>5.5191038767168451E-6</v>
      </c>
      <c r="E205" s="13">
        <v>5.5191038767168454E-4</v>
      </c>
      <c r="F205" s="13">
        <v>5.5191038767168451E-6</v>
      </c>
      <c r="G205" s="13">
        <v>5.5191038767168454E-4</v>
      </c>
      <c r="H205" s="1">
        <v>204</v>
      </c>
      <c r="I205">
        <v>36000</v>
      </c>
    </row>
    <row r="206" spans="1:9" x14ac:dyDescent="0.45">
      <c r="A206" t="s">
        <v>390</v>
      </c>
      <c r="B206">
        <v>7344000</v>
      </c>
      <c r="C206" s="13">
        <v>4.7282516897145961E-4</v>
      </c>
      <c r="D206" s="13">
        <v>4.7282516897145948E-6</v>
      </c>
      <c r="E206" s="13">
        <v>4.7282516897145961E-4</v>
      </c>
      <c r="F206" s="13">
        <v>4.7282516897145948E-6</v>
      </c>
      <c r="G206" s="13">
        <v>4.7282516897145961E-4</v>
      </c>
      <c r="H206" s="1">
        <v>205</v>
      </c>
      <c r="I206">
        <v>36000</v>
      </c>
    </row>
    <row r="207" spans="1:9" x14ac:dyDescent="0.45">
      <c r="A207" t="s">
        <v>391</v>
      </c>
      <c r="B207">
        <v>7380000</v>
      </c>
      <c r="C207" s="13">
        <v>5.028164955717129E-4</v>
      </c>
      <c r="D207" s="13">
        <v>5.028164955717129E-6</v>
      </c>
      <c r="E207" s="13">
        <v>5.028164955717129E-4</v>
      </c>
      <c r="F207" s="13">
        <v>5.028164955717129E-6</v>
      </c>
      <c r="G207" s="13">
        <v>5.028164955717129E-4</v>
      </c>
      <c r="H207" s="1">
        <v>206</v>
      </c>
      <c r="I207">
        <v>36000</v>
      </c>
    </row>
    <row r="208" spans="1:9" x14ac:dyDescent="0.45">
      <c r="A208" t="s">
        <v>392</v>
      </c>
      <c r="B208">
        <v>7416000</v>
      </c>
      <c r="C208" s="13">
        <v>5.640355829735162E-4</v>
      </c>
      <c r="D208" s="13">
        <v>5.6403558297351619E-6</v>
      </c>
      <c r="E208" s="13">
        <v>5.640355829735162E-4</v>
      </c>
      <c r="F208" s="13">
        <v>5.6403558297351619E-6</v>
      </c>
      <c r="G208" s="13">
        <v>5.640355829735162E-4</v>
      </c>
      <c r="H208" s="1">
        <v>207</v>
      </c>
      <c r="I208">
        <v>36000</v>
      </c>
    </row>
    <row r="209" spans="1:9" x14ac:dyDescent="0.45">
      <c r="A209" t="s">
        <v>393</v>
      </c>
      <c r="B209">
        <v>7452000</v>
      </c>
      <c r="C209" s="13">
        <v>5.766550649044049E-4</v>
      </c>
      <c r="D209" s="13">
        <v>5.7665506490440491E-6</v>
      </c>
      <c r="E209" s="13">
        <v>5.766550649044049E-4</v>
      </c>
      <c r="F209" s="13">
        <v>5.7665506490440491E-6</v>
      </c>
      <c r="G209" s="13">
        <v>5.766550649044049E-4</v>
      </c>
      <c r="H209" s="1">
        <v>208</v>
      </c>
      <c r="I209">
        <v>36000</v>
      </c>
    </row>
    <row r="210" spans="1:9" x14ac:dyDescent="0.45">
      <c r="A210" t="s">
        <v>394</v>
      </c>
      <c r="B210">
        <v>7488000</v>
      </c>
      <c r="C210" s="13">
        <v>5.8692775615882512E-4</v>
      </c>
      <c r="D210" s="13">
        <v>5.8692775615882509E-6</v>
      </c>
      <c r="E210" s="13">
        <v>5.8692775615882512E-4</v>
      </c>
      <c r="F210" s="13">
        <v>5.8692775615882509E-6</v>
      </c>
      <c r="G210" s="13">
        <v>5.8692775615882512E-4</v>
      </c>
      <c r="H210" s="1">
        <v>209</v>
      </c>
      <c r="I210">
        <v>36000</v>
      </c>
    </row>
    <row r="211" spans="1:9" x14ac:dyDescent="0.45">
      <c r="A211" t="s">
        <v>395</v>
      </c>
      <c r="B211">
        <v>7524000</v>
      </c>
      <c r="C211" s="13">
        <v>5.8730210901711277E-4</v>
      </c>
      <c r="D211" s="13">
        <v>5.8730210901711282E-6</v>
      </c>
      <c r="E211" s="13">
        <v>5.8730210901711277E-4</v>
      </c>
      <c r="F211" s="13">
        <v>5.8730210901711282E-6</v>
      </c>
      <c r="G211" s="13">
        <v>5.8730210901711277E-4</v>
      </c>
      <c r="H211" s="1">
        <v>210</v>
      </c>
      <c r="I211">
        <v>36000</v>
      </c>
    </row>
    <row r="212" spans="1:9" x14ac:dyDescent="0.45">
      <c r="A212">
        <v>1950</v>
      </c>
      <c r="B212">
        <v>7560000</v>
      </c>
      <c r="C212" s="13">
        <v>5.7254552261878477E-4</v>
      </c>
      <c r="D212" s="13">
        <v>5.7254552261878478E-6</v>
      </c>
      <c r="E212" s="13">
        <v>5.7254552261878477E-4</v>
      </c>
      <c r="F212" s="13">
        <v>5.7254552261878478E-6</v>
      </c>
      <c r="G212" s="13">
        <v>5.7254552261878477E-4</v>
      </c>
      <c r="H212" s="1">
        <v>211</v>
      </c>
      <c r="I212">
        <v>360</v>
      </c>
    </row>
    <row r="213" spans="1:9" x14ac:dyDescent="0.45">
      <c r="A213">
        <v>1951</v>
      </c>
      <c r="B213">
        <v>7560360</v>
      </c>
      <c r="C213">
        <v>5.9297851039605948E-4</v>
      </c>
      <c r="D213" s="13">
        <v>5.9297851039605949E-6</v>
      </c>
      <c r="E213" s="13">
        <v>5.9297851039605948E-4</v>
      </c>
      <c r="F213" s="13">
        <v>5.9297851039605949E-6</v>
      </c>
      <c r="G213" s="13">
        <v>5.9297851039605948E-4</v>
      </c>
      <c r="H213" s="1">
        <v>212</v>
      </c>
      <c r="I213">
        <v>360</v>
      </c>
    </row>
    <row r="214" spans="1:9" x14ac:dyDescent="0.45">
      <c r="A214">
        <v>1952</v>
      </c>
      <c r="B214">
        <v>7560720</v>
      </c>
      <c r="C214">
        <v>5.7784216108986981E-4</v>
      </c>
      <c r="D214" s="13">
        <v>5.7784216108986984E-6</v>
      </c>
      <c r="E214" s="13">
        <v>5.7784216108986981E-4</v>
      </c>
      <c r="F214" s="13">
        <v>5.7784216108986984E-6</v>
      </c>
      <c r="G214" s="13">
        <v>5.7784216108986981E-4</v>
      </c>
      <c r="H214" s="1">
        <v>213</v>
      </c>
      <c r="I214">
        <v>360</v>
      </c>
    </row>
    <row r="215" spans="1:9" x14ac:dyDescent="0.45">
      <c r="A215">
        <v>1953</v>
      </c>
      <c r="B215">
        <v>7561080</v>
      </c>
      <c r="C215">
        <v>7.01225780780004E-4</v>
      </c>
      <c r="D215" s="13">
        <v>7.0122578078000401E-6</v>
      </c>
      <c r="E215" s="13">
        <v>7.01225780780004E-4</v>
      </c>
      <c r="F215" s="13">
        <v>7.0122578078000401E-6</v>
      </c>
      <c r="G215" s="13">
        <v>7.01225780780004E-4</v>
      </c>
      <c r="H215" s="1">
        <v>214</v>
      </c>
      <c r="I215">
        <v>360</v>
      </c>
    </row>
    <row r="216" spans="1:9" x14ac:dyDescent="0.45">
      <c r="A216">
        <v>1954</v>
      </c>
      <c r="B216">
        <v>7561440</v>
      </c>
      <c r="C216">
        <v>6.0625323693920216E-4</v>
      </c>
      <c r="D216" s="13">
        <v>6.0625323693920221E-6</v>
      </c>
      <c r="E216" s="13">
        <v>6.0625323693920216E-4</v>
      </c>
      <c r="F216" s="13">
        <v>6.0625323693920221E-6</v>
      </c>
      <c r="G216" s="13">
        <v>6.0625323693920216E-4</v>
      </c>
      <c r="H216" s="1">
        <v>215</v>
      </c>
      <c r="I216">
        <v>360</v>
      </c>
    </row>
    <row r="217" spans="1:9" x14ac:dyDescent="0.45">
      <c r="A217">
        <v>1955</v>
      </c>
      <c r="B217">
        <v>7561800</v>
      </c>
      <c r="C217">
        <v>6.7531943247687762E-4</v>
      </c>
      <c r="D217" s="13">
        <v>6.7531943247687774E-6</v>
      </c>
      <c r="E217" s="13">
        <v>6.7531943247687762E-4</v>
      </c>
      <c r="F217" s="13">
        <v>6.7531943247687774E-6</v>
      </c>
      <c r="G217" s="13">
        <v>6.7531943247687762E-4</v>
      </c>
      <c r="H217" s="1">
        <v>216</v>
      </c>
      <c r="I217">
        <v>360</v>
      </c>
    </row>
    <row r="218" spans="1:9" x14ac:dyDescent="0.45">
      <c r="A218">
        <v>1956</v>
      </c>
      <c r="B218">
        <v>7562160</v>
      </c>
      <c r="C218">
        <v>7.934837592115222E-4</v>
      </c>
      <c r="D218" s="13">
        <v>7.9348375921152226E-6</v>
      </c>
      <c r="E218" s="13">
        <v>7.934837592115222E-4</v>
      </c>
      <c r="F218" s="13">
        <v>7.9348375921152226E-6</v>
      </c>
      <c r="G218" s="13">
        <v>7.934837592115222E-4</v>
      </c>
      <c r="H218" s="1">
        <v>217</v>
      </c>
      <c r="I218">
        <v>360</v>
      </c>
    </row>
    <row r="219" spans="1:9" x14ac:dyDescent="0.45">
      <c r="A219">
        <v>1957</v>
      </c>
      <c r="B219">
        <v>7562520</v>
      </c>
      <c r="C219">
        <v>6.3200610841889827E-4</v>
      </c>
      <c r="D219" s="13">
        <v>6.3200610841889821E-6</v>
      </c>
      <c r="E219" s="13">
        <v>6.3200610841889827E-4</v>
      </c>
      <c r="F219" s="13">
        <v>6.3200610841889821E-6</v>
      </c>
      <c r="G219" s="13">
        <v>6.3200610841889827E-4</v>
      </c>
      <c r="H219" s="1">
        <v>218</v>
      </c>
      <c r="I219">
        <v>360</v>
      </c>
    </row>
    <row r="220" spans="1:9" x14ac:dyDescent="0.45">
      <c r="A220">
        <v>1958</v>
      </c>
      <c r="B220">
        <v>7562880</v>
      </c>
      <c r="C220">
        <v>5.2246609042495211E-4</v>
      </c>
      <c r="D220" s="13">
        <v>5.2246609042495213E-6</v>
      </c>
      <c r="E220" s="13">
        <v>5.2246609042495211E-4</v>
      </c>
      <c r="F220" s="13">
        <v>5.2246609042495213E-6</v>
      </c>
      <c r="G220" s="13">
        <v>5.2246609042495211E-4</v>
      </c>
      <c r="H220" s="1">
        <v>219</v>
      </c>
      <c r="I220">
        <v>360</v>
      </c>
    </row>
    <row r="221" spans="1:9" x14ac:dyDescent="0.45">
      <c r="A221">
        <v>1959</v>
      </c>
      <c r="B221">
        <v>7563240</v>
      </c>
      <c r="C221">
        <v>5.7275828508846535E-4</v>
      </c>
      <c r="D221" s="13">
        <v>5.7275828508846516E-6</v>
      </c>
      <c r="E221" s="13">
        <v>5.7275828508846535E-4</v>
      </c>
      <c r="F221" s="13">
        <v>5.7275828508846516E-6</v>
      </c>
      <c r="G221" s="13">
        <v>5.7275828508846535E-4</v>
      </c>
      <c r="H221" s="1">
        <v>220</v>
      </c>
      <c r="I221">
        <v>360</v>
      </c>
    </row>
    <row r="222" spans="1:9" x14ac:dyDescent="0.45">
      <c r="A222">
        <v>1960</v>
      </c>
      <c r="B222">
        <v>7563600</v>
      </c>
      <c r="C222">
        <v>3.572441303810297E-4</v>
      </c>
      <c r="D222" s="13">
        <v>3.572441303810297E-6</v>
      </c>
      <c r="E222" s="13">
        <v>3.572441303810297E-4</v>
      </c>
      <c r="F222" s="13">
        <v>3.572441303810297E-6</v>
      </c>
      <c r="G222" s="13">
        <v>3.572441303810297E-4</v>
      </c>
      <c r="H222" s="1">
        <v>221</v>
      </c>
      <c r="I222">
        <v>360</v>
      </c>
    </row>
    <row r="223" spans="1:9" x14ac:dyDescent="0.45">
      <c r="A223">
        <v>1961</v>
      </c>
      <c r="B223">
        <v>7563960</v>
      </c>
      <c r="C223">
        <v>7.8115723463756577E-4</v>
      </c>
      <c r="D223" s="13">
        <v>7.8115723463756567E-6</v>
      </c>
      <c r="E223" s="13">
        <v>7.8115723463756577E-4</v>
      </c>
      <c r="F223" s="13">
        <v>7.8115723463756567E-6</v>
      </c>
      <c r="G223" s="13">
        <v>7.8115723463756577E-4</v>
      </c>
      <c r="H223" s="1">
        <v>222</v>
      </c>
      <c r="I223">
        <v>360</v>
      </c>
    </row>
    <row r="224" spans="1:9" x14ac:dyDescent="0.45">
      <c r="A224">
        <v>1962</v>
      </c>
      <c r="B224">
        <v>7564320</v>
      </c>
      <c r="C224">
        <v>4.531689220324248E-4</v>
      </c>
      <c r="D224" s="13">
        <v>4.531689220324248E-6</v>
      </c>
      <c r="E224" s="13">
        <v>4.531689220324248E-4</v>
      </c>
      <c r="F224" s="13">
        <v>4.531689220324248E-6</v>
      </c>
      <c r="G224" s="13">
        <v>4.531689220324248E-4</v>
      </c>
      <c r="H224" s="1">
        <v>223</v>
      </c>
      <c r="I224">
        <v>360</v>
      </c>
    </row>
    <row r="225" spans="1:9" x14ac:dyDescent="0.45">
      <c r="A225">
        <v>1963</v>
      </c>
      <c r="B225">
        <v>7564680</v>
      </c>
      <c r="C225">
        <v>5.7498094954749738E-4</v>
      </c>
      <c r="D225" s="13">
        <v>5.7498094954749744E-6</v>
      </c>
      <c r="E225" s="13">
        <v>5.7498094954749738E-4</v>
      </c>
      <c r="F225" s="13">
        <v>5.7498094954749744E-6</v>
      </c>
      <c r="G225" s="13">
        <v>5.7498094954749738E-4</v>
      </c>
      <c r="H225" s="1">
        <v>224</v>
      </c>
      <c r="I225">
        <v>360</v>
      </c>
    </row>
    <row r="226" spans="1:9" x14ac:dyDescent="0.45">
      <c r="A226">
        <v>1964</v>
      </c>
      <c r="B226">
        <v>7565040</v>
      </c>
      <c r="C226">
        <v>6.1715666405219582E-4</v>
      </c>
      <c r="D226" s="13">
        <v>6.1715666405219582E-6</v>
      </c>
      <c r="E226" s="13">
        <v>6.1715666405219582E-4</v>
      </c>
      <c r="F226" s="13">
        <v>6.1715666405219582E-6</v>
      </c>
      <c r="G226" s="13">
        <v>6.1715666405219582E-4</v>
      </c>
      <c r="H226" s="1">
        <v>225</v>
      </c>
      <c r="I226">
        <v>360</v>
      </c>
    </row>
    <row r="227" spans="1:9" x14ac:dyDescent="0.45">
      <c r="A227">
        <v>1965</v>
      </c>
      <c r="B227">
        <v>7565400</v>
      </c>
      <c r="C227">
        <v>7.2806814383172725E-4</v>
      </c>
      <c r="D227" s="13">
        <v>7.2806814383172734E-6</v>
      </c>
      <c r="E227" s="13">
        <v>7.2806814383172725E-4</v>
      </c>
      <c r="F227" s="13">
        <v>7.2806814383172734E-6</v>
      </c>
      <c r="G227" s="13">
        <v>7.2806814383172725E-4</v>
      </c>
      <c r="H227" s="1">
        <v>226</v>
      </c>
      <c r="I227">
        <v>360</v>
      </c>
    </row>
    <row r="228" spans="1:9" x14ac:dyDescent="0.45">
      <c r="A228">
        <v>1966</v>
      </c>
      <c r="B228">
        <v>7565760</v>
      </c>
      <c r="C228">
        <v>6.8133424917909079E-4</v>
      </c>
      <c r="D228" s="13">
        <v>6.8133424917909083E-6</v>
      </c>
      <c r="E228" s="13">
        <v>6.8133424917909079E-4</v>
      </c>
      <c r="F228" s="13">
        <v>6.8133424917909083E-6</v>
      </c>
      <c r="G228" s="13">
        <v>6.8133424917909079E-4</v>
      </c>
      <c r="H228" s="1">
        <v>227</v>
      </c>
      <c r="I228">
        <v>360</v>
      </c>
    </row>
    <row r="229" spans="1:9" x14ac:dyDescent="0.45">
      <c r="A229">
        <v>1967</v>
      </c>
      <c r="B229">
        <v>7566120</v>
      </c>
      <c r="C229">
        <v>5.5502136001665456E-4</v>
      </c>
      <c r="D229" s="13">
        <v>5.5502136001665453E-6</v>
      </c>
      <c r="E229" s="13">
        <v>5.5502136001665456E-4</v>
      </c>
      <c r="F229" s="13">
        <v>5.5502136001665453E-6</v>
      </c>
      <c r="G229" s="13">
        <v>5.5502136001665456E-4</v>
      </c>
      <c r="H229" s="1">
        <v>228</v>
      </c>
      <c r="I229">
        <v>360</v>
      </c>
    </row>
    <row r="230" spans="1:9" x14ac:dyDescent="0.45">
      <c r="A230">
        <v>1968</v>
      </c>
      <c r="B230">
        <v>7566480</v>
      </c>
      <c r="C230">
        <v>7.1790398823913721E-4</v>
      </c>
      <c r="D230" s="13">
        <v>7.1790398823913714E-6</v>
      </c>
      <c r="E230" s="13">
        <v>7.1790398823913721E-4</v>
      </c>
      <c r="F230" s="13">
        <v>7.1790398823913714E-6</v>
      </c>
      <c r="G230" s="13">
        <v>7.1790398823913721E-4</v>
      </c>
      <c r="H230" s="1">
        <v>229</v>
      </c>
      <c r="I230">
        <v>360</v>
      </c>
    </row>
    <row r="231" spans="1:9" x14ac:dyDescent="0.45">
      <c r="A231">
        <v>1969</v>
      </c>
      <c r="B231">
        <v>7566840</v>
      </c>
      <c r="C231">
        <v>6.247710440845614E-4</v>
      </c>
      <c r="D231" s="13">
        <v>6.2477104408456143E-6</v>
      </c>
      <c r="E231" s="13">
        <v>6.247710440845614E-4</v>
      </c>
      <c r="F231" s="13">
        <v>6.2477104408456143E-6</v>
      </c>
      <c r="G231" s="13">
        <v>6.247710440845614E-4</v>
      </c>
      <c r="H231" s="1">
        <v>230</v>
      </c>
      <c r="I231">
        <v>360</v>
      </c>
    </row>
    <row r="232" spans="1:9" x14ac:dyDescent="0.45">
      <c r="A232">
        <v>1970</v>
      </c>
      <c r="B232">
        <v>7567200</v>
      </c>
      <c r="C232">
        <v>7.1853251477000421E-4</v>
      </c>
      <c r="D232" s="13">
        <v>7.1853251477000417E-6</v>
      </c>
      <c r="E232" s="13">
        <v>7.1853251477000421E-4</v>
      </c>
      <c r="F232" s="13">
        <v>7.1853251477000417E-6</v>
      </c>
      <c r="G232" s="13">
        <v>7.1853251477000421E-4</v>
      </c>
      <c r="H232" s="1">
        <v>231</v>
      </c>
      <c r="I232">
        <v>360</v>
      </c>
    </row>
    <row r="233" spans="1:9" x14ac:dyDescent="0.45">
      <c r="A233">
        <v>1971</v>
      </c>
      <c r="B233">
        <v>7567560</v>
      </c>
      <c r="C233">
        <v>6.9554227893998163E-4</v>
      </c>
      <c r="D233" s="13">
        <v>6.9554227893998164E-6</v>
      </c>
      <c r="E233" s="13">
        <v>6.9554227893998163E-4</v>
      </c>
      <c r="F233" s="13">
        <v>6.9554227893998164E-6</v>
      </c>
      <c r="G233" s="13">
        <v>6.9554227893998163E-4</v>
      </c>
      <c r="H233" s="1">
        <v>232</v>
      </c>
      <c r="I233">
        <v>360</v>
      </c>
    </row>
    <row r="234" spans="1:9" x14ac:dyDescent="0.45">
      <c r="A234">
        <v>1972</v>
      </c>
      <c r="B234">
        <v>7567920</v>
      </c>
      <c r="C234">
        <v>5.7253061645059339E-4</v>
      </c>
      <c r="D234" s="13">
        <v>5.7253061645059336E-6</v>
      </c>
      <c r="E234" s="13">
        <v>5.7253061645059339E-4</v>
      </c>
      <c r="F234" s="13">
        <v>5.7253061645059336E-6</v>
      </c>
      <c r="G234" s="13">
        <v>5.7253061645059339E-4</v>
      </c>
      <c r="H234" s="1">
        <v>233</v>
      </c>
      <c r="I234">
        <v>360</v>
      </c>
    </row>
    <row r="235" spans="1:9" x14ac:dyDescent="0.45">
      <c r="A235">
        <v>1973</v>
      </c>
      <c r="B235">
        <v>7568280</v>
      </c>
      <c r="C235">
        <v>7.5562383814068183E-4</v>
      </c>
      <c r="D235" s="13">
        <v>7.556238381406818E-6</v>
      </c>
      <c r="E235" s="13">
        <v>7.5562383814068183E-4</v>
      </c>
      <c r="F235" s="13">
        <v>7.556238381406818E-6</v>
      </c>
      <c r="G235" s="13">
        <v>7.5562383814068183E-4</v>
      </c>
      <c r="H235" s="1">
        <v>234</v>
      </c>
      <c r="I235">
        <v>360</v>
      </c>
    </row>
    <row r="236" spans="1:9" x14ac:dyDescent="0.45">
      <c r="A236">
        <v>1974</v>
      </c>
      <c r="B236">
        <v>7568640</v>
      </c>
      <c r="C236">
        <v>4.7956646402789609E-4</v>
      </c>
      <c r="D236" s="13">
        <v>4.7956646402789611E-6</v>
      </c>
      <c r="E236" s="13">
        <v>4.7956646402789609E-4</v>
      </c>
      <c r="F236" s="13">
        <v>4.7956646402789611E-6</v>
      </c>
      <c r="G236" s="13">
        <v>4.7956646402789609E-4</v>
      </c>
      <c r="H236" s="1">
        <v>235</v>
      </c>
      <c r="I236">
        <v>360</v>
      </c>
    </row>
    <row r="237" spans="1:9" x14ac:dyDescent="0.45">
      <c r="A237">
        <v>1975</v>
      </c>
      <c r="B237">
        <v>7569000</v>
      </c>
      <c r="C237">
        <v>3.77861344903145E-4</v>
      </c>
      <c r="D237" s="13">
        <v>3.77861344903145E-6</v>
      </c>
      <c r="E237" s="13">
        <v>3.77861344903145E-4</v>
      </c>
      <c r="F237" s="13">
        <v>3.77861344903145E-6</v>
      </c>
      <c r="G237" s="13">
        <v>3.77861344903145E-4</v>
      </c>
      <c r="H237" s="1">
        <v>236</v>
      </c>
      <c r="I237">
        <v>360</v>
      </c>
    </row>
    <row r="238" spans="1:9" x14ac:dyDescent="0.45">
      <c r="A238">
        <v>1976</v>
      </c>
      <c r="B238">
        <v>7569360</v>
      </c>
      <c r="C238">
        <v>6.3076157488416986E-4</v>
      </c>
      <c r="D238" s="13">
        <v>6.3076157488417004E-6</v>
      </c>
      <c r="E238" s="13">
        <v>6.3076157488416986E-4</v>
      </c>
      <c r="F238" s="13">
        <v>6.3076157488417004E-6</v>
      </c>
      <c r="G238" s="13">
        <v>6.3076157488416986E-4</v>
      </c>
      <c r="H238" s="1">
        <v>237</v>
      </c>
      <c r="I238">
        <v>360</v>
      </c>
    </row>
    <row r="239" spans="1:9" x14ac:dyDescent="0.45">
      <c r="A239">
        <v>1977</v>
      </c>
      <c r="B239">
        <v>7569720</v>
      </c>
      <c r="C239">
        <v>5.3573866388844803E-4</v>
      </c>
      <c r="D239" s="13">
        <v>5.3573866388844809E-6</v>
      </c>
      <c r="E239" s="13">
        <v>5.3573866388844803E-4</v>
      </c>
      <c r="F239" s="13">
        <v>5.3573866388844809E-6</v>
      </c>
      <c r="G239" s="13">
        <v>5.3573866388844803E-4</v>
      </c>
      <c r="H239" s="1">
        <v>238</v>
      </c>
      <c r="I239">
        <v>360</v>
      </c>
    </row>
    <row r="240" spans="1:9" x14ac:dyDescent="0.45">
      <c r="A240">
        <v>1978</v>
      </c>
      <c r="B240">
        <v>7570080</v>
      </c>
      <c r="C240">
        <v>5.1650487503666432E-4</v>
      </c>
      <c r="D240" s="13">
        <v>5.165048750366643E-6</v>
      </c>
      <c r="E240" s="13">
        <v>5.1650487503666432E-4</v>
      </c>
      <c r="F240" s="13">
        <v>5.165048750366643E-6</v>
      </c>
      <c r="G240" s="13">
        <v>5.1650487503666432E-4</v>
      </c>
      <c r="H240" s="1">
        <v>239</v>
      </c>
      <c r="I240">
        <v>360</v>
      </c>
    </row>
    <row r="241" spans="1:9" x14ac:dyDescent="0.45">
      <c r="A241">
        <v>1979</v>
      </c>
      <c r="B241">
        <v>7570440</v>
      </c>
      <c r="C241">
        <v>6.206520086059846E-4</v>
      </c>
      <c r="D241" s="13">
        <v>6.2065200860598446E-6</v>
      </c>
      <c r="E241" s="13">
        <v>6.206520086059846E-4</v>
      </c>
      <c r="F241" s="13">
        <v>6.2065200860598446E-6</v>
      </c>
      <c r="G241" s="13">
        <v>6.206520086059846E-4</v>
      </c>
      <c r="H241" s="1">
        <v>240</v>
      </c>
      <c r="I241">
        <v>360</v>
      </c>
    </row>
    <row r="242" spans="1:9" x14ac:dyDescent="0.45">
      <c r="A242">
        <v>1980</v>
      </c>
      <c r="B242">
        <v>7570800</v>
      </c>
      <c r="C242">
        <v>7.195322821158302E-4</v>
      </c>
      <c r="D242" s="13">
        <v>7.195322821158302E-6</v>
      </c>
      <c r="E242" s="13">
        <v>7.195322821158302E-4</v>
      </c>
      <c r="F242" s="13">
        <v>7.195322821158302E-6</v>
      </c>
      <c r="G242" s="13">
        <v>7.195322821158302E-4</v>
      </c>
      <c r="H242" s="1">
        <v>241</v>
      </c>
      <c r="I242">
        <v>360</v>
      </c>
    </row>
    <row r="243" spans="1:9" x14ac:dyDescent="0.45">
      <c r="A243">
        <v>1981</v>
      </c>
      <c r="B243">
        <v>7571160</v>
      </c>
      <c r="C243">
        <v>2.9134882445236649E-4</v>
      </c>
      <c r="D243" s="13">
        <v>2.9134882445236648E-6</v>
      </c>
      <c r="E243" s="13">
        <v>2.9134882445236649E-4</v>
      </c>
      <c r="F243" s="13">
        <v>2.9134882445236648E-6</v>
      </c>
      <c r="G243" s="13">
        <v>2.9134882445236649E-4</v>
      </c>
      <c r="H243" s="1">
        <v>242</v>
      </c>
      <c r="I243">
        <v>360</v>
      </c>
    </row>
    <row r="244" spans="1:9" x14ac:dyDescent="0.45">
      <c r="A244">
        <v>1982</v>
      </c>
      <c r="B244">
        <v>7571520</v>
      </c>
      <c r="C244">
        <v>5.0209969717145185E-4</v>
      </c>
      <c r="D244" s="13">
        <v>5.0209969717145189E-6</v>
      </c>
      <c r="E244" s="13">
        <v>5.0209969717145185E-4</v>
      </c>
      <c r="F244" s="13">
        <v>5.0209969717145189E-6</v>
      </c>
      <c r="G244" s="13">
        <v>5.0209969717145185E-4</v>
      </c>
      <c r="H244" s="1">
        <v>243</v>
      </c>
      <c r="I244">
        <v>360</v>
      </c>
    </row>
    <row r="245" spans="1:9" x14ac:dyDescent="0.45">
      <c r="A245">
        <v>1983</v>
      </c>
      <c r="B245">
        <v>7571880</v>
      </c>
      <c r="C245">
        <v>7.4802277554614563E-4</v>
      </c>
      <c r="D245" s="13">
        <v>7.4802277554614567E-6</v>
      </c>
      <c r="E245" s="13">
        <v>7.4802277554614563E-4</v>
      </c>
      <c r="F245" s="13">
        <v>7.4802277554614567E-6</v>
      </c>
      <c r="G245" s="13">
        <v>7.4802277554614563E-4</v>
      </c>
      <c r="H245" s="1">
        <v>244</v>
      </c>
      <c r="I245">
        <v>360</v>
      </c>
    </row>
    <row r="246" spans="1:9" x14ac:dyDescent="0.45">
      <c r="A246">
        <v>1984</v>
      </c>
      <c r="B246">
        <v>7572240</v>
      </c>
      <c r="C246">
        <v>5.6061012672548299E-4</v>
      </c>
      <c r="D246" s="13">
        <v>5.6061012672548299E-6</v>
      </c>
      <c r="E246" s="13">
        <v>5.6061012672548299E-4</v>
      </c>
      <c r="F246" s="13">
        <v>5.6061012672548299E-6</v>
      </c>
      <c r="G246" s="13">
        <v>5.6061012672548299E-4</v>
      </c>
      <c r="H246" s="1">
        <v>245</v>
      </c>
      <c r="I246">
        <v>360</v>
      </c>
    </row>
    <row r="247" spans="1:9" x14ac:dyDescent="0.45">
      <c r="A247">
        <v>1985</v>
      </c>
      <c r="B247">
        <v>7572600</v>
      </c>
      <c r="C247">
        <v>8.2964178446747177E-4</v>
      </c>
      <c r="D247" s="13">
        <v>8.2964178446747183E-6</v>
      </c>
      <c r="E247" s="13">
        <v>8.2964178446747177E-4</v>
      </c>
      <c r="F247" s="13">
        <v>8.2964178446747183E-6</v>
      </c>
      <c r="G247" s="13">
        <v>8.2964178446747177E-4</v>
      </c>
      <c r="H247" s="1">
        <v>246</v>
      </c>
      <c r="I247">
        <v>360</v>
      </c>
    </row>
    <row r="248" spans="1:9" x14ac:dyDescent="0.45">
      <c r="A248">
        <v>1986</v>
      </c>
      <c r="B248">
        <v>7572960</v>
      </c>
      <c r="C248">
        <v>5.5192525783438826E-4</v>
      </c>
      <c r="D248" s="13">
        <v>5.5192525783438814E-6</v>
      </c>
      <c r="E248" s="13">
        <v>5.5192525783438826E-4</v>
      </c>
      <c r="F248" s="13">
        <v>5.5192525783438814E-6</v>
      </c>
      <c r="G248" s="13">
        <v>5.5192525783438826E-4</v>
      </c>
      <c r="H248" s="1">
        <v>247</v>
      </c>
      <c r="I248">
        <v>360</v>
      </c>
    </row>
    <row r="249" spans="1:9" x14ac:dyDescent="0.45">
      <c r="A249">
        <v>1987</v>
      </c>
      <c r="B249">
        <v>7573320</v>
      </c>
      <c r="C249">
        <v>2.594301690595899E-4</v>
      </c>
      <c r="D249" s="13">
        <v>2.594301690595899E-6</v>
      </c>
      <c r="E249" s="13">
        <v>2.594301690595899E-4</v>
      </c>
      <c r="F249" s="13">
        <v>2.594301690595899E-6</v>
      </c>
      <c r="G249" s="13">
        <v>2.594301690595899E-4</v>
      </c>
      <c r="H249" s="1">
        <v>248</v>
      </c>
      <c r="I249">
        <v>360</v>
      </c>
    </row>
    <row r="250" spans="1:9" x14ac:dyDescent="0.45">
      <c r="A250">
        <v>1988</v>
      </c>
      <c r="B250">
        <v>7573680</v>
      </c>
      <c r="C250">
        <v>5.8758806918154829E-4</v>
      </c>
      <c r="D250" s="13">
        <v>5.875880691815483E-6</v>
      </c>
      <c r="E250" s="13">
        <v>5.8758806918154829E-4</v>
      </c>
      <c r="F250" s="13">
        <v>5.875880691815483E-6</v>
      </c>
      <c r="G250" s="13">
        <v>5.8758806918154829E-4</v>
      </c>
      <c r="H250" s="1">
        <v>249</v>
      </c>
      <c r="I250">
        <v>360</v>
      </c>
    </row>
    <row r="251" spans="1:9" x14ac:dyDescent="0.45">
      <c r="A251">
        <v>1989</v>
      </c>
      <c r="B251">
        <v>7574040</v>
      </c>
      <c r="C251">
        <v>7.1827862361545337E-4</v>
      </c>
      <c r="D251" s="13">
        <v>7.1827862361545332E-6</v>
      </c>
      <c r="E251" s="13">
        <v>7.1827862361545337E-4</v>
      </c>
      <c r="F251" s="13">
        <v>7.1827862361545332E-6</v>
      </c>
      <c r="G251" s="13">
        <v>7.1827862361545337E-4</v>
      </c>
      <c r="H251" s="1">
        <v>250</v>
      </c>
      <c r="I251">
        <v>360</v>
      </c>
    </row>
    <row r="252" spans="1:9" x14ac:dyDescent="0.45">
      <c r="A252">
        <v>1990</v>
      </c>
      <c r="B252">
        <v>7574400</v>
      </c>
      <c r="C252">
        <v>6.3964240766474305E-4</v>
      </c>
      <c r="D252" s="13">
        <v>6.3964240766474296E-6</v>
      </c>
      <c r="E252" s="13">
        <v>6.3964240766474305E-4</v>
      </c>
      <c r="F252" s="13">
        <v>6.3964240766474296E-6</v>
      </c>
      <c r="G252" s="13">
        <v>6.3964240766474305E-4</v>
      </c>
      <c r="H252" s="1">
        <v>251</v>
      </c>
      <c r="I252">
        <v>360</v>
      </c>
    </row>
    <row r="253" spans="1:9" x14ac:dyDescent="0.45">
      <c r="A253">
        <v>1991</v>
      </c>
      <c r="B253">
        <v>7574760</v>
      </c>
      <c r="C253">
        <v>6.4218380286974329E-4</v>
      </c>
      <c r="D253" s="13">
        <v>6.4218380286974329E-6</v>
      </c>
      <c r="E253" s="13">
        <v>6.4218380286974329E-4</v>
      </c>
      <c r="F253" s="13">
        <v>6.4218380286974329E-6</v>
      </c>
      <c r="G253" s="13">
        <v>6.4218380286974329E-4</v>
      </c>
      <c r="H253" s="1">
        <v>252</v>
      </c>
      <c r="I253">
        <v>360</v>
      </c>
    </row>
    <row r="254" spans="1:9" x14ac:dyDescent="0.45">
      <c r="A254">
        <v>1992</v>
      </c>
      <c r="B254">
        <v>7575120</v>
      </c>
      <c r="C254">
        <v>7.9556383137322937E-4</v>
      </c>
      <c r="D254" s="13">
        <v>7.9556383137322939E-6</v>
      </c>
      <c r="E254" s="13">
        <v>7.9556383137322937E-4</v>
      </c>
      <c r="F254" s="13">
        <v>7.9556383137322939E-6</v>
      </c>
      <c r="G254" s="13">
        <v>7.9556383137322937E-4</v>
      </c>
      <c r="H254" s="1">
        <v>253</v>
      </c>
      <c r="I254">
        <v>360</v>
      </c>
    </row>
    <row r="255" spans="1:9" x14ac:dyDescent="0.45">
      <c r="A255">
        <v>1993</v>
      </c>
      <c r="B255">
        <v>7575480</v>
      </c>
      <c r="C255">
        <v>4.7143997174482332E-4</v>
      </c>
      <c r="D255" s="13">
        <v>4.7143997174482327E-6</v>
      </c>
      <c r="E255" s="13">
        <v>4.7143997174482332E-4</v>
      </c>
      <c r="F255" s="13">
        <v>4.7143997174482327E-6</v>
      </c>
      <c r="G255" s="13">
        <v>4.7143997174482332E-4</v>
      </c>
      <c r="H255" s="1">
        <v>254</v>
      </c>
      <c r="I255">
        <v>360</v>
      </c>
    </row>
    <row r="256" spans="1:9" x14ac:dyDescent="0.45">
      <c r="A256">
        <v>1994</v>
      </c>
      <c r="B256">
        <v>7575840</v>
      </c>
      <c r="C256">
        <v>6.1579065355337435E-4</v>
      </c>
      <c r="D256" s="13">
        <v>6.1579065355337439E-6</v>
      </c>
      <c r="E256" s="13">
        <v>6.1579065355337435E-4</v>
      </c>
      <c r="F256" s="13">
        <v>6.1579065355337439E-6</v>
      </c>
      <c r="G256" s="13">
        <v>6.1579065355337435E-4</v>
      </c>
      <c r="H256" s="1">
        <v>255</v>
      </c>
      <c r="I256">
        <v>360</v>
      </c>
    </row>
    <row r="257" spans="1:9" x14ac:dyDescent="0.45">
      <c r="A257">
        <v>1995</v>
      </c>
      <c r="B257">
        <v>7576200</v>
      </c>
      <c r="C257">
        <v>6.1124317251300023E-4</v>
      </c>
      <c r="D257" s="13">
        <v>6.1124317251300034E-6</v>
      </c>
      <c r="E257" s="13">
        <v>6.1124317251300023E-4</v>
      </c>
      <c r="F257" s="13">
        <v>6.1124317251300034E-6</v>
      </c>
      <c r="G257" s="13">
        <v>6.1124317251300023E-4</v>
      </c>
      <c r="H257" s="1">
        <v>256</v>
      </c>
      <c r="I257">
        <v>360</v>
      </c>
    </row>
    <row r="258" spans="1:9" x14ac:dyDescent="0.45">
      <c r="A258">
        <v>1996</v>
      </c>
      <c r="B258">
        <v>7576560</v>
      </c>
      <c r="C258">
        <v>8.2762994075904659E-4</v>
      </c>
      <c r="D258" s="13">
        <v>8.2762994075904666E-6</v>
      </c>
      <c r="E258" s="13">
        <v>8.2762994075904659E-4</v>
      </c>
      <c r="F258" s="13">
        <v>8.2762994075904666E-6</v>
      </c>
      <c r="G258" s="13">
        <v>8.2762994075904659E-4</v>
      </c>
      <c r="H258" s="1">
        <v>257</v>
      </c>
      <c r="I258">
        <v>360</v>
      </c>
    </row>
    <row r="259" spans="1:9" x14ac:dyDescent="0.45">
      <c r="A259">
        <v>1997</v>
      </c>
      <c r="B259">
        <v>7576920</v>
      </c>
      <c r="C259">
        <v>6.7528242245754738E-4</v>
      </c>
      <c r="D259" s="13">
        <v>6.7528242245754739E-6</v>
      </c>
      <c r="E259" s="13">
        <v>6.7528242245754738E-4</v>
      </c>
      <c r="F259" s="13">
        <v>6.7528242245754739E-6</v>
      </c>
      <c r="G259" s="13">
        <v>6.7528242245754738E-4</v>
      </c>
      <c r="H259" s="1">
        <v>258</v>
      </c>
      <c r="I259">
        <v>360</v>
      </c>
    </row>
    <row r="260" spans="1:9" x14ac:dyDescent="0.45">
      <c r="A260">
        <v>1998</v>
      </c>
      <c r="B260">
        <v>7577280</v>
      </c>
      <c r="C260">
        <v>8.1609027804714629E-4</v>
      </c>
      <c r="D260" s="13">
        <v>8.1609027804714623E-6</v>
      </c>
      <c r="E260" s="13">
        <v>8.1609027804714629E-4</v>
      </c>
      <c r="F260" s="13">
        <v>8.1609027804714623E-6</v>
      </c>
      <c r="G260" s="13">
        <v>8.1609027804714629E-4</v>
      </c>
      <c r="H260" s="1">
        <v>259</v>
      </c>
      <c r="I260">
        <v>360</v>
      </c>
    </row>
    <row r="261" spans="1:9" x14ac:dyDescent="0.45">
      <c r="A261">
        <v>1999</v>
      </c>
      <c r="B261">
        <v>7577640</v>
      </c>
      <c r="C261">
        <v>3.4945422270553399E-4</v>
      </c>
      <c r="D261" s="13">
        <v>3.4945422270553402E-6</v>
      </c>
      <c r="E261" s="13">
        <v>3.4945422270553399E-4</v>
      </c>
      <c r="F261" s="13">
        <v>3.4945422270553402E-6</v>
      </c>
      <c r="G261" s="13">
        <v>3.4945422270553399E-4</v>
      </c>
      <c r="H261" s="1">
        <v>260</v>
      </c>
      <c r="I261">
        <v>360</v>
      </c>
    </row>
    <row r="262" spans="1:9" x14ac:dyDescent="0.45">
      <c r="A262">
        <v>2000</v>
      </c>
      <c r="B262">
        <v>7578000</v>
      </c>
      <c r="C262">
        <v>5.5916517295822666E-4</v>
      </c>
      <c r="D262" s="13">
        <v>5.5916517295822656E-6</v>
      </c>
      <c r="E262" s="13">
        <v>5.5916517295822666E-4</v>
      </c>
      <c r="F262" s="13">
        <v>5.5916517295822656E-6</v>
      </c>
      <c r="G262" s="13">
        <v>5.5916517295822666E-4</v>
      </c>
      <c r="H262" s="1">
        <v>261</v>
      </c>
      <c r="I262">
        <v>360</v>
      </c>
    </row>
    <row r="263" spans="1:9" x14ac:dyDescent="0.45">
      <c r="A263">
        <v>2001</v>
      </c>
      <c r="B263">
        <v>7578360</v>
      </c>
      <c r="C263">
        <v>7.3867228076687178E-4</v>
      </c>
      <c r="D263" s="13">
        <v>7.3867228076687166E-6</v>
      </c>
      <c r="E263" s="13">
        <v>7.3867228076687178E-4</v>
      </c>
      <c r="F263" s="13">
        <v>7.3867228076687166E-6</v>
      </c>
      <c r="G263" s="13">
        <v>7.3867228076687178E-4</v>
      </c>
      <c r="H263" s="1">
        <v>262</v>
      </c>
      <c r="I263">
        <v>360</v>
      </c>
    </row>
    <row r="264" spans="1:9" x14ac:dyDescent="0.45">
      <c r="A264">
        <v>2002</v>
      </c>
      <c r="B264">
        <v>7578720</v>
      </c>
      <c r="C264">
        <v>7.4209417307762092E-4</v>
      </c>
      <c r="D264" s="13">
        <v>7.4209417307762099E-6</v>
      </c>
      <c r="E264" s="13">
        <v>7.4209417307762092E-4</v>
      </c>
      <c r="F264" s="13">
        <v>7.4209417307762099E-6</v>
      </c>
      <c r="G264" s="13">
        <v>7.4209417307762092E-4</v>
      </c>
      <c r="H264" s="1">
        <v>263</v>
      </c>
      <c r="I264">
        <v>360</v>
      </c>
    </row>
    <row r="265" spans="1:9" x14ac:dyDescent="0.45">
      <c r="A265">
        <v>2003</v>
      </c>
      <c r="B265">
        <v>7579080</v>
      </c>
      <c r="C265">
        <v>4.6396100700759078E-4</v>
      </c>
      <c r="D265" s="13">
        <v>4.6396100700759093E-6</v>
      </c>
      <c r="E265" s="13">
        <v>4.6396100700759078E-4</v>
      </c>
      <c r="F265" s="13">
        <v>4.6396100700759093E-6</v>
      </c>
      <c r="G265" s="13">
        <v>4.6396100700759078E-4</v>
      </c>
      <c r="H265" s="1">
        <v>264</v>
      </c>
      <c r="I265">
        <v>360</v>
      </c>
    </row>
    <row r="266" spans="1:9" x14ac:dyDescent="0.45">
      <c r="A266">
        <v>2004</v>
      </c>
      <c r="B266">
        <v>7579440</v>
      </c>
      <c r="C266">
        <v>4.5068228800443209E-4</v>
      </c>
      <c r="D266" s="13">
        <v>4.5068228800443208E-6</v>
      </c>
      <c r="E266" s="13">
        <v>4.5068228800443209E-4</v>
      </c>
      <c r="F266" s="13">
        <v>4.5068228800443208E-6</v>
      </c>
      <c r="G266" s="13">
        <v>4.5068228800443209E-4</v>
      </c>
      <c r="H266" s="1">
        <v>265</v>
      </c>
      <c r="I266">
        <v>360</v>
      </c>
    </row>
    <row r="267" spans="1:9" x14ac:dyDescent="0.45">
      <c r="A267">
        <v>2005</v>
      </c>
      <c r="B267">
        <v>7579800</v>
      </c>
      <c r="C267">
        <v>3.7507530034252027E-4</v>
      </c>
      <c r="D267" s="13">
        <v>3.7507530034252029E-6</v>
      </c>
      <c r="E267" s="13">
        <v>3.7507530034252027E-4</v>
      </c>
      <c r="F267" s="13">
        <v>3.7507530034252029E-6</v>
      </c>
      <c r="G267" s="13">
        <v>3.7507530034252027E-4</v>
      </c>
      <c r="H267" s="1">
        <v>266</v>
      </c>
      <c r="I267">
        <v>360</v>
      </c>
    </row>
    <row r="268" spans="1:9" x14ac:dyDescent="0.45">
      <c r="A268">
        <v>2006</v>
      </c>
      <c r="B268">
        <v>7580160</v>
      </c>
      <c r="C268">
        <v>5.0388556352573002E-4</v>
      </c>
      <c r="D268" s="13">
        <v>5.0388556352573001E-6</v>
      </c>
      <c r="E268" s="13">
        <v>5.0388556352573002E-4</v>
      </c>
      <c r="F268" s="13">
        <v>5.0388556352573001E-6</v>
      </c>
      <c r="G268" s="13">
        <v>5.0388556352573002E-4</v>
      </c>
      <c r="H268" s="1">
        <v>267</v>
      </c>
      <c r="I268">
        <v>360</v>
      </c>
    </row>
    <row r="269" spans="1:9" x14ac:dyDescent="0.45">
      <c r="A269">
        <v>2007</v>
      </c>
      <c r="B269">
        <v>7580520</v>
      </c>
      <c r="C269">
        <v>8.0294967571109023E-4</v>
      </c>
      <c r="D269" s="13">
        <v>8.029496757110902E-6</v>
      </c>
      <c r="E269" s="13">
        <v>8.0294967571109023E-4</v>
      </c>
      <c r="F269" s="13">
        <v>8.029496757110902E-6</v>
      </c>
      <c r="G269" s="13">
        <v>8.0294967571109023E-4</v>
      </c>
      <c r="H269" s="1">
        <v>268</v>
      </c>
      <c r="I269">
        <v>360</v>
      </c>
    </row>
    <row r="270" spans="1:9" x14ac:dyDescent="0.45">
      <c r="A270">
        <v>2008</v>
      </c>
      <c r="B270">
        <v>7580880</v>
      </c>
      <c r="C270">
        <v>7.0007171819925801E-4</v>
      </c>
      <c r="D270" s="13">
        <v>7.0007171819925796E-6</v>
      </c>
      <c r="E270" s="13">
        <v>7.0007171819925801E-4</v>
      </c>
      <c r="F270" s="13">
        <v>7.0007171819925796E-6</v>
      </c>
      <c r="G270" s="13">
        <v>7.0007171819925801E-4</v>
      </c>
      <c r="H270" s="1">
        <v>269</v>
      </c>
      <c r="I270">
        <v>360</v>
      </c>
    </row>
    <row r="271" spans="1:9" x14ac:dyDescent="0.45">
      <c r="A271">
        <v>2009</v>
      </c>
      <c r="B271">
        <v>7581240</v>
      </c>
      <c r="C271">
        <v>5.6649151685696242E-4</v>
      </c>
      <c r="D271" s="13">
        <v>5.6649151685696243E-6</v>
      </c>
      <c r="E271" s="13">
        <v>5.6649151685696242E-4</v>
      </c>
      <c r="F271" s="13">
        <v>5.6649151685696243E-6</v>
      </c>
      <c r="G271" s="13">
        <v>5.6649151685696242E-4</v>
      </c>
      <c r="H271" s="1">
        <v>270</v>
      </c>
      <c r="I271">
        <v>360</v>
      </c>
    </row>
    <row r="272" spans="1:9" x14ac:dyDescent="0.45">
      <c r="A272">
        <v>2010</v>
      </c>
      <c r="B272">
        <v>7581600</v>
      </c>
      <c r="C272">
        <v>4.2985466508481168E-4</v>
      </c>
      <c r="D272" s="13">
        <v>4.2985466508481163E-6</v>
      </c>
      <c r="E272" s="13">
        <v>4.2985466508481168E-4</v>
      </c>
      <c r="F272" s="13">
        <v>4.2985466508481163E-6</v>
      </c>
      <c r="G272" s="13">
        <v>4.2985466508481168E-4</v>
      </c>
      <c r="H272" s="1">
        <v>271</v>
      </c>
      <c r="I272">
        <v>360</v>
      </c>
    </row>
    <row r="273" spans="1:9" x14ac:dyDescent="0.45">
      <c r="A273">
        <v>2011</v>
      </c>
      <c r="B273">
        <v>7581960</v>
      </c>
      <c r="C273">
        <v>3.0854060773305718E-4</v>
      </c>
      <c r="D273" s="13">
        <v>3.085406077330572E-6</v>
      </c>
      <c r="E273" s="13">
        <v>3.0854060773305718E-4</v>
      </c>
      <c r="F273" s="13">
        <v>3.085406077330572E-6</v>
      </c>
      <c r="G273" s="13">
        <v>3.0854060773305718E-4</v>
      </c>
      <c r="H273" s="1">
        <v>272</v>
      </c>
      <c r="I273">
        <v>360</v>
      </c>
    </row>
    <row r="274" spans="1:9" x14ac:dyDescent="0.45">
      <c r="A274">
        <v>2012</v>
      </c>
      <c r="B274">
        <v>7582320</v>
      </c>
      <c r="C274">
        <v>5.7701883542728865E-4</v>
      </c>
      <c r="D274" s="13">
        <v>5.7701883542728854E-6</v>
      </c>
      <c r="E274" s="13">
        <v>5.7701883542728865E-4</v>
      </c>
      <c r="F274" s="13">
        <v>5.7701883542728854E-6</v>
      </c>
      <c r="G274" s="13">
        <v>5.7701883542728865E-4</v>
      </c>
      <c r="H274" s="1">
        <v>273</v>
      </c>
      <c r="I274">
        <v>360</v>
      </c>
    </row>
    <row r="275" spans="1:9" x14ac:dyDescent="0.45">
      <c r="A275">
        <v>2013</v>
      </c>
      <c r="B275">
        <v>7582680</v>
      </c>
      <c r="C275">
        <v>8.4426260266278266E-4</v>
      </c>
      <c r="D275" s="13">
        <v>8.4426260266278264E-6</v>
      </c>
      <c r="E275" s="13">
        <v>8.4426260266278266E-4</v>
      </c>
      <c r="F275" s="13">
        <v>8.4426260266278264E-6</v>
      </c>
      <c r="G275" s="13">
        <v>8.4426260266278266E-4</v>
      </c>
      <c r="H275" s="1">
        <v>274</v>
      </c>
      <c r="I275">
        <v>360</v>
      </c>
    </row>
    <row r="276" spans="1:9" x14ac:dyDescent="0.45">
      <c r="A276">
        <v>2014</v>
      </c>
      <c r="B276">
        <v>7583040</v>
      </c>
      <c r="C276">
        <v>9.552168804465085E-4</v>
      </c>
      <c r="D276" s="13">
        <v>9.5521688044650852E-6</v>
      </c>
      <c r="E276" s="13">
        <v>9.552168804465085E-4</v>
      </c>
      <c r="F276" s="13">
        <v>9.5521688044650852E-6</v>
      </c>
      <c r="G276" s="13">
        <v>9.552168804465085E-4</v>
      </c>
      <c r="H276" s="1">
        <v>275</v>
      </c>
      <c r="I276">
        <v>360</v>
      </c>
    </row>
    <row r="277" spans="1:9" x14ac:dyDescent="0.45">
      <c r="A277">
        <v>2015</v>
      </c>
      <c r="B277">
        <v>7583400</v>
      </c>
      <c r="C277">
        <v>3.5786093692759128E-4</v>
      </c>
      <c r="D277" s="13">
        <v>3.5786093692759129E-6</v>
      </c>
      <c r="E277" s="13">
        <v>3.5786093692759128E-4</v>
      </c>
      <c r="F277" s="13">
        <v>3.5786093692759129E-6</v>
      </c>
      <c r="G277" s="13">
        <v>3.5786093692759128E-4</v>
      </c>
      <c r="H277" s="1">
        <v>276</v>
      </c>
      <c r="I277">
        <v>360</v>
      </c>
    </row>
    <row r="278" spans="1:9" x14ac:dyDescent="0.45">
      <c r="A278">
        <v>2016</v>
      </c>
      <c r="B278">
        <v>7583760</v>
      </c>
      <c r="C278">
        <v>9.5065057852621645E-4</v>
      </c>
      <c r="D278" s="13">
        <v>9.5065057852621648E-6</v>
      </c>
      <c r="E278" s="13">
        <v>9.5065057852621645E-4</v>
      </c>
      <c r="F278" s="13">
        <v>9.5065057852621648E-6</v>
      </c>
      <c r="G278" s="13">
        <v>9.5065057852621645E-4</v>
      </c>
      <c r="H278" s="1">
        <v>277</v>
      </c>
      <c r="I278">
        <v>360</v>
      </c>
    </row>
    <row r="279" spans="1:9" x14ac:dyDescent="0.45">
      <c r="A279">
        <v>2017</v>
      </c>
      <c r="B279">
        <v>7584120</v>
      </c>
      <c r="C279">
        <v>4.7094307374518279E-4</v>
      </c>
      <c r="D279" s="13">
        <v>4.7094307374518287E-6</v>
      </c>
      <c r="E279" s="13">
        <v>4.7094307374518279E-4</v>
      </c>
      <c r="F279" s="13">
        <v>4.7094307374518287E-6</v>
      </c>
      <c r="G279" s="13">
        <v>4.7094307374518279E-4</v>
      </c>
      <c r="H279" s="1">
        <v>278</v>
      </c>
      <c r="I279">
        <v>360</v>
      </c>
    </row>
    <row r="280" spans="1:9" x14ac:dyDescent="0.45">
      <c r="A280">
        <v>2018</v>
      </c>
      <c r="B280">
        <v>7584480</v>
      </c>
      <c r="C280">
        <v>7.0474477053287924E-4</v>
      </c>
      <c r="D280" s="13">
        <v>7.0474477053287921E-6</v>
      </c>
      <c r="E280" s="13">
        <v>7.0474477053287924E-4</v>
      </c>
      <c r="F280" s="13">
        <v>7.0474477053287921E-6</v>
      </c>
      <c r="G280" s="13">
        <v>7.0474477053287924E-4</v>
      </c>
      <c r="H280" s="1">
        <v>279</v>
      </c>
      <c r="I280">
        <v>360</v>
      </c>
    </row>
    <row r="281" spans="1:9" x14ac:dyDescent="0.45">
      <c r="A281">
        <v>2019</v>
      </c>
      <c r="B281">
        <v>7584840</v>
      </c>
      <c r="C281">
        <v>6.47540851284781E-4</v>
      </c>
      <c r="D281" s="13">
        <v>6.4754085128478099E-6</v>
      </c>
      <c r="E281" s="13">
        <v>6.47540851284781E-4</v>
      </c>
      <c r="F281" s="13">
        <v>6.4754085128478099E-6</v>
      </c>
      <c r="G281" s="13">
        <v>6.47540851284781E-4</v>
      </c>
      <c r="H281" s="1">
        <v>280</v>
      </c>
      <c r="I281">
        <v>360</v>
      </c>
    </row>
    <row r="282" spans="1:9" x14ac:dyDescent="0.45">
      <c r="A282">
        <v>2020</v>
      </c>
      <c r="B282">
        <v>7585200</v>
      </c>
      <c r="C282">
        <v>9.4119160098010126E-4</v>
      </c>
      <c r="D282" s="13">
        <v>9.4119160098010124E-6</v>
      </c>
      <c r="E282" s="13">
        <v>9.4119160098010126E-4</v>
      </c>
      <c r="F282" s="13">
        <v>9.4119160098010124E-6</v>
      </c>
      <c r="G282" s="13">
        <v>9.4119160098010126E-4</v>
      </c>
      <c r="H282" s="1">
        <v>281</v>
      </c>
      <c r="I282">
        <v>360</v>
      </c>
    </row>
    <row r="283" spans="1:9" x14ac:dyDescent="0.45">
      <c r="A283">
        <v>2021</v>
      </c>
      <c r="B283">
        <v>7585560</v>
      </c>
      <c r="C283">
        <v>5.0662494239123103E-4</v>
      </c>
      <c r="D283" s="13">
        <v>5.0662494239123114E-6</v>
      </c>
      <c r="E283" s="13">
        <v>5.0662494239123103E-4</v>
      </c>
      <c r="F283" s="13">
        <v>5.0662494239123114E-6</v>
      </c>
      <c r="G283" s="13">
        <v>5.0662494239123103E-4</v>
      </c>
      <c r="H283" s="1">
        <v>282</v>
      </c>
      <c r="I283">
        <v>360</v>
      </c>
    </row>
    <row r="284" spans="1:9" x14ac:dyDescent="0.45">
      <c r="A284">
        <v>2022</v>
      </c>
      <c r="B284">
        <v>7585920</v>
      </c>
      <c r="C284">
        <v>5.5343966107292586E-4</v>
      </c>
      <c r="D284" s="13">
        <v>5.5343966107292573E-6</v>
      </c>
      <c r="E284" s="13">
        <v>5.5343966107292586E-4</v>
      </c>
      <c r="F284" s="13">
        <v>5.5343966107292573E-6</v>
      </c>
      <c r="G284" s="13">
        <v>5.5343966107292586E-4</v>
      </c>
      <c r="H284" s="1">
        <v>283</v>
      </c>
      <c r="I284">
        <v>360</v>
      </c>
    </row>
    <row r="285" spans="1:9" x14ac:dyDescent="0.45">
      <c r="A285">
        <v>2023</v>
      </c>
      <c r="B285">
        <v>7586280</v>
      </c>
      <c r="C285">
        <v>6.3697425558412722E-4</v>
      </c>
      <c r="D285" s="13">
        <v>6.3697425558412728E-6</v>
      </c>
      <c r="E285" s="13">
        <v>6.3697425558412722E-4</v>
      </c>
      <c r="F285" s="13">
        <v>6.3697425558412728E-6</v>
      </c>
      <c r="G285" s="13">
        <v>6.3697425558412722E-4</v>
      </c>
      <c r="H285" s="1">
        <v>284</v>
      </c>
      <c r="I285">
        <v>360</v>
      </c>
    </row>
    <row r="286" spans="1:9" x14ac:dyDescent="0.45">
      <c r="A286">
        <v>2024</v>
      </c>
      <c r="B286">
        <v>7586640</v>
      </c>
      <c r="C286">
        <v>7.291229427225874E-4</v>
      </c>
      <c r="D286" s="13">
        <v>7.2912294272258739E-6</v>
      </c>
      <c r="E286" s="13">
        <v>7.291229427225874E-4</v>
      </c>
      <c r="F286" s="13">
        <v>7.2912294272258739E-6</v>
      </c>
      <c r="G286" s="13">
        <v>7.291229427225874E-4</v>
      </c>
      <c r="H286" s="1">
        <v>285</v>
      </c>
      <c r="I286">
        <v>360</v>
      </c>
    </row>
    <row r="287" spans="1:9" x14ac:dyDescent="0.45">
      <c r="A287">
        <v>2025</v>
      </c>
      <c r="B287">
        <v>7587000</v>
      </c>
      <c r="C287">
        <v>6.4225139746381982E-4</v>
      </c>
      <c r="D287" s="13">
        <v>6.4225139746381978E-6</v>
      </c>
      <c r="E287" s="13">
        <v>6.4225139746381982E-4</v>
      </c>
      <c r="F287" s="13">
        <v>6.4225139746381978E-6</v>
      </c>
      <c r="G287" s="13">
        <v>6.4225139746381982E-4</v>
      </c>
      <c r="H287" s="1">
        <v>286</v>
      </c>
      <c r="I287">
        <v>360</v>
      </c>
    </row>
    <row r="288" spans="1:9" x14ac:dyDescent="0.45">
      <c r="A288">
        <v>2026</v>
      </c>
      <c r="B288">
        <v>7587360</v>
      </c>
      <c r="C288">
        <v>4.8630228955171201E-4</v>
      </c>
      <c r="D288" s="13">
        <v>4.86302289551712E-6</v>
      </c>
      <c r="E288" s="13">
        <v>4.8630228955171201E-4</v>
      </c>
      <c r="F288" s="13">
        <v>4.86302289551712E-6</v>
      </c>
      <c r="G288" s="13">
        <v>4.8630228955171201E-4</v>
      </c>
      <c r="H288" s="1">
        <v>287</v>
      </c>
      <c r="I288">
        <v>360</v>
      </c>
    </row>
    <row r="289" spans="1:9" x14ac:dyDescent="0.45">
      <c r="A289">
        <v>2027</v>
      </c>
      <c r="B289">
        <v>7587720</v>
      </c>
      <c r="C289">
        <v>7.8134219163826664E-4</v>
      </c>
      <c r="D289" s="13">
        <v>7.8134219163826665E-6</v>
      </c>
      <c r="E289" s="13">
        <v>7.8134219163826664E-4</v>
      </c>
      <c r="F289" s="13">
        <v>7.8134219163826665E-6</v>
      </c>
      <c r="G289" s="13">
        <v>7.8134219163826664E-4</v>
      </c>
      <c r="H289" s="1">
        <v>288</v>
      </c>
      <c r="I289">
        <v>360</v>
      </c>
    </row>
    <row r="290" spans="1:9" x14ac:dyDescent="0.45">
      <c r="A290">
        <v>2028</v>
      </c>
      <c r="B290">
        <v>7588080</v>
      </c>
      <c r="C290">
        <v>5.8506117777726231E-4</v>
      </c>
      <c r="D290" s="13">
        <v>5.850611777772623E-6</v>
      </c>
      <c r="E290" s="13">
        <v>5.8506117777726231E-4</v>
      </c>
      <c r="F290" s="13">
        <v>5.850611777772623E-6</v>
      </c>
      <c r="G290" s="13">
        <v>5.8506117777726231E-4</v>
      </c>
      <c r="H290" s="1">
        <v>289</v>
      </c>
      <c r="I290">
        <v>360</v>
      </c>
    </row>
    <row r="291" spans="1:9" x14ac:dyDescent="0.45">
      <c r="A291">
        <v>2029</v>
      </c>
      <c r="B291">
        <v>7588440</v>
      </c>
      <c r="C291">
        <v>6.370758623671785E-4</v>
      </c>
      <c r="D291" s="13">
        <v>6.3707586236717856E-6</v>
      </c>
      <c r="E291" s="13">
        <v>6.370758623671785E-4</v>
      </c>
      <c r="F291" s="13">
        <v>6.3707586236717856E-6</v>
      </c>
      <c r="G291" s="13">
        <v>6.370758623671785E-4</v>
      </c>
      <c r="H291" s="1">
        <v>290</v>
      </c>
      <c r="I291">
        <v>360</v>
      </c>
    </row>
    <row r="292" spans="1:9" x14ac:dyDescent="0.45">
      <c r="A292">
        <v>2030</v>
      </c>
      <c r="B292">
        <v>7588800</v>
      </c>
      <c r="C292">
        <v>8.0515352214514436E-4</v>
      </c>
      <c r="D292" s="13">
        <v>8.0515352214514445E-6</v>
      </c>
      <c r="E292" s="13">
        <v>8.0515352214514436E-4</v>
      </c>
      <c r="F292" s="13">
        <v>8.0515352214514445E-6</v>
      </c>
      <c r="G292" s="13">
        <v>8.0515352214514436E-4</v>
      </c>
      <c r="H292" s="1">
        <v>291</v>
      </c>
      <c r="I292">
        <v>360</v>
      </c>
    </row>
    <row r="293" spans="1:9" x14ac:dyDescent="0.45">
      <c r="A293">
        <v>2031</v>
      </c>
      <c r="B293">
        <v>7589160</v>
      </c>
      <c r="C293">
        <v>5.750724982417129E-4</v>
      </c>
      <c r="D293" s="13">
        <v>5.750724982417129E-6</v>
      </c>
      <c r="E293" s="13">
        <v>5.750724982417129E-4</v>
      </c>
      <c r="F293" s="13">
        <v>5.750724982417129E-6</v>
      </c>
      <c r="G293" s="13">
        <v>5.750724982417129E-4</v>
      </c>
      <c r="H293" s="1">
        <v>292</v>
      </c>
      <c r="I293">
        <v>360</v>
      </c>
    </row>
    <row r="294" spans="1:9" x14ac:dyDescent="0.45">
      <c r="A294">
        <v>2032</v>
      </c>
      <c r="B294">
        <v>7589520</v>
      </c>
      <c r="C294">
        <v>6.7040596663695798E-4</v>
      </c>
      <c r="D294" s="13">
        <v>6.7040596663695799E-6</v>
      </c>
      <c r="E294" s="13">
        <v>6.7040596663695798E-4</v>
      </c>
      <c r="F294" s="13">
        <v>6.7040596663695799E-6</v>
      </c>
      <c r="G294" s="13">
        <v>6.7040596663695798E-4</v>
      </c>
      <c r="H294" s="1">
        <v>293</v>
      </c>
      <c r="I294">
        <v>360</v>
      </c>
    </row>
    <row r="295" spans="1:9" x14ac:dyDescent="0.45">
      <c r="A295">
        <v>2033</v>
      </c>
      <c r="B295">
        <v>7589880</v>
      </c>
      <c r="C295">
        <v>6.6752831004103605E-4</v>
      </c>
      <c r="D295" s="13">
        <v>6.6752831004103607E-6</v>
      </c>
      <c r="E295" s="13">
        <v>6.6752831004103605E-4</v>
      </c>
      <c r="F295" s="13">
        <v>6.6752831004103607E-6</v>
      </c>
      <c r="G295" s="13">
        <v>6.6752831004103605E-4</v>
      </c>
      <c r="H295" s="1">
        <v>294</v>
      </c>
      <c r="I295">
        <v>360</v>
      </c>
    </row>
    <row r="296" spans="1:9" x14ac:dyDescent="0.45">
      <c r="A296">
        <v>2034</v>
      </c>
      <c r="B296">
        <v>7590240</v>
      </c>
      <c r="C296">
        <v>6.8681608077582183E-4</v>
      </c>
      <c r="D296" s="13">
        <v>6.8681608077582194E-6</v>
      </c>
      <c r="E296" s="13">
        <v>6.8681608077582183E-4</v>
      </c>
      <c r="F296" s="13">
        <v>6.8681608077582194E-6</v>
      </c>
      <c r="G296" s="13">
        <v>6.8681608077582183E-4</v>
      </c>
      <c r="H296" s="1">
        <v>295</v>
      </c>
      <c r="I296">
        <v>360</v>
      </c>
    </row>
    <row r="297" spans="1:9" x14ac:dyDescent="0.45">
      <c r="A297">
        <v>2035</v>
      </c>
      <c r="B297">
        <v>7590600</v>
      </c>
      <c r="C297">
        <v>8.5098987706838051E-4</v>
      </c>
      <c r="D297" s="13">
        <v>8.5098987706838055E-6</v>
      </c>
      <c r="E297" s="13">
        <v>8.5098987706838051E-4</v>
      </c>
      <c r="F297" s="13">
        <v>8.5098987706838055E-6</v>
      </c>
      <c r="G297" s="13">
        <v>8.5098987706838051E-4</v>
      </c>
      <c r="H297" s="1">
        <v>296</v>
      </c>
      <c r="I297">
        <v>360</v>
      </c>
    </row>
    <row r="298" spans="1:9" x14ac:dyDescent="0.45">
      <c r="A298">
        <v>2036</v>
      </c>
      <c r="B298">
        <v>7590960</v>
      </c>
      <c r="C298">
        <v>6.7755654381398901E-4</v>
      </c>
      <c r="D298" s="13">
        <v>6.7755654381398902E-6</v>
      </c>
      <c r="E298" s="13">
        <v>6.7755654381398901E-4</v>
      </c>
      <c r="F298" s="13">
        <v>6.7755654381398902E-6</v>
      </c>
      <c r="G298" s="13">
        <v>6.7755654381398901E-4</v>
      </c>
      <c r="H298" s="1">
        <v>297</v>
      </c>
      <c r="I298">
        <v>360</v>
      </c>
    </row>
    <row r="299" spans="1:9" x14ac:dyDescent="0.45">
      <c r="A299">
        <v>2037</v>
      </c>
      <c r="B299">
        <v>7591320</v>
      </c>
      <c r="C299">
        <v>9.4339543613295384E-4</v>
      </c>
      <c r="D299" s="13">
        <v>9.4339543613295396E-6</v>
      </c>
      <c r="E299" s="13">
        <v>9.4339543613295384E-4</v>
      </c>
      <c r="F299" s="13">
        <v>9.4339543613295396E-6</v>
      </c>
      <c r="G299" s="13">
        <v>9.4339543613295384E-4</v>
      </c>
      <c r="H299" s="1">
        <v>298</v>
      </c>
      <c r="I299">
        <v>360</v>
      </c>
    </row>
    <row r="300" spans="1:9" x14ac:dyDescent="0.45">
      <c r="A300">
        <v>2038</v>
      </c>
      <c r="B300">
        <v>7591680</v>
      </c>
      <c r="C300">
        <v>5.8085408169564559E-4</v>
      </c>
      <c r="D300" s="13">
        <v>5.8085408169564554E-6</v>
      </c>
      <c r="E300" s="13">
        <v>5.8085408169564559E-4</v>
      </c>
      <c r="F300" s="13">
        <v>5.8085408169564554E-6</v>
      </c>
      <c r="G300" s="13">
        <v>5.8085408169564559E-4</v>
      </c>
      <c r="H300" s="1">
        <v>299</v>
      </c>
      <c r="I300">
        <v>360</v>
      </c>
    </row>
    <row r="301" spans="1:9" x14ac:dyDescent="0.45">
      <c r="A301">
        <v>2039</v>
      </c>
      <c r="B301">
        <v>7592040</v>
      </c>
      <c r="C301">
        <v>3.6120501290660029E-4</v>
      </c>
      <c r="D301" s="13">
        <v>3.6120501290660029E-6</v>
      </c>
      <c r="E301" s="13">
        <v>3.6120501290660029E-4</v>
      </c>
      <c r="F301" s="13">
        <v>3.6120501290660029E-6</v>
      </c>
      <c r="G301" s="13">
        <v>3.6120501290660029E-4</v>
      </c>
      <c r="H301" s="1">
        <v>300</v>
      </c>
      <c r="I301">
        <v>360</v>
      </c>
    </row>
    <row r="302" spans="1:9" x14ac:dyDescent="0.45">
      <c r="A302">
        <v>2040</v>
      </c>
      <c r="B302">
        <v>7592400</v>
      </c>
      <c r="C302">
        <v>6.2975536923403231E-4</v>
      </c>
      <c r="D302" s="13">
        <v>6.2975536923403224E-6</v>
      </c>
      <c r="E302" s="13">
        <v>6.2975536923403231E-4</v>
      </c>
      <c r="F302" s="13">
        <v>6.2975536923403224E-6</v>
      </c>
      <c r="G302" s="13">
        <v>6.2975536923403231E-4</v>
      </c>
      <c r="H302" s="1">
        <v>301</v>
      </c>
      <c r="I302">
        <v>360</v>
      </c>
    </row>
    <row r="303" spans="1:9" x14ac:dyDescent="0.45">
      <c r="A303">
        <v>2041</v>
      </c>
      <c r="B303">
        <v>7592760</v>
      </c>
      <c r="C303">
        <v>7.228323272845125E-4</v>
      </c>
      <c r="D303" s="13">
        <v>7.2283232728451259E-6</v>
      </c>
      <c r="E303" s="13">
        <v>7.228323272845125E-4</v>
      </c>
      <c r="F303" s="13">
        <v>7.2283232728451259E-6</v>
      </c>
      <c r="G303" s="13">
        <v>7.228323272845125E-4</v>
      </c>
      <c r="H303" s="1">
        <v>302</v>
      </c>
      <c r="I303">
        <v>360</v>
      </c>
    </row>
    <row r="304" spans="1:9" x14ac:dyDescent="0.45">
      <c r="A304">
        <v>2042</v>
      </c>
      <c r="B304">
        <v>7593120</v>
      </c>
      <c r="C304">
        <v>4.6803677487896461E-4</v>
      </c>
      <c r="D304" s="13">
        <v>4.6803677487896461E-6</v>
      </c>
      <c r="E304" s="13">
        <v>4.6803677487896461E-4</v>
      </c>
      <c r="F304" s="13">
        <v>4.6803677487896461E-6</v>
      </c>
      <c r="G304" s="13">
        <v>4.6803677487896461E-4</v>
      </c>
      <c r="H304" s="1">
        <v>303</v>
      </c>
      <c r="I304">
        <v>360</v>
      </c>
    </row>
    <row r="305" spans="1:9" x14ac:dyDescent="0.45">
      <c r="A305">
        <v>2043</v>
      </c>
      <c r="B305">
        <v>7593480</v>
      </c>
      <c r="C305">
        <v>7.7336905885629418E-4</v>
      </c>
      <c r="D305" s="13">
        <v>7.7336905885629418E-6</v>
      </c>
      <c r="E305" s="13">
        <v>7.7336905885629418E-4</v>
      </c>
      <c r="F305" s="13">
        <v>7.7336905885629418E-6</v>
      </c>
      <c r="G305" s="13">
        <v>7.7336905885629418E-4</v>
      </c>
      <c r="H305" s="1">
        <v>304</v>
      </c>
      <c r="I305">
        <v>360</v>
      </c>
    </row>
    <row r="306" spans="1:9" x14ac:dyDescent="0.45">
      <c r="A306">
        <v>2044</v>
      </c>
      <c r="B306">
        <v>7593840</v>
      </c>
      <c r="C306">
        <v>5.6237098746364077E-4</v>
      </c>
      <c r="D306" s="13">
        <v>5.6237098746364081E-6</v>
      </c>
      <c r="E306" s="13">
        <v>5.6237098746364077E-4</v>
      </c>
      <c r="F306" s="13">
        <v>5.6237098746364081E-6</v>
      </c>
      <c r="G306" s="13">
        <v>5.6237098746364077E-4</v>
      </c>
      <c r="H306" s="1">
        <v>305</v>
      </c>
      <c r="I306">
        <v>360</v>
      </c>
    </row>
    <row r="307" spans="1:9" x14ac:dyDescent="0.45">
      <c r="A307">
        <v>2045</v>
      </c>
      <c r="B307">
        <v>7594200</v>
      </c>
      <c r="C307">
        <v>8.1362777910270177E-4</v>
      </c>
      <c r="D307" s="13">
        <v>8.1362777910270177E-6</v>
      </c>
      <c r="E307" s="13">
        <v>8.1362777910270177E-4</v>
      </c>
      <c r="F307" s="13">
        <v>8.1362777910270177E-6</v>
      </c>
      <c r="G307" s="13">
        <v>8.1362777910270177E-4</v>
      </c>
      <c r="H307" s="1">
        <v>306</v>
      </c>
      <c r="I307">
        <v>360</v>
      </c>
    </row>
    <row r="308" spans="1:9" x14ac:dyDescent="0.45">
      <c r="A308">
        <v>2046</v>
      </c>
      <c r="B308">
        <v>7594560</v>
      </c>
      <c r="C308">
        <v>4.356087488178263E-4</v>
      </c>
      <c r="D308" s="13">
        <v>4.3560874881782632E-6</v>
      </c>
      <c r="E308" s="13">
        <v>4.356087488178263E-4</v>
      </c>
      <c r="F308" s="13">
        <v>4.3560874881782632E-6</v>
      </c>
      <c r="G308" s="13">
        <v>4.356087488178263E-4</v>
      </c>
      <c r="H308" s="1">
        <v>307</v>
      </c>
      <c r="I308">
        <v>360</v>
      </c>
    </row>
    <row r="309" spans="1:9" x14ac:dyDescent="0.45">
      <c r="A309">
        <v>2047</v>
      </c>
      <c r="B309">
        <v>7594920</v>
      </c>
      <c r="C309">
        <v>1.0028195602172999E-3</v>
      </c>
      <c r="D309" s="13">
        <v>1.0028195602173E-5</v>
      </c>
      <c r="E309" s="13">
        <v>1.0028195602172999E-3</v>
      </c>
      <c r="F309" s="13">
        <v>1.0028195602173E-5</v>
      </c>
      <c r="G309" s="13">
        <v>1.0028195602172999E-3</v>
      </c>
      <c r="H309" s="1">
        <v>308</v>
      </c>
      <c r="I309">
        <v>360</v>
      </c>
    </row>
    <row r="310" spans="1:9" x14ac:dyDescent="0.45">
      <c r="A310">
        <v>2048</v>
      </c>
      <c r="B310">
        <v>7595280</v>
      </c>
      <c r="C310">
        <v>5.0364788225881177E-4</v>
      </c>
      <c r="D310" s="13">
        <v>5.0364788225881183E-6</v>
      </c>
      <c r="E310" s="13">
        <v>5.0364788225881177E-4</v>
      </c>
      <c r="F310" s="13">
        <v>5.0364788225881183E-6</v>
      </c>
      <c r="G310" s="13">
        <v>5.0364788225881177E-4</v>
      </c>
      <c r="H310" s="1">
        <v>309</v>
      </c>
      <c r="I310">
        <v>360</v>
      </c>
    </row>
    <row r="311" spans="1:9" x14ac:dyDescent="0.45">
      <c r="A311">
        <v>2049</v>
      </c>
      <c r="B311">
        <v>7595640</v>
      </c>
      <c r="C311">
        <v>7.9643019829107138E-4</v>
      </c>
      <c r="D311" s="13">
        <v>7.9643019829107136E-6</v>
      </c>
      <c r="E311" s="13">
        <v>7.9643019829107138E-4</v>
      </c>
      <c r="F311" s="13">
        <v>7.9643019829107136E-6</v>
      </c>
      <c r="G311" s="13">
        <v>7.9643019829107138E-4</v>
      </c>
      <c r="H311" s="1">
        <v>310</v>
      </c>
      <c r="I311">
        <v>360</v>
      </c>
    </row>
    <row r="312" spans="1:9" x14ac:dyDescent="0.45">
      <c r="A312">
        <v>2050</v>
      </c>
      <c r="B312">
        <v>7596000</v>
      </c>
      <c r="C312">
        <v>4.7180228576033662E-4</v>
      </c>
      <c r="D312" s="13">
        <v>4.7180228576033659E-6</v>
      </c>
      <c r="E312" s="13">
        <v>4.7180228576033662E-4</v>
      </c>
      <c r="F312" s="13">
        <v>4.7180228576033659E-6</v>
      </c>
      <c r="G312" s="13">
        <v>4.7180228576033662E-4</v>
      </c>
      <c r="H312" s="1">
        <v>311</v>
      </c>
      <c r="I312">
        <v>360</v>
      </c>
    </row>
    <row r="313" spans="1:9" x14ac:dyDescent="0.45">
      <c r="A313">
        <v>2051</v>
      </c>
      <c r="B313">
        <v>7596360</v>
      </c>
      <c r="C313">
        <v>6.1373542849109256E-4</v>
      </c>
      <c r="D313" s="13">
        <v>6.137354284910926E-6</v>
      </c>
      <c r="E313" s="13">
        <v>6.1373542849109256E-4</v>
      </c>
      <c r="F313" s="13">
        <v>6.137354284910926E-6</v>
      </c>
      <c r="G313" s="13">
        <v>6.1373542849109256E-4</v>
      </c>
      <c r="H313" s="1">
        <v>312</v>
      </c>
      <c r="I313">
        <v>360</v>
      </c>
    </row>
    <row r="314" spans="1:9" x14ac:dyDescent="0.45">
      <c r="A314">
        <v>2052</v>
      </c>
      <c r="B314">
        <v>7596720</v>
      </c>
      <c r="C314">
        <v>6.4311012308476624E-4</v>
      </c>
      <c r="D314" s="13">
        <v>6.4311012308476629E-6</v>
      </c>
      <c r="E314" s="13">
        <v>6.4311012308476624E-4</v>
      </c>
      <c r="F314" s="13">
        <v>6.4311012308476629E-6</v>
      </c>
      <c r="G314" s="13">
        <v>6.4311012308476624E-4</v>
      </c>
      <c r="H314" s="1">
        <v>313</v>
      </c>
      <c r="I314">
        <v>360</v>
      </c>
    </row>
    <row r="315" spans="1:9" x14ac:dyDescent="0.45">
      <c r="A315">
        <v>2053</v>
      </c>
      <c r="B315">
        <v>7597080</v>
      </c>
      <c r="C315">
        <v>6.2770310871303756E-4</v>
      </c>
      <c r="D315" s="13">
        <v>6.2770310871303753E-6</v>
      </c>
      <c r="E315" s="13">
        <v>6.2770310871303756E-4</v>
      </c>
      <c r="F315" s="13">
        <v>6.2770310871303753E-6</v>
      </c>
      <c r="G315" s="13">
        <v>6.2770310871303756E-4</v>
      </c>
      <c r="H315" s="1">
        <v>314</v>
      </c>
      <c r="I315">
        <v>360</v>
      </c>
    </row>
    <row r="316" spans="1:9" x14ac:dyDescent="0.45">
      <c r="A316">
        <v>2054</v>
      </c>
      <c r="B316">
        <v>7597440</v>
      </c>
      <c r="C316">
        <v>5.7559569640524308E-4</v>
      </c>
      <c r="D316" s="13">
        <v>5.7559569640524311E-6</v>
      </c>
      <c r="E316" s="13">
        <v>5.7559569640524308E-4</v>
      </c>
      <c r="F316" s="13">
        <v>5.7559569640524311E-6</v>
      </c>
      <c r="G316" s="13">
        <v>5.7559569640524308E-4</v>
      </c>
      <c r="H316" s="1">
        <v>315</v>
      </c>
      <c r="I316">
        <v>360</v>
      </c>
    </row>
    <row r="317" spans="1:9" x14ac:dyDescent="0.45">
      <c r="A317">
        <v>2055</v>
      </c>
      <c r="B317">
        <v>7597800</v>
      </c>
      <c r="C317">
        <v>5.3332641124062639E-4</v>
      </c>
      <c r="D317" s="13">
        <v>5.3332641124062646E-6</v>
      </c>
      <c r="E317" s="13">
        <v>5.3332641124062639E-4</v>
      </c>
      <c r="F317" s="13">
        <v>5.3332641124062646E-6</v>
      </c>
      <c r="G317" s="13">
        <v>5.3332641124062639E-4</v>
      </c>
      <c r="H317" s="1">
        <v>316</v>
      </c>
      <c r="I317">
        <v>360</v>
      </c>
    </row>
    <row r="318" spans="1:9" x14ac:dyDescent="0.45">
      <c r="A318">
        <v>2056</v>
      </c>
      <c r="B318">
        <v>7598160</v>
      </c>
      <c r="C318">
        <v>8.2728508003655082E-4</v>
      </c>
      <c r="D318" s="13">
        <v>8.2728508003655077E-6</v>
      </c>
      <c r="E318" s="13">
        <v>8.2728508003655082E-4</v>
      </c>
      <c r="F318" s="13">
        <v>8.2728508003655077E-6</v>
      </c>
      <c r="G318" s="13">
        <v>8.2728508003655082E-4</v>
      </c>
      <c r="H318" s="1">
        <v>317</v>
      </c>
      <c r="I318">
        <v>360</v>
      </c>
    </row>
    <row r="319" spans="1:9" x14ac:dyDescent="0.45">
      <c r="A319">
        <v>2057</v>
      </c>
      <c r="B319">
        <v>7598520</v>
      </c>
      <c r="C319">
        <v>9.7268368705790624E-4</v>
      </c>
      <c r="D319" s="13">
        <v>9.7268368705790621E-6</v>
      </c>
      <c r="E319" s="13">
        <v>9.7268368705790624E-4</v>
      </c>
      <c r="F319" s="13">
        <v>9.7268368705790621E-6</v>
      </c>
      <c r="G319" s="13">
        <v>9.7268368705790624E-4</v>
      </c>
      <c r="H319" s="1">
        <v>318</v>
      </c>
      <c r="I319">
        <v>360</v>
      </c>
    </row>
    <row r="320" spans="1:9" x14ac:dyDescent="0.45">
      <c r="A320">
        <v>2058</v>
      </c>
      <c r="B320">
        <v>7598880</v>
      </c>
      <c r="C320">
        <v>4.8961483057842047E-4</v>
      </c>
      <c r="D320" s="13">
        <v>4.8961483057842049E-6</v>
      </c>
      <c r="E320" s="13">
        <v>4.8961483057842047E-4</v>
      </c>
      <c r="F320" s="13">
        <v>4.8961483057842049E-6</v>
      </c>
      <c r="G320" s="13">
        <v>4.8961483057842047E-4</v>
      </c>
      <c r="H320" s="1">
        <v>319</v>
      </c>
      <c r="I320">
        <v>360</v>
      </c>
    </row>
    <row r="321" spans="1:9" x14ac:dyDescent="0.45">
      <c r="A321">
        <v>2059</v>
      </c>
      <c r="B321">
        <v>7599240</v>
      </c>
      <c r="C321">
        <v>5.6725746685323385E-4</v>
      </c>
      <c r="D321" s="13">
        <v>5.6725746685323379E-6</v>
      </c>
      <c r="E321" s="13">
        <v>5.6725746685323385E-4</v>
      </c>
      <c r="F321" s="13">
        <v>5.6725746685323379E-6</v>
      </c>
      <c r="G321" s="13">
        <v>5.6725746685323385E-4</v>
      </c>
      <c r="H321" s="1">
        <v>320</v>
      </c>
      <c r="I321">
        <v>360</v>
      </c>
    </row>
    <row r="322" spans="1:9" x14ac:dyDescent="0.45">
      <c r="A322">
        <v>2060</v>
      </c>
      <c r="B322">
        <v>7599600</v>
      </c>
      <c r="C322">
        <v>5.7586134556664864E-4</v>
      </c>
      <c r="D322" s="13">
        <v>5.7586134556664866E-6</v>
      </c>
      <c r="E322" s="13">
        <v>5.7586134556664864E-4</v>
      </c>
      <c r="F322" s="13">
        <v>5.7586134556664866E-6</v>
      </c>
      <c r="G322" s="13">
        <v>5.7586134556664864E-4</v>
      </c>
      <c r="H322" s="1">
        <v>321</v>
      </c>
      <c r="I322">
        <v>360</v>
      </c>
    </row>
    <row r="323" spans="1:9" x14ac:dyDescent="0.45">
      <c r="A323">
        <v>2061</v>
      </c>
      <c r="B323">
        <v>7599960</v>
      </c>
      <c r="C323">
        <v>6.64750588599489E-4</v>
      </c>
      <c r="D323" s="13">
        <v>6.6475058859948897E-6</v>
      </c>
      <c r="E323" s="13">
        <v>6.64750588599489E-4</v>
      </c>
      <c r="F323" s="13">
        <v>6.6475058859948897E-6</v>
      </c>
      <c r="G323" s="13">
        <v>6.64750588599489E-4</v>
      </c>
      <c r="H323" s="1">
        <v>322</v>
      </c>
      <c r="I323">
        <v>360</v>
      </c>
    </row>
    <row r="324" spans="1:9" x14ac:dyDescent="0.45">
      <c r="A324">
        <v>2062</v>
      </c>
      <c r="B324">
        <v>7600320</v>
      </c>
      <c r="C324">
        <v>9.4712108096549959E-4</v>
      </c>
      <c r="D324" s="13">
        <v>9.4712108096549968E-6</v>
      </c>
      <c r="E324" s="13">
        <v>9.4712108096549959E-4</v>
      </c>
      <c r="F324" s="13">
        <v>9.4712108096549968E-6</v>
      </c>
      <c r="G324" s="13">
        <v>9.4712108096549959E-4</v>
      </c>
      <c r="H324" s="1">
        <v>323</v>
      </c>
      <c r="I324">
        <v>360</v>
      </c>
    </row>
    <row r="325" spans="1:9" x14ac:dyDescent="0.45">
      <c r="A325">
        <v>2063</v>
      </c>
      <c r="B325">
        <v>7600680</v>
      </c>
      <c r="C325">
        <v>5.5438130895789643E-4</v>
      </c>
      <c r="D325" s="13">
        <v>5.5438130895789654E-6</v>
      </c>
      <c r="E325" s="13">
        <v>5.5438130895789643E-4</v>
      </c>
      <c r="F325" s="13">
        <v>5.5438130895789654E-6</v>
      </c>
      <c r="G325" s="13">
        <v>5.5438130895789643E-4</v>
      </c>
      <c r="H325" s="1">
        <v>324</v>
      </c>
      <c r="I325">
        <v>360</v>
      </c>
    </row>
    <row r="326" spans="1:9" x14ac:dyDescent="0.45">
      <c r="A326">
        <v>2064</v>
      </c>
      <c r="B326">
        <v>7601040</v>
      </c>
      <c r="C326">
        <v>9.0184342071178349E-4</v>
      </c>
      <c r="D326" s="13">
        <v>9.0184342071178359E-6</v>
      </c>
      <c r="E326" s="13">
        <v>9.0184342071178349E-4</v>
      </c>
      <c r="F326" s="13">
        <v>9.0184342071178359E-6</v>
      </c>
      <c r="G326" s="13">
        <v>9.0184342071178349E-4</v>
      </c>
      <c r="H326" s="1">
        <v>325</v>
      </c>
      <c r="I326">
        <v>360</v>
      </c>
    </row>
    <row r="327" spans="1:9" x14ac:dyDescent="0.45">
      <c r="A327">
        <v>2065</v>
      </c>
      <c r="B327">
        <v>7601400</v>
      </c>
      <c r="C327">
        <v>6.2612911789142764E-4</v>
      </c>
      <c r="D327" s="13">
        <v>6.2612911789142768E-6</v>
      </c>
      <c r="E327" s="13">
        <v>6.2612911789142764E-4</v>
      </c>
      <c r="F327" s="13">
        <v>6.2612911789142768E-6</v>
      </c>
      <c r="G327" s="13">
        <v>6.2612911789142764E-4</v>
      </c>
      <c r="H327" s="1">
        <v>326</v>
      </c>
      <c r="I327">
        <v>360</v>
      </c>
    </row>
    <row r="328" spans="1:9" x14ac:dyDescent="0.45">
      <c r="A328">
        <v>2066</v>
      </c>
      <c r="B328">
        <v>7601760</v>
      </c>
      <c r="C328">
        <v>7.5873173424928584E-4</v>
      </c>
      <c r="D328" s="13">
        <v>7.5873173424928586E-6</v>
      </c>
      <c r="E328" s="13">
        <v>7.5873173424928584E-4</v>
      </c>
      <c r="F328" s="13">
        <v>7.5873173424928586E-6</v>
      </c>
      <c r="G328" s="13">
        <v>7.5873173424928584E-4</v>
      </c>
      <c r="H328" s="1">
        <v>327</v>
      </c>
      <c r="I328">
        <v>360</v>
      </c>
    </row>
    <row r="329" spans="1:9" x14ac:dyDescent="0.45">
      <c r="A329">
        <v>2067</v>
      </c>
      <c r="B329">
        <v>7602120</v>
      </c>
      <c r="C329">
        <v>6.1259290710490542E-4</v>
      </c>
      <c r="D329" s="13">
        <v>6.1259290710490544E-6</v>
      </c>
      <c r="E329" s="13">
        <v>6.1259290710490542E-4</v>
      </c>
      <c r="F329" s="13">
        <v>6.1259290710490544E-6</v>
      </c>
      <c r="G329" s="13">
        <v>6.1259290710490542E-4</v>
      </c>
      <c r="H329" s="1">
        <v>328</v>
      </c>
      <c r="I329">
        <v>360</v>
      </c>
    </row>
    <row r="330" spans="1:9" x14ac:dyDescent="0.45">
      <c r="A330">
        <v>2068</v>
      </c>
      <c r="B330">
        <v>7602480</v>
      </c>
      <c r="C330">
        <v>6.9084118394068103E-4</v>
      </c>
      <c r="D330" s="13">
        <v>6.9084118394068097E-6</v>
      </c>
      <c r="E330" s="13">
        <v>6.9084118394068103E-4</v>
      </c>
      <c r="F330" s="13">
        <v>6.9084118394068097E-6</v>
      </c>
      <c r="G330" s="13">
        <v>6.9084118394068103E-4</v>
      </c>
      <c r="H330" s="1">
        <v>329</v>
      </c>
      <c r="I330">
        <v>360</v>
      </c>
    </row>
    <row r="331" spans="1:9" x14ac:dyDescent="0.45">
      <c r="A331">
        <v>2069</v>
      </c>
      <c r="B331">
        <v>7602840</v>
      </c>
      <c r="C331">
        <v>6.6669851278469488E-4</v>
      </c>
      <c r="D331" s="13">
        <v>6.6669851278469489E-6</v>
      </c>
      <c r="E331" s="13">
        <v>6.6669851278469488E-4</v>
      </c>
      <c r="F331" s="13">
        <v>6.6669851278469489E-6</v>
      </c>
      <c r="G331" s="13">
        <v>6.6669851278469488E-4</v>
      </c>
      <c r="H331" s="1">
        <v>330</v>
      </c>
      <c r="I331">
        <v>360</v>
      </c>
    </row>
    <row r="332" spans="1:9" x14ac:dyDescent="0.45">
      <c r="A332">
        <v>2070</v>
      </c>
      <c r="B332">
        <v>7603200</v>
      </c>
      <c r="C332">
        <v>8.2045218583240757E-4</v>
      </c>
      <c r="D332" s="13">
        <v>8.2045218583240759E-6</v>
      </c>
      <c r="E332" s="13">
        <v>8.2045218583240757E-4</v>
      </c>
      <c r="F332" s="13">
        <v>8.2045218583240759E-6</v>
      </c>
      <c r="G332" s="13">
        <v>8.2045218583240757E-4</v>
      </c>
      <c r="H332" s="1">
        <v>331</v>
      </c>
      <c r="I332">
        <v>360</v>
      </c>
    </row>
    <row r="333" spans="1:9" x14ac:dyDescent="0.45">
      <c r="A333">
        <v>2071</v>
      </c>
      <c r="B333">
        <v>7603560</v>
      </c>
      <c r="C333">
        <v>5.2081387235738941E-4</v>
      </c>
      <c r="D333" s="13">
        <v>5.2081387235738946E-6</v>
      </c>
      <c r="E333" s="13">
        <v>5.2081387235738941E-4</v>
      </c>
      <c r="F333" s="13">
        <v>5.2081387235738946E-6</v>
      </c>
      <c r="G333" s="13">
        <v>5.2081387235738941E-4</v>
      </c>
      <c r="H333" s="1">
        <v>332</v>
      </c>
      <c r="I333">
        <v>360</v>
      </c>
    </row>
    <row r="334" spans="1:9" x14ac:dyDescent="0.45">
      <c r="A334">
        <v>2072</v>
      </c>
      <c r="B334">
        <v>7603920</v>
      </c>
      <c r="C334">
        <v>5.7189465431413248E-4</v>
      </c>
      <c r="D334" s="13">
        <v>5.7189465431413253E-6</v>
      </c>
      <c r="E334" s="13">
        <v>5.7189465431413248E-4</v>
      </c>
      <c r="F334" s="13">
        <v>5.7189465431413253E-6</v>
      </c>
      <c r="G334" s="13">
        <v>5.7189465431413248E-4</v>
      </c>
      <c r="H334" s="1">
        <v>333</v>
      </c>
      <c r="I334">
        <v>360</v>
      </c>
    </row>
    <row r="335" spans="1:9" x14ac:dyDescent="0.45">
      <c r="A335">
        <v>2073</v>
      </c>
      <c r="B335">
        <v>7604280</v>
      </c>
      <c r="C335">
        <v>9.1233097501937279E-4</v>
      </c>
      <c r="D335" s="13">
        <v>9.1233097501937278E-6</v>
      </c>
      <c r="E335" s="13">
        <v>9.1233097501937279E-4</v>
      </c>
      <c r="F335" s="13">
        <v>9.1233097501937278E-6</v>
      </c>
      <c r="G335" s="13">
        <v>9.1233097501937279E-4</v>
      </c>
      <c r="H335" s="1">
        <v>334</v>
      </c>
      <c r="I335">
        <v>360</v>
      </c>
    </row>
    <row r="336" spans="1:9" x14ac:dyDescent="0.45">
      <c r="A336">
        <v>2074</v>
      </c>
      <c r="B336">
        <v>7604640</v>
      </c>
      <c r="C336">
        <v>5.1138621680753824E-4</v>
      </c>
      <c r="D336" s="13">
        <v>5.113862168075382E-6</v>
      </c>
      <c r="E336" s="13">
        <v>5.1138621680753824E-4</v>
      </c>
      <c r="F336" s="13">
        <v>5.113862168075382E-6</v>
      </c>
      <c r="G336" s="13">
        <v>5.1138621680753824E-4</v>
      </c>
      <c r="H336" s="1">
        <v>335</v>
      </c>
      <c r="I336">
        <v>360</v>
      </c>
    </row>
    <row r="337" spans="1:9" x14ac:dyDescent="0.45">
      <c r="A337">
        <v>2075</v>
      </c>
      <c r="B337">
        <v>7605000</v>
      </c>
      <c r="C337">
        <v>5.834401472729541E-4</v>
      </c>
      <c r="D337" s="13">
        <v>5.8344014727295408E-6</v>
      </c>
      <c r="E337" s="13">
        <v>5.834401472729541E-4</v>
      </c>
      <c r="F337" s="13">
        <v>5.8344014727295408E-6</v>
      </c>
      <c r="G337" s="13">
        <v>5.834401472729541E-4</v>
      </c>
      <c r="H337" s="1">
        <v>336</v>
      </c>
      <c r="I337">
        <v>360</v>
      </c>
    </row>
    <row r="338" spans="1:9" x14ac:dyDescent="0.45">
      <c r="A338">
        <v>2076</v>
      </c>
      <c r="B338">
        <v>7605360</v>
      </c>
      <c r="C338">
        <v>7.1160228947361758E-4</v>
      </c>
      <c r="D338" s="13">
        <v>7.1160228947361762E-6</v>
      </c>
      <c r="E338" s="13">
        <v>7.1160228947361758E-4</v>
      </c>
      <c r="F338" s="13">
        <v>7.1160228947361762E-6</v>
      </c>
      <c r="G338" s="13">
        <v>7.1160228947361758E-4</v>
      </c>
      <c r="H338" s="1">
        <v>337</v>
      </c>
      <c r="I338">
        <v>360</v>
      </c>
    </row>
    <row r="339" spans="1:9" x14ac:dyDescent="0.45">
      <c r="A339">
        <v>2077</v>
      </c>
      <c r="B339">
        <v>7605720</v>
      </c>
      <c r="C339">
        <v>6.7192904177343729E-4</v>
      </c>
      <c r="D339" s="13">
        <v>6.719290417734373E-6</v>
      </c>
      <c r="E339" s="13">
        <v>6.7192904177343729E-4</v>
      </c>
      <c r="F339" s="13">
        <v>6.719290417734373E-6</v>
      </c>
      <c r="G339" s="13">
        <v>6.7192904177343729E-4</v>
      </c>
      <c r="H339" s="1">
        <v>338</v>
      </c>
      <c r="I339">
        <v>360</v>
      </c>
    </row>
    <row r="340" spans="1:9" x14ac:dyDescent="0.45">
      <c r="A340">
        <v>2078</v>
      </c>
      <c r="B340">
        <v>7606080</v>
      </c>
      <c r="C340">
        <v>6.8402164621609858E-4</v>
      </c>
      <c r="D340" s="13">
        <v>6.8402164621609853E-6</v>
      </c>
      <c r="E340" s="13">
        <v>6.8402164621609858E-4</v>
      </c>
      <c r="F340" s="13">
        <v>6.8402164621609853E-6</v>
      </c>
      <c r="G340" s="13">
        <v>6.8402164621609858E-4</v>
      </c>
      <c r="H340" s="1">
        <v>339</v>
      </c>
      <c r="I340">
        <v>360</v>
      </c>
    </row>
    <row r="341" spans="1:9" x14ac:dyDescent="0.45">
      <c r="A341">
        <v>2079</v>
      </c>
      <c r="B341">
        <v>7606440</v>
      </c>
      <c r="C341">
        <v>7.3510433221211555E-4</v>
      </c>
      <c r="D341" s="13">
        <v>7.3510433221211552E-6</v>
      </c>
      <c r="E341" s="13">
        <v>7.3510433221211555E-4</v>
      </c>
      <c r="F341" s="13">
        <v>7.3510433221211552E-6</v>
      </c>
      <c r="G341" s="13">
        <v>7.3510433221211555E-4</v>
      </c>
      <c r="H341" s="1">
        <v>340</v>
      </c>
      <c r="I341">
        <v>360</v>
      </c>
    </row>
    <row r="342" spans="1:9" x14ac:dyDescent="0.45">
      <c r="A342">
        <v>2080</v>
      </c>
      <c r="B342">
        <v>7606800</v>
      </c>
      <c r="C342">
        <v>6.8958168854050443E-4</v>
      </c>
      <c r="D342" s="13">
        <v>6.8958168854050438E-6</v>
      </c>
      <c r="E342" s="13">
        <v>6.8958168854050443E-4</v>
      </c>
      <c r="F342" s="13">
        <v>6.8958168854050438E-6</v>
      </c>
      <c r="G342" s="13">
        <v>6.8958168854050443E-4</v>
      </c>
      <c r="H342" s="1">
        <v>341</v>
      </c>
      <c r="I342">
        <v>360</v>
      </c>
    </row>
    <row r="343" spans="1:9" x14ac:dyDescent="0.45">
      <c r="A343">
        <v>2081</v>
      </c>
      <c r="B343">
        <v>7607160</v>
      </c>
      <c r="C343">
        <v>7.0175093423377206E-4</v>
      </c>
      <c r="D343" s="13">
        <v>7.01750934233772E-6</v>
      </c>
      <c r="E343" s="13">
        <v>7.0175093423377206E-4</v>
      </c>
      <c r="F343" s="13">
        <v>7.01750934233772E-6</v>
      </c>
      <c r="G343" s="13">
        <v>7.0175093423377206E-4</v>
      </c>
      <c r="H343" s="1">
        <v>342</v>
      </c>
      <c r="I343">
        <v>360</v>
      </c>
    </row>
    <row r="344" spans="1:9" x14ac:dyDescent="0.45">
      <c r="A344">
        <v>2082</v>
      </c>
      <c r="B344">
        <v>7607520</v>
      </c>
      <c r="C344">
        <v>9.24392529713391E-4</v>
      </c>
      <c r="D344" s="13">
        <v>9.2439252971339094E-6</v>
      </c>
      <c r="E344" s="13">
        <v>9.24392529713391E-4</v>
      </c>
      <c r="F344" s="13">
        <v>9.2439252971339094E-6</v>
      </c>
      <c r="G344" s="13">
        <v>9.24392529713391E-4</v>
      </c>
      <c r="H344" s="1">
        <v>343</v>
      </c>
      <c r="I344">
        <v>360</v>
      </c>
    </row>
    <row r="345" spans="1:9" x14ac:dyDescent="0.45">
      <c r="A345">
        <v>2083</v>
      </c>
      <c r="B345">
        <v>7607880</v>
      </c>
      <c r="C345">
        <v>4.2679489394130968E-4</v>
      </c>
      <c r="D345" s="13">
        <v>4.267948939413098E-6</v>
      </c>
      <c r="E345" s="13">
        <v>4.2679489394130968E-4</v>
      </c>
      <c r="F345" s="13">
        <v>4.267948939413098E-6</v>
      </c>
      <c r="G345" s="13">
        <v>4.2679489394130968E-4</v>
      </c>
      <c r="H345" s="1">
        <v>344</v>
      </c>
      <c r="I345">
        <v>360</v>
      </c>
    </row>
    <row r="346" spans="1:9" x14ac:dyDescent="0.45">
      <c r="A346">
        <v>2084</v>
      </c>
      <c r="B346">
        <v>7608240</v>
      </c>
      <c r="C346">
        <v>7.0492044974188462E-4</v>
      </c>
      <c r="D346" s="13">
        <v>7.0492044974188467E-6</v>
      </c>
      <c r="E346" s="13">
        <v>7.0492044974188462E-4</v>
      </c>
      <c r="F346" s="13">
        <v>7.0492044974188467E-6</v>
      </c>
      <c r="G346" s="13">
        <v>7.0492044974188462E-4</v>
      </c>
      <c r="H346" s="1">
        <v>345</v>
      </c>
      <c r="I346">
        <v>360</v>
      </c>
    </row>
    <row r="347" spans="1:9" x14ac:dyDescent="0.45">
      <c r="A347">
        <v>2085</v>
      </c>
      <c r="B347">
        <v>7608600</v>
      </c>
      <c r="C347">
        <v>6.0317831663807579E-4</v>
      </c>
      <c r="D347" s="13">
        <v>6.031783166380758E-6</v>
      </c>
      <c r="E347" s="13">
        <v>6.0317831663807579E-4</v>
      </c>
      <c r="F347" s="13">
        <v>6.031783166380758E-6</v>
      </c>
      <c r="G347" s="13">
        <v>6.0317831663807579E-4</v>
      </c>
      <c r="H347" s="1">
        <v>346</v>
      </c>
      <c r="I347">
        <v>360</v>
      </c>
    </row>
    <row r="348" spans="1:9" x14ac:dyDescent="0.45">
      <c r="A348">
        <v>2086</v>
      </c>
      <c r="B348">
        <v>7608960</v>
      </c>
      <c r="C348">
        <v>5.3431529879549361E-4</v>
      </c>
      <c r="D348" s="13">
        <v>5.3431529879549362E-6</v>
      </c>
      <c r="E348" s="13">
        <v>5.3431529879549361E-4</v>
      </c>
      <c r="F348" s="13">
        <v>5.3431529879549362E-6</v>
      </c>
      <c r="G348" s="13">
        <v>5.3431529879549361E-4</v>
      </c>
      <c r="H348" s="1">
        <v>347</v>
      </c>
      <c r="I348">
        <v>360</v>
      </c>
    </row>
    <row r="349" spans="1:9" x14ac:dyDescent="0.45">
      <c r="A349">
        <v>2087</v>
      </c>
      <c r="B349">
        <v>7609320</v>
      </c>
      <c r="C349">
        <v>9.2650687165257131E-4</v>
      </c>
      <c r="D349" s="13">
        <v>9.2650687165257119E-6</v>
      </c>
      <c r="E349" s="13">
        <v>9.2650687165257131E-4</v>
      </c>
      <c r="F349" s="13">
        <v>9.2650687165257119E-6</v>
      </c>
      <c r="G349" s="13">
        <v>9.2650687165257131E-4</v>
      </c>
      <c r="H349" s="1">
        <v>348</v>
      </c>
      <c r="I349">
        <v>360</v>
      </c>
    </row>
    <row r="350" spans="1:9" x14ac:dyDescent="0.45">
      <c r="A350">
        <v>2088</v>
      </c>
      <c r="B350">
        <v>7609680</v>
      </c>
      <c r="C350">
        <v>4.9093461376614072E-4</v>
      </c>
      <c r="D350" s="13">
        <v>4.9093461376614071E-6</v>
      </c>
      <c r="E350" s="13">
        <v>4.9093461376614072E-4</v>
      </c>
      <c r="F350" s="13">
        <v>4.9093461376614071E-6</v>
      </c>
      <c r="G350" s="13">
        <v>4.9093461376614072E-4</v>
      </c>
      <c r="H350" s="1">
        <v>349</v>
      </c>
      <c r="I350">
        <v>360</v>
      </c>
    </row>
    <row r="351" spans="1:9" x14ac:dyDescent="0.45">
      <c r="A351">
        <v>2089</v>
      </c>
      <c r="B351">
        <v>7610040</v>
      </c>
      <c r="C351">
        <v>4.6471042769603648E-4</v>
      </c>
      <c r="D351" s="13">
        <v>4.6471042769603649E-6</v>
      </c>
      <c r="E351" s="13">
        <v>4.6471042769603648E-4</v>
      </c>
      <c r="F351" s="13">
        <v>4.6471042769603649E-6</v>
      </c>
      <c r="G351" s="13">
        <v>4.6471042769603648E-4</v>
      </c>
      <c r="H351" s="1">
        <v>350</v>
      </c>
      <c r="I351">
        <v>360</v>
      </c>
    </row>
    <row r="352" spans="1:9" x14ac:dyDescent="0.45">
      <c r="A352">
        <v>2090</v>
      </c>
      <c r="B352">
        <v>7610400</v>
      </c>
      <c r="C352">
        <v>3.9116170433328728E-4</v>
      </c>
      <c r="D352" s="13">
        <v>3.911617043332873E-6</v>
      </c>
      <c r="E352" s="13">
        <v>3.9116170433328728E-4</v>
      </c>
      <c r="F352" s="13">
        <v>3.911617043332873E-6</v>
      </c>
      <c r="G352" s="13">
        <v>3.9116170433328728E-4</v>
      </c>
      <c r="H352" s="1">
        <v>351</v>
      </c>
      <c r="I352">
        <v>360</v>
      </c>
    </row>
    <row r="353" spans="1:9" x14ac:dyDescent="0.45">
      <c r="A353">
        <v>2091</v>
      </c>
      <c r="B353">
        <v>7610760</v>
      </c>
      <c r="C353">
        <v>4.0431038289007962E-4</v>
      </c>
      <c r="D353" s="13">
        <v>4.043103828900796E-6</v>
      </c>
      <c r="E353" s="13">
        <v>4.0431038289007962E-4</v>
      </c>
      <c r="F353" s="13">
        <v>4.043103828900796E-6</v>
      </c>
      <c r="G353" s="13">
        <v>4.0431038289007962E-4</v>
      </c>
      <c r="H353" s="1">
        <v>352</v>
      </c>
      <c r="I353">
        <v>360</v>
      </c>
    </row>
    <row r="354" spans="1:9" x14ac:dyDescent="0.45">
      <c r="A354">
        <v>2092</v>
      </c>
      <c r="B354">
        <v>7611120</v>
      </c>
      <c r="C354">
        <v>6.785411243790979E-4</v>
      </c>
      <c r="D354" s="13">
        <v>6.7854112437909794E-6</v>
      </c>
      <c r="E354" s="13">
        <v>6.785411243790979E-4</v>
      </c>
      <c r="F354" s="13">
        <v>6.7854112437909794E-6</v>
      </c>
      <c r="G354" s="13">
        <v>6.785411243790979E-4</v>
      </c>
      <c r="H354" s="1">
        <v>353</v>
      </c>
      <c r="I354">
        <v>360</v>
      </c>
    </row>
    <row r="355" spans="1:9" x14ac:dyDescent="0.45">
      <c r="A355">
        <v>2093</v>
      </c>
      <c r="B355">
        <v>7611480</v>
      </c>
      <c r="C355">
        <v>7.2348983877483703E-4</v>
      </c>
      <c r="D355" s="13">
        <v>7.2348983877483707E-6</v>
      </c>
      <c r="E355" s="13">
        <v>7.2348983877483703E-4</v>
      </c>
      <c r="F355" s="13">
        <v>7.2348983877483707E-6</v>
      </c>
      <c r="G355" s="13">
        <v>7.2348983877483703E-4</v>
      </c>
      <c r="H355" s="1">
        <v>354</v>
      </c>
      <c r="I355">
        <v>360</v>
      </c>
    </row>
    <row r="356" spans="1:9" x14ac:dyDescent="0.45">
      <c r="A356">
        <v>2094</v>
      </c>
      <c r="B356">
        <v>7611840</v>
      </c>
      <c r="C356">
        <v>6.5532909863160892E-4</v>
      </c>
      <c r="D356" s="13">
        <v>6.5532909863160904E-6</v>
      </c>
      <c r="E356" s="13">
        <v>6.5532909863160892E-4</v>
      </c>
      <c r="F356" s="13">
        <v>6.5532909863160904E-6</v>
      </c>
      <c r="G356" s="13">
        <v>6.5532909863160892E-4</v>
      </c>
      <c r="H356" s="1">
        <v>355</v>
      </c>
      <c r="I356">
        <v>360</v>
      </c>
    </row>
    <row r="357" spans="1:9" x14ac:dyDescent="0.45">
      <c r="A357">
        <v>2095</v>
      </c>
      <c r="B357">
        <v>7612200</v>
      </c>
      <c r="C357">
        <v>7.5474341979737567E-4</v>
      </c>
      <c r="D357" s="13">
        <v>7.5474341979737569E-6</v>
      </c>
      <c r="E357" s="13">
        <v>7.5474341979737567E-4</v>
      </c>
      <c r="F357" s="13">
        <v>7.5474341979737569E-6</v>
      </c>
      <c r="G357" s="13">
        <v>7.5474341979737567E-4</v>
      </c>
      <c r="H357" s="1">
        <v>356</v>
      </c>
      <c r="I357">
        <v>360</v>
      </c>
    </row>
    <row r="358" spans="1:9" x14ac:dyDescent="0.45">
      <c r="A358">
        <v>2096</v>
      </c>
      <c r="B358">
        <v>7612560</v>
      </c>
      <c r="C358">
        <v>5.7669688744116539E-4</v>
      </c>
      <c r="D358" s="13">
        <v>5.7669688744116542E-6</v>
      </c>
      <c r="E358" s="13">
        <v>5.7669688744116539E-4</v>
      </c>
      <c r="F358" s="13">
        <v>5.7669688744116542E-6</v>
      </c>
      <c r="G358" s="13">
        <v>5.7669688744116539E-4</v>
      </c>
      <c r="H358" s="1">
        <v>357</v>
      </c>
      <c r="I358">
        <v>360</v>
      </c>
    </row>
    <row r="359" spans="1:9" x14ac:dyDescent="0.45">
      <c r="A359">
        <v>2097</v>
      </c>
      <c r="B359">
        <v>7612920</v>
      </c>
      <c r="C359">
        <v>8.0697176066542612E-4</v>
      </c>
      <c r="D359" s="13">
        <v>8.0697176066542615E-6</v>
      </c>
      <c r="E359" s="13">
        <v>8.0697176066542612E-4</v>
      </c>
      <c r="F359" s="13">
        <v>8.0697176066542615E-6</v>
      </c>
      <c r="G359" s="13">
        <v>8.0697176066542612E-4</v>
      </c>
      <c r="H359" s="1">
        <v>358</v>
      </c>
      <c r="I359">
        <v>360</v>
      </c>
    </row>
    <row r="360" spans="1:9" x14ac:dyDescent="0.45">
      <c r="A360">
        <v>2098</v>
      </c>
      <c r="B360">
        <v>7613280</v>
      </c>
      <c r="C360">
        <v>6.0999509381094925E-4</v>
      </c>
      <c r="D360" s="13">
        <v>6.0999509381094906E-6</v>
      </c>
      <c r="E360" s="13">
        <v>6.0999509381094925E-4</v>
      </c>
      <c r="F360" s="13">
        <v>6.0999509381094906E-6</v>
      </c>
      <c r="G360" s="13">
        <v>6.0999509381094925E-4</v>
      </c>
      <c r="H360" s="1">
        <v>359</v>
      </c>
      <c r="I360">
        <v>360</v>
      </c>
    </row>
    <row r="361" spans="1:9" x14ac:dyDescent="0.45">
      <c r="A361">
        <v>2099</v>
      </c>
      <c r="B361">
        <v>7613640</v>
      </c>
      <c r="C361">
        <v>5.3117803129513444E-4</v>
      </c>
      <c r="D361" s="13">
        <v>5.3117803129513436E-6</v>
      </c>
      <c r="E361" s="13">
        <v>5.3117803129513444E-4</v>
      </c>
      <c r="F361" s="13">
        <v>5.3117803129513436E-6</v>
      </c>
      <c r="G361" s="13">
        <v>5.3117803129513444E-4</v>
      </c>
      <c r="H361" s="1">
        <v>360</v>
      </c>
      <c r="I361">
        <v>360</v>
      </c>
    </row>
    <row r="362" spans="1:9" x14ac:dyDescent="0.45">
      <c r="A362">
        <v>2100</v>
      </c>
      <c r="B362">
        <v>7614000</v>
      </c>
      <c r="C362">
        <v>6.8402085428227407E-4</v>
      </c>
      <c r="D362" s="13">
        <v>6.8402085428227409E-6</v>
      </c>
      <c r="E362" s="13">
        <v>6.8402085428227407E-4</v>
      </c>
      <c r="F362" s="13">
        <v>6.8402085428227409E-6</v>
      </c>
      <c r="G362" s="13">
        <v>6.8402085428227407E-4</v>
      </c>
      <c r="H362" s="1">
        <v>361</v>
      </c>
      <c r="I362">
        <v>360</v>
      </c>
    </row>
    <row r="363" spans="1:9" x14ac:dyDescent="0.45">
      <c r="A363" t="s">
        <v>396</v>
      </c>
      <c r="B363">
        <v>7614360</v>
      </c>
      <c r="C363">
        <v>5.6115552392589597E-4</v>
      </c>
      <c r="D363" s="13">
        <v>5.6115552392589597E-6</v>
      </c>
      <c r="E363" s="13">
        <v>5.6115552392589597E-4</v>
      </c>
      <c r="F363" s="13">
        <v>5.6115552392589597E-6</v>
      </c>
      <c r="G363" s="13">
        <v>5.6115552392589597E-4</v>
      </c>
      <c r="H363" s="1">
        <v>362</v>
      </c>
      <c r="I363">
        <v>360</v>
      </c>
    </row>
    <row r="364" spans="1:9" x14ac:dyDescent="0.45">
      <c r="B364">
        <v>20000000</v>
      </c>
      <c r="C364">
        <v>5.6175108458420442E-4</v>
      </c>
      <c r="D364" s="13">
        <v>5.6175108458420433E-6</v>
      </c>
      <c r="E364" s="13">
        <v>5.6175108458420442E-4</v>
      </c>
      <c r="F364" s="13">
        <v>5.6175108458420433E-6</v>
      </c>
      <c r="G364" s="13">
        <v>5.6175108458420442E-4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grid</vt:lpstr>
      <vt:lpstr>geometry</vt:lpstr>
      <vt:lpstr>tdis</vt:lpstr>
      <vt:lpstr>parameters</vt:lpstr>
      <vt:lpstr>transient_recharge</vt:lpstr>
      <vt:lpstr>observations</vt:lpstr>
      <vt:lpstr>wells_st</vt:lpstr>
      <vt:lpstr>wells</vt:lpstr>
      <vt:lpstr>response_times</vt:lpstr>
      <vt:lpstr>q_values_st</vt:lpstr>
      <vt:lpstr>q_values_tr</vt:lpstr>
      <vt:lpstr>q_values_init</vt:lpstr>
      <vt:lpstr>parameter_analysis</vt:lpstr>
      <vt:lpstr>workplace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Felipe Marin Rivera</dc:creator>
  <cp:lastModifiedBy>Carlos Felipe Marin Rivera</cp:lastModifiedBy>
  <dcterms:created xsi:type="dcterms:W3CDTF">2025-09-17T19:19:39Z</dcterms:created>
  <dcterms:modified xsi:type="dcterms:W3CDTF">2026-06-25T17:09:57Z</dcterms:modified>
</cp:coreProperties>
</file>