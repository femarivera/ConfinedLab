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57DCF986-E2D5-4DBE-9A5F-F27AB16BD304}" xr6:coauthVersionLast="47" xr6:coauthVersionMax="47" xr10:uidLastSave="{00000000-0000-0000-0000-000000000000}"/>
  <bookViews>
    <workbookView xWindow="-98" yWindow="-98" windowWidth="28996" windowHeight="15796" firstSheet="2" activeTab="9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1" l="1"/>
  <c r="Y154" i="11"/>
  <c r="Z154" i="11" s="1"/>
  <c r="X154" i="11"/>
  <c r="AA153" i="11"/>
  <c r="Y153" i="11"/>
  <c r="Z153" i="11" s="1"/>
  <c r="X153" i="11"/>
  <c r="AA152" i="11"/>
  <c r="Y152" i="11"/>
  <c r="Z152" i="11" s="1"/>
  <c r="X152" i="11"/>
  <c r="AA151" i="11"/>
  <c r="Y151" i="11"/>
  <c r="Z151" i="11" s="1"/>
  <c r="X151" i="11"/>
  <c r="AA150" i="11"/>
  <c r="Y150" i="11"/>
  <c r="Z150" i="11" s="1"/>
  <c r="X150" i="11"/>
  <c r="AA149" i="11"/>
  <c r="Y149" i="11"/>
  <c r="Z149" i="11" s="1"/>
  <c r="X149" i="11"/>
  <c r="AA148" i="11"/>
  <c r="Y148" i="11"/>
  <c r="Z148" i="11" s="1"/>
  <c r="X148" i="11"/>
  <c r="AA147" i="11"/>
  <c r="Z147" i="11"/>
  <c r="Y147" i="11"/>
  <c r="X147" i="11"/>
  <c r="AA146" i="11"/>
  <c r="Y146" i="11"/>
  <c r="Z146" i="11" s="1"/>
  <c r="X146" i="11"/>
  <c r="AA145" i="11"/>
  <c r="Y145" i="11"/>
  <c r="Z145" i="11" s="1"/>
  <c r="X145" i="11"/>
  <c r="AA144" i="11"/>
  <c r="Y144" i="11"/>
  <c r="Z144" i="11" s="1"/>
  <c r="X144" i="11"/>
  <c r="AA143" i="11"/>
  <c r="Y143" i="11"/>
  <c r="Z143" i="11" s="1"/>
  <c r="X143" i="11"/>
  <c r="AA142" i="11"/>
  <c r="Y142" i="11"/>
  <c r="Z142" i="11" s="1"/>
  <c r="X142" i="11"/>
  <c r="AA141" i="11"/>
  <c r="Y141" i="11"/>
  <c r="Z141" i="11" s="1"/>
  <c r="X141" i="11"/>
  <c r="AA140" i="11"/>
  <c r="Y140" i="11"/>
  <c r="Z140" i="11" s="1"/>
  <c r="X140" i="11"/>
  <c r="AA139" i="11"/>
  <c r="Y139" i="11"/>
  <c r="Z139" i="11" s="1"/>
  <c r="X139" i="11"/>
  <c r="AA138" i="11"/>
  <c r="Y138" i="11"/>
  <c r="Z138" i="11" s="1"/>
  <c r="X138" i="11"/>
  <c r="AA137" i="11"/>
  <c r="Y137" i="11"/>
  <c r="Z137" i="11" s="1"/>
  <c r="X137" i="11"/>
  <c r="AA136" i="11"/>
  <c r="Z136" i="11"/>
  <c r="Y136" i="11"/>
  <c r="X136" i="11"/>
  <c r="AA135" i="11"/>
  <c r="Y135" i="11"/>
  <c r="Z135" i="11" s="1"/>
  <c r="X135" i="11"/>
  <c r="AA134" i="11"/>
  <c r="Y134" i="11"/>
  <c r="Z134" i="11" s="1"/>
  <c r="X134" i="11"/>
  <c r="AA133" i="11"/>
  <c r="Y133" i="11"/>
  <c r="Z133" i="11" s="1"/>
  <c r="X133" i="11"/>
  <c r="AA132" i="11"/>
  <c r="Y132" i="11"/>
  <c r="Z132" i="11" s="1"/>
  <c r="X132" i="11"/>
  <c r="AA131" i="11"/>
  <c r="Y131" i="11"/>
  <c r="Z131" i="11" s="1"/>
  <c r="X131" i="11"/>
  <c r="AA130" i="11"/>
  <c r="Y130" i="11"/>
  <c r="Z130" i="11" s="1"/>
  <c r="X130" i="11"/>
  <c r="AA129" i="11"/>
  <c r="Y129" i="11"/>
  <c r="Z129" i="11" s="1"/>
  <c r="X129" i="11"/>
  <c r="AA128" i="11"/>
  <c r="Y128" i="11"/>
  <c r="Z128" i="11" s="1"/>
  <c r="X128" i="11"/>
  <c r="AA127" i="11"/>
  <c r="Y127" i="11"/>
  <c r="Z127" i="11" s="1"/>
  <c r="X127" i="11"/>
  <c r="AA126" i="11"/>
  <c r="Y126" i="11"/>
  <c r="Z126" i="11" s="1"/>
  <c r="X126" i="11"/>
  <c r="AA125" i="11"/>
  <c r="Z125" i="11"/>
  <c r="Y125" i="11"/>
  <c r="X125" i="11"/>
  <c r="AA124" i="11"/>
  <c r="Y124" i="11"/>
  <c r="Z124" i="11" s="1"/>
  <c r="X124" i="11"/>
  <c r="AA123" i="11"/>
  <c r="Y123" i="11"/>
  <c r="Z123" i="11" s="1"/>
  <c r="X123" i="11"/>
  <c r="AA122" i="11"/>
  <c r="Y122" i="11"/>
  <c r="Z122" i="11" s="1"/>
  <c r="X122" i="11"/>
  <c r="AA121" i="11"/>
  <c r="Y121" i="11"/>
  <c r="Z121" i="11" s="1"/>
  <c r="X121" i="11"/>
  <c r="AA120" i="11"/>
  <c r="Y120" i="11"/>
  <c r="Z120" i="11" s="1"/>
  <c r="X120" i="11"/>
  <c r="AA119" i="11"/>
  <c r="Y119" i="11"/>
  <c r="Z119" i="11" s="1"/>
  <c r="X119" i="11"/>
  <c r="AA118" i="11"/>
  <c r="Y118" i="11"/>
  <c r="Z118" i="11" s="1"/>
  <c r="X118" i="11"/>
  <c r="AA117" i="11"/>
  <c r="Y117" i="11"/>
  <c r="Z117" i="11" s="1"/>
  <c r="X117" i="11"/>
  <c r="AA116" i="11"/>
  <c r="Y116" i="11"/>
  <c r="Z116" i="11" s="1"/>
  <c r="X116" i="11"/>
  <c r="AA115" i="11"/>
  <c r="Y115" i="11"/>
  <c r="Z115" i="11" s="1"/>
  <c r="X115" i="11"/>
  <c r="AA114" i="11"/>
  <c r="Z114" i="11"/>
  <c r="Y114" i="11"/>
  <c r="X114" i="11"/>
  <c r="AA113" i="11"/>
  <c r="Y113" i="11"/>
  <c r="Z113" i="11" s="1"/>
  <c r="X113" i="11"/>
  <c r="AA112" i="11"/>
  <c r="Y112" i="11"/>
  <c r="Z112" i="11" s="1"/>
  <c r="X112" i="11"/>
  <c r="AA111" i="11"/>
  <c r="Y111" i="11"/>
  <c r="Z111" i="11" s="1"/>
  <c r="X111" i="11"/>
  <c r="AA110" i="11"/>
  <c r="Y110" i="11"/>
  <c r="Z110" i="11" s="1"/>
  <c r="X110" i="11"/>
  <c r="AA109" i="11"/>
  <c r="Y109" i="11"/>
  <c r="Z109" i="11" s="1"/>
  <c r="X109" i="11"/>
  <c r="AA108" i="11"/>
  <c r="Y108" i="11"/>
  <c r="Z108" i="11" s="1"/>
  <c r="X108" i="11"/>
  <c r="AA107" i="11"/>
  <c r="Y107" i="11"/>
  <c r="Z107" i="11" s="1"/>
  <c r="X107" i="11"/>
  <c r="AA106" i="11"/>
  <c r="Y106" i="11"/>
  <c r="Z106" i="11" s="1"/>
  <c r="X106" i="11"/>
  <c r="AA105" i="11"/>
  <c r="Y105" i="11"/>
  <c r="Z105" i="11" s="1"/>
  <c r="X105" i="11"/>
  <c r="AA104" i="11"/>
  <c r="Y104" i="11"/>
  <c r="Z104" i="11" s="1"/>
  <c r="X104" i="11"/>
  <c r="AA103" i="11"/>
  <c r="Z103" i="11"/>
  <c r="Y103" i="11"/>
  <c r="X103" i="11"/>
  <c r="AA102" i="11"/>
  <c r="Y102" i="11"/>
  <c r="Z102" i="11" s="1"/>
  <c r="X102" i="11"/>
  <c r="AA101" i="11"/>
  <c r="Y101" i="11"/>
  <c r="Z101" i="11" s="1"/>
  <c r="X101" i="11"/>
  <c r="AA100" i="11"/>
  <c r="Y100" i="11"/>
  <c r="Z100" i="11" s="1"/>
  <c r="X100" i="11"/>
  <c r="AA99" i="11"/>
  <c r="Y99" i="11"/>
  <c r="Z99" i="11" s="1"/>
  <c r="X99" i="11"/>
  <c r="AA98" i="11"/>
  <c r="Y98" i="11"/>
  <c r="Z98" i="11" s="1"/>
  <c r="X98" i="11"/>
  <c r="AA97" i="11"/>
  <c r="Y97" i="11"/>
  <c r="Z97" i="11" s="1"/>
  <c r="X97" i="11"/>
  <c r="AA96" i="11"/>
  <c r="Y96" i="11"/>
  <c r="Z96" i="11" s="1"/>
  <c r="X96" i="11"/>
  <c r="AA95" i="11"/>
  <c r="Y95" i="11"/>
  <c r="Z95" i="11" s="1"/>
  <c r="X95" i="11"/>
  <c r="AA94" i="11"/>
  <c r="Y94" i="11"/>
  <c r="Z94" i="11" s="1"/>
  <c r="X94" i="11"/>
  <c r="AA93" i="11"/>
  <c r="Y93" i="11"/>
  <c r="Z93" i="11" s="1"/>
  <c r="X93" i="11"/>
  <c r="AA92" i="11"/>
  <c r="Z92" i="11"/>
  <c r="Y92" i="11"/>
  <c r="X92" i="11"/>
  <c r="AA91" i="11"/>
  <c r="Y91" i="11"/>
  <c r="Z91" i="11" s="1"/>
  <c r="X91" i="11"/>
  <c r="AA90" i="11"/>
  <c r="Y90" i="11"/>
  <c r="Z90" i="11" s="1"/>
  <c r="X90" i="11"/>
  <c r="AA89" i="11"/>
  <c r="Y89" i="11"/>
  <c r="Z89" i="11" s="1"/>
  <c r="X89" i="11"/>
  <c r="AA88" i="11"/>
  <c r="Y88" i="11"/>
  <c r="Z88" i="11" s="1"/>
  <c r="X88" i="11"/>
  <c r="AA87" i="11"/>
  <c r="Y87" i="11"/>
  <c r="Z87" i="11" s="1"/>
  <c r="X87" i="11"/>
  <c r="AA86" i="11"/>
  <c r="Y86" i="11"/>
  <c r="Z86" i="11" s="1"/>
  <c r="X86" i="11"/>
  <c r="AA85" i="11"/>
  <c r="Y85" i="11"/>
  <c r="Z85" i="11" s="1"/>
  <c r="X85" i="11"/>
  <c r="AA84" i="11"/>
  <c r="Y84" i="11"/>
  <c r="Z84" i="11" s="1"/>
  <c r="X84" i="11"/>
  <c r="AA83" i="11"/>
  <c r="Y83" i="11"/>
  <c r="Z83" i="11" s="1"/>
  <c r="X83" i="11"/>
  <c r="AA82" i="11"/>
  <c r="Y82" i="11"/>
  <c r="Z82" i="11" s="1"/>
  <c r="X82" i="11"/>
  <c r="AA81" i="11"/>
  <c r="Z81" i="11"/>
  <c r="Y81" i="11"/>
  <c r="X81" i="11"/>
  <c r="AA80" i="11"/>
  <c r="Y80" i="11"/>
  <c r="Z80" i="11" s="1"/>
  <c r="X80" i="11"/>
  <c r="AA79" i="11"/>
  <c r="Y79" i="11"/>
  <c r="Z79" i="11" s="1"/>
  <c r="X79" i="11"/>
  <c r="AA78" i="11"/>
  <c r="Y78" i="11"/>
  <c r="Z78" i="11" s="1"/>
  <c r="X78" i="11"/>
  <c r="AA77" i="11"/>
  <c r="Y77" i="11"/>
  <c r="Z77" i="11" s="1"/>
  <c r="X77" i="11"/>
  <c r="AA76" i="11"/>
  <c r="Y76" i="11"/>
  <c r="Z76" i="11" s="1"/>
  <c r="X76" i="11"/>
  <c r="AA75" i="11"/>
  <c r="Y75" i="11"/>
  <c r="Z75" i="11" s="1"/>
  <c r="X75" i="11"/>
  <c r="AA74" i="11"/>
  <c r="Y74" i="11"/>
  <c r="Z74" i="11" s="1"/>
  <c r="X74" i="11"/>
  <c r="AA73" i="11"/>
  <c r="Y73" i="11"/>
  <c r="Z73" i="11" s="1"/>
  <c r="X73" i="11"/>
  <c r="AA72" i="11"/>
  <c r="Y72" i="11"/>
  <c r="Z72" i="11" s="1"/>
  <c r="X72" i="11"/>
  <c r="AA71" i="11"/>
  <c r="Y71" i="11"/>
  <c r="Z71" i="11" s="1"/>
  <c r="X71" i="11"/>
  <c r="AA70" i="11"/>
  <c r="Z70" i="11"/>
  <c r="Y70" i="11"/>
  <c r="X70" i="11"/>
  <c r="AA69" i="11"/>
  <c r="Y69" i="11"/>
  <c r="Z69" i="11" s="1"/>
  <c r="X69" i="11"/>
  <c r="AA68" i="11"/>
  <c r="Y68" i="11"/>
  <c r="Z68" i="11" s="1"/>
  <c r="X68" i="11"/>
  <c r="AA67" i="11"/>
  <c r="Y67" i="11"/>
  <c r="Z67" i="11" s="1"/>
  <c r="X67" i="11"/>
  <c r="AA66" i="11"/>
  <c r="Y66" i="11"/>
  <c r="Z66" i="11" s="1"/>
  <c r="X66" i="11"/>
  <c r="AA65" i="11"/>
  <c r="Y65" i="11"/>
  <c r="Z65" i="11" s="1"/>
  <c r="X65" i="11"/>
  <c r="AA64" i="11"/>
  <c r="Y64" i="11"/>
  <c r="Z64" i="11" s="1"/>
  <c r="X64" i="11"/>
  <c r="AA63" i="11"/>
  <c r="Y63" i="11"/>
  <c r="Z63" i="11" s="1"/>
  <c r="X63" i="11"/>
  <c r="AA62" i="11"/>
  <c r="Y62" i="11"/>
  <c r="Z62" i="11" s="1"/>
  <c r="X62" i="11"/>
  <c r="AA61" i="11"/>
  <c r="Y61" i="11"/>
  <c r="Z61" i="11" s="1"/>
  <c r="X61" i="11"/>
  <c r="AA60" i="11"/>
  <c r="Y60" i="11"/>
  <c r="Z60" i="11" s="1"/>
  <c r="X60" i="11"/>
  <c r="AA59" i="11"/>
  <c r="Z59" i="11"/>
  <c r="Y59" i="11"/>
  <c r="X59" i="11"/>
  <c r="AA58" i="11"/>
  <c r="Y58" i="11"/>
  <c r="Z58" i="11" s="1"/>
  <c r="X58" i="11"/>
  <c r="AA57" i="11"/>
  <c r="Y57" i="11"/>
  <c r="Z57" i="11" s="1"/>
  <c r="X57" i="11"/>
  <c r="AA56" i="11"/>
  <c r="Y56" i="11"/>
  <c r="Z56" i="11" s="1"/>
  <c r="X56" i="11"/>
  <c r="AA55" i="11"/>
  <c r="Y55" i="11"/>
  <c r="Z55" i="11" s="1"/>
  <c r="X55" i="11"/>
  <c r="AA54" i="11"/>
  <c r="Y54" i="11"/>
  <c r="Z54" i="11" s="1"/>
  <c r="X54" i="11"/>
  <c r="AA53" i="11"/>
  <c r="Y53" i="11"/>
  <c r="Z53" i="11" s="1"/>
  <c r="X53" i="11"/>
  <c r="AA52" i="11"/>
  <c r="Y52" i="11"/>
  <c r="Z52" i="11" s="1"/>
  <c r="X52" i="11"/>
  <c r="AA51" i="11"/>
  <c r="Z51" i="11"/>
  <c r="Y51" i="11"/>
  <c r="X51" i="11"/>
  <c r="AA50" i="11"/>
  <c r="Y50" i="11"/>
  <c r="Z50" i="11" s="1"/>
  <c r="X50" i="11"/>
  <c r="AA49" i="11"/>
  <c r="Y49" i="11"/>
  <c r="Z49" i="11" s="1"/>
  <c r="X49" i="11"/>
  <c r="AA48" i="11"/>
  <c r="Z48" i="11"/>
  <c r="Y48" i="11"/>
  <c r="X48" i="11"/>
  <c r="AA47" i="11"/>
  <c r="Y47" i="11"/>
  <c r="Z47" i="11" s="1"/>
  <c r="X47" i="11"/>
  <c r="AA46" i="11"/>
  <c r="Y46" i="11"/>
  <c r="Z46" i="11" s="1"/>
  <c r="X46" i="11"/>
  <c r="AA45" i="11"/>
  <c r="Y45" i="11"/>
  <c r="Z45" i="11" s="1"/>
  <c r="X45" i="11"/>
  <c r="AA44" i="11"/>
  <c r="Y44" i="11"/>
  <c r="Z44" i="11" s="1"/>
  <c r="X44" i="11"/>
  <c r="AA43" i="11"/>
  <c r="Y43" i="11"/>
  <c r="Z43" i="11" s="1"/>
  <c r="X43" i="11"/>
  <c r="AA42" i="11"/>
  <c r="Y42" i="11"/>
  <c r="Z42" i="11" s="1"/>
  <c r="X42" i="11"/>
  <c r="AA41" i="11"/>
  <c r="Y41" i="11"/>
  <c r="Z41" i="11" s="1"/>
  <c r="X41" i="11"/>
  <c r="AA40" i="11"/>
  <c r="Y40" i="11"/>
  <c r="Z40" i="11" s="1"/>
  <c r="X40" i="11"/>
  <c r="AA39" i="11"/>
  <c r="Y39" i="11"/>
  <c r="Z39" i="11" s="1"/>
  <c r="X39" i="11"/>
  <c r="AA38" i="11"/>
  <c r="Y38" i="11"/>
  <c r="Z38" i="11" s="1"/>
  <c r="X38" i="11"/>
  <c r="AA37" i="11"/>
  <c r="Z37" i="11"/>
  <c r="Y37" i="11"/>
  <c r="X37" i="11"/>
  <c r="AA36" i="11"/>
  <c r="Y36" i="11"/>
  <c r="Z36" i="11" s="1"/>
  <c r="X36" i="11"/>
  <c r="AA35" i="11"/>
  <c r="Y35" i="11"/>
  <c r="Z35" i="11" s="1"/>
  <c r="X35" i="11"/>
  <c r="AA34" i="11"/>
  <c r="Y34" i="11"/>
  <c r="Z34" i="11" s="1"/>
  <c r="X34" i="11"/>
  <c r="AA33" i="11"/>
  <c r="Y33" i="11"/>
  <c r="Z33" i="11" s="1"/>
  <c r="X33" i="11"/>
  <c r="AA32" i="11"/>
  <c r="Y32" i="11"/>
  <c r="Z32" i="11" s="1"/>
  <c r="X32" i="11"/>
  <c r="AA31" i="11"/>
  <c r="Y31" i="11"/>
  <c r="Z31" i="11" s="1"/>
  <c r="X31" i="11"/>
  <c r="AA30" i="11"/>
  <c r="Y30" i="11"/>
  <c r="Z30" i="11" s="1"/>
  <c r="X30" i="11"/>
  <c r="AA29" i="11"/>
  <c r="Y29" i="11"/>
  <c r="Z29" i="11" s="1"/>
  <c r="X29" i="11"/>
  <c r="AA28" i="11"/>
  <c r="Y28" i="11"/>
  <c r="Z28" i="11" s="1"/>
  <c r="X28" i="11"/>
  <c r="AA27" i="11"/>
  <c r="Y27" i="11"/>
  <c r="Z27" i="11" s="1"/>
  <c r="X27" i="11"/>
  <c r="AA26" i="11"/>
  <c r="Z26" i="11"/>
  <c r="Y26" i="11"/>
  <c r="X26" i="11"/>
  <c r="AA25" i="11"/>
  <c r="Y25" i="11"/>
  <c r="Z25" i="11" s="1"/>
  <c r="X25" i="11"/>
  <c r="AA24" i="11"/>
  <c r="Y24" i="11"/>
  <c r="Z24" i="11" s="1"/>
  <c r="X24" i="11"/>
  <c r="AA23" i="11"/>
  <c r="Y23" i="11"/>
  <c r="Z23" i="11" s="1"/>
  <c r="X23" i="11"/>
  <c r="AA22" i="11"/>
  <c r="Y22" i="11"/>
  <c r="Z22" i="11" s="1"/>
  <c r="X22" i="11"/>
  <c r="AA21" i="11"/>
  <c r="Y21" i="11"/>
  <c r="Z21" i="11" s="1"/>
  <c r="X21" i="11"/>
  <c r="AA20" i="11"/>
  <c r="Y20" i="11"/>
  <c r="Z20" i="11" s="1"/>
  <c r="X20" i="11"/>
  <c r="AA19" i="11"/>
  <c r="Y19" i="11"/>
  <c r="Z19" i="11" s="1"/>
  <c r="X19" i="11"/>
  <c r="AA18" i="11"/>
  <c r="Y18" i="11"/>
  <c r="Z18" i="11" s="1"/>
  <c r="X18" i="11"/>
  <c r="AA17" i="11"/>
  <c r="Y17" i="11"/>
  <c r="Z17" i="11" s="1"/>
  <c r="X17" i="11"/>
  <c r="AA16" i="11"/>
  <c r="Y16" i="11"/>
  <c r="Z16" i="11" s="1"/>
  <c r="X16" i="11"/>
  <c r="AA15" i="11"/>
  <c r="Z15" i="11"/>
  <c r="Y15" i="11"/>
  <c r="X15" i="11"/>
  <c r="AA14" i="11"/>
  <c r="Y14" i="11"/>
  <c r="Z14" i="11" s="1"/>
  <c r="X14" i="11"/>
  <c r="AA13" i="11"/>
  <c r="Y13" i="11"/>
  <c r="Z13" i="11" s="1"/>
  <c r="X13" i="11"/>
  <c r="AA12" i="11"/>
  <c r="Y12" i="11"/>
  <c r="Z12" i="11" s="1"/>
  <c r="X12" i="11"/>
  <c r="AA11" i="11"/>
  <c r="Y11" i="11"/>
  <c r="Z11" i="11" s="1"/>
  <c r="X11" i="11"/>
  <c r="AA10" i="11"/>
  <c r="Y10" i="11"/>
  <c r="Z10" i="11" s="1"/>
  <c r="X10" i="11"/>
  <c r="AA9" i="11"/>
  <c r="Y9" i="11"/>
  <c r="Z9" i="11" s="1"/>
  <c r="X9" i="11"/>
  <c r="AA8" i="11"/>
  <c r="Y8" i="11"/>
  <c r="Z8" i="11" s="1"/>
  <c r="X8" i="11"/>
  <c r="AA7" i="11"/>
  <c r="Y7" i="11"/>
  <c r="Z7" i="11" s="1"/>
  <c r="X7" i="11"/>
  <c r="AA6" i="11"/>
  <c r="Y6" i="11"/>
  <c r="Z6" i="11" s="1"/>
  <c r="X6" i="11"/>
  <c r="AA5" i="11"/>
  <c r="Y5" i="11"/>
  <c r="Z5" i="11" s="1"/>
  <c r="X5" i="11"/>
  <c r="AA4" i="11"/>
  <c r="Z4" i="11"/>
  <c r="Y4" i="11"/>
  <c r="X4" i="11"/>
  <c r="AA3" i="11"/>
  <c r="Y3" i="11"/>
  <c r="Z3" i="11" s="1"/>
  <c r="X3" i="11"/>
  <c r="AA2" i="11"/>
  <c r="Y2" i="11"/>
  <c r="Z2" i="11" s="1"/>
  <c r="X2" i="11"/>
</calcChain>
</file>

<file path=xl/sharedStrings.xml><?xml version="1.0" encoding="utf-8"?>
<sst xmlns="http://schemas.openxmlformats.org/spreadsheetml/2006/main" count="596" uniqueCount="348">
  <si>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</si>
  <si>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</si>
  <si>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</si>
  <si>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</si>
  <si>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</si>
  <si>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</si>
  <si>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</si>
  <si>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</si>
  <si>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</si>
  <si>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</si>
  <si>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</si>
  <si>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</si>
  <si>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</si>
  <si>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</si>
  <si>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</si>
  <si>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</si>
  <si>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</si>
  <si>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</si>
  <si>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</si>
  <si>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</si>
  <si>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</si>
  <si>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</si>
  <si>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</si>
  <si>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</si>
  <si>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</si>
  <si>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</si>
  <si>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</si>
  <si>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</si>
  <si>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</si>
  <si>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</si>
  <si>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</si>
  <si>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</si>
  <si>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</si>
  <si>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</si>
  <si>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</si>
  <si>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</si>
  <si>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</si>
  <si>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Century time steps for 50k years</t>
  </si>
  <si>
    <t>Millenia time steps for 1M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</si>
  <si>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</si>
  <si>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</si>
  <si>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</si>
  <si>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</si>
  <si>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</si>
  <si>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</si>
  <si>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</si>
  <si>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</si>
  <si>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</si>
  <si>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</si>
  <si>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</si>
  <si>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</si>
  <si>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</si>
  <si>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</si>
  <si>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</si>
  <si>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</si>
  <si>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</si>
  <si>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</si>
  <si>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</si>
  <si>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</si>
  <si>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</si>
  <si>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</si>
  <si>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</si>
  <si>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</si>
  <si>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</si>
  <si>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</si>
  <si>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</si>
  <si>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</si>
  <si>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</si>
  <si>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</si>
  <si>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</si>
  <si>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</si>
  <si>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</si>
  <si>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</si>
  <si>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</si>
  <si>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</si>
  <si>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</si>
  <si>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</si>
  <si>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</si>
  <si>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</si>
  <si>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</si>
  <si>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</si>
  <si>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</si>
  <si>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drn_cond_02</t>
  </si>
  <si>
    <t>drn_cond_03</t>
  </si>
  <si>
    <t>drn_cond_04</t>
  </si>
  <si>
    <t>drn_cond_05</t>
  </si>
  <si>
    <t>q_0</t>
  </si>
  <si>
    <t>Steady state pumping rate</t>
  </si>
  <si>
    <t>obs_label</t>
  </si>
  <si>
    <t>obs_type</t>
  </si>
  <si>
    <t>lay</t>
  </si>
  <si>
    <t>row</t>
  </si>
  <si>
    <t>col</t>
  </si>
  <si>
    <t>UncAq</t>
  </si>
  <si>
    <t>HEAD</t>
  </si>
  <si>
    <t>Aqt 1</t>
  </si>
  <si>
    <t>Caq 1</t>
  </si>
  <si>
    <t xml:space="preserve">Aqt 2 </t>
  </si>
  <si>
    <t>Caq 2</t>
  </si>
  <si>
    <t>Caq 1 outcrop</t>
  </si>
  <si>
    <t xml:space="preserve">HEAD 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</si>
  <si>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</si>
  <si>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</si>
  <si>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</si>
  <si>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</si>
  <si>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</si>
  <si>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</si>
  <si>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</si>
  <si>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</si>
  <si>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</si>
  <si>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</si>
  <si>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</si>
  <si>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</si>
  <si>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</si>
  <si>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</si>
  <si>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</si>
  <si>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</si>
  <si>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</si>
  <si>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</si>
  <si>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</si>
  <si>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parv_00</t>
  </si>
  <si>
    <t>parv_01</t>
  </si>
  <si>
    <t>parv_02</t>
  </si>
  <si>
    <t>parv_03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</si>
  <si>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</si>
  <si>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</si>
  <si>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</si>
  <si>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</si>
  <si>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</si>
  <si>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</si>
  <si>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</si>
  <si>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</si>
  <si>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</si>
  <si>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</si>
  <si>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</si>
  <si>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</si>
  <si>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</si>
  <si>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</si>
  <si>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</si>
  <si>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</si>
  <si>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</si>
  <si>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</si>
  <si>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</si>
  <si>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</si>
  <si>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</si>
  <si>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</si>
  <si>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</si>
  <si>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</si>
  <si>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</si>
  <si>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</si>
  <si>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</si>
  <si>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</si>
  <si>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</si>
  <si>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</si>
  <si>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</si>
  <si>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</si>
  <si>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</si>
  <si>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</si>
  <si>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</si>
  <si>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</si>
  <si>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</si>
  <si>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</si>
  <si>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</si>
  <si>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</si>
  <si>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</si>
  <si>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</si>
  <si>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</si>
  <si>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</si>
  <si>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</si>
  <si>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</si>
  <si>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</si>
  <si>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</si>
  <si>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</si>
  <si>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</si>
  <si>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</si>
  <si>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</si>
  <si>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</si>
  <si>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</si>
  <si>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</si>
  <si>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</si>
  <si>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</si>
  <si>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</si>
  <si>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</si>
  <si>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</si>
  <si>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</si>
  <si>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</si>
  <si>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</si>
  <si>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</si>
  <si>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</si>
  <si>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</si>
  <si>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</si>
  <si>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</si>
  <si>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</si>
  <si>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</si>
  <si>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</si>
  <si>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</si>
  <si>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</si>
  <si>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</si>
  <si>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</si>
  <si>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</si>
  <si>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</si>
  <si>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</si>
  <si>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</si>
  <si>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</si>
  <si>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</si>
  <si>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</si>
  <si>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</si>
  <si>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</si>
  <si>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</si>
  <si>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</si>
  <si>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</si>
  <si>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</si>
  <si>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</si>
  <si>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</si>
  <si>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</si>
  <si>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</si>
  <si>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</si>
  <si>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</si>
  <si>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</si>
  <si>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</si>
  <si>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</si>
  <si>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</si>
  <si>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</si>
  <si>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</si>
  <si>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</si>
  <si>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</si>
  <si>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</si>
  <si>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</si>
  <si>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</si>
  <si>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</si>
  <si>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</si>
  <si>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</si>
  <si>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</si>
  <si>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</si>
  <si>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</si>
  <si>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</si>
  <si>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</si>
  <si>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</si>
  <si>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</si>
  <si>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</si>
  <si>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</si>
  <si>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</si>
  <si>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</si>
  <si>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</si>
  <si>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</si>
  <si>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</si>
  <si>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</si>
  <si>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</si>
  <si>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</si>
  <si>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</si>
  <si>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</si>
  <si>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</si>
  <si>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</si>
  <si>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</si>
  <si>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</si>
  <si>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</si>
  <si>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</si>
  <si>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</si>
  <si>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</si>
  <si>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</si>
  <si>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</si>
  <si>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</si>
  <si>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</si>
  <si>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</si>
  <si>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</si>
  <si>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</si>
  <si>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</si>
  <si>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</si>
  <si>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</si>
  <si>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</si>
  <si>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</si>
  <si>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</si>
  <si>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</si>
  <si>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</si>
  <si>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</si>
  <si>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</si>
  <si>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</si>
  <si>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</si>
  <si>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</si>
  <si>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</si>
  <si>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</si>
  <si>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</si>
  <si>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</si>
  <si>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</si>
  <si>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</si>
  <si>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</si>
  <si>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</si>
  <si>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</si>
  <si>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</si>
  <si>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</si>
  <si>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</si>
  <si>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</si>
  <si>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</si>
  <si>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</si>
  <si>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</si>
  <si>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</si>
  <si>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</si>
  <si>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</si>
  <si>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</si>
  <si>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</si>
  <si>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</si>
  <si>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</si>
  <si>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</si>
  <si>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</si>
  <si>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</si>
  <si>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</si>
  <si>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</si>
  <si>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</si>
  <si>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</si>
  <si>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</si>
  <si>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</si>
  <si>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</si>
  <si>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</si>
  <si>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</si>
  <si>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</si>
  <si>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</si>
  <si>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</si>
  <si>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</si>
  <si>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</si>
  <si>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</si>
  <si>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</si>
  <si>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</si>
  <si>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</si>
  <si>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</si>
  <si>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</si>
  <si>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</si>
  <si>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</si>
  <si>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</si>
  <si>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</si>
  <si>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</si>
  <si>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</si>
  <si>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</si>
  <si>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</si>
  <si>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</si>
  <si>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</si>
  <si>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</si>
  <si>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</si>
  <si>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</si>
  <si>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</si>
  <si>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</si>
  <si>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</si>
  <si>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</si>
  <si>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</si>
  <si>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</si>
  <si>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</si>
  <si>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</si>
  <si>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</si>
  <si>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Conductivity of drain/river 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</si>
</sst>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16" sqref="B16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1</v>
      </c>
      <c r="C2">
        <v>600</v>
      </c>
      <c r="D2">
        <v>1</v>
      </c>
      <c r="E2">
        <v>600000</v>
      </c>
      <c r="F2">
        <v>1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opLeftCell="B1" workbookViewId="0">
      <selection activeCell="G21" sqref="G21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100</v>
      </c>
      <c r="D2">
        <v>0</v>
      </c>
      <c r="E2">
        <v>100</v>
      </c>
      <c r="F2">
        <v>300</v>
      </c>
      <c r="G2">
        <v>300</v>
      </c>
      <c r="H2">
        <v>5</v>
      </c>
      <c r="I2">
        <v>70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150</v>
      </c>
      <c r="D3">
        <v>100</v>
      </c>
      <c r="E3">
        <v>150</v>
      </c>
      <c r="F3">
        <v>150</v>
      </c>
      <c r="G3">
        <v>250</v>
      </c>
      <c r="H3">
        <v>5</v>
      </c>
      <c r="I3">
        <v>70</v>
      </c>
      <c r="J3">
        <v>0</v>
      </c>
      <c r="K3">
        <v>2</v>
      </c>
    </row>
    <row r="4" spans="1:11" x14ac:dyDescent="0.45">
      <c r="A4" t="s">
        <v>22</v>
      </c>
      <c r="B4" t="s">
        <v>23</v>
      </c>
      <c r="C4">
        <v>200</v>
      </c>
      <c r="D4">
        <v>150</v>
      </c>
      <c r="E4">
        <v>225</v>
      </c>
      <c r="F4">
        <v>200</v>
      </c>
      <c r="G4">
        <v>150</v>
      </c>
      <c r="H4">
        <v>5</v>
      </c>
      <c r="I4">
        <v>70</v>
      </c>
      <c r="J4">
        <v>0</v>
      </c>
      <c r="K4">
        <v>3</v>
      </c>
    </row>
    <row r="5" spans="1:11" x14ac:dyDescent="0.45">
      <c r="A5" t="s">
        <v>24</v>
      </c>
      <c r="B5" t="s">
        <v>25</v>
      </c>
      <c r="C5">
        <v>250</v>
      </c>
      <c r="D5">
        <v>225</v>
      </c>
      <c r="E5">
        <v>300</v>
      </c>
      <c r="F5">
        <v>150</v>
      </c>
      <c r="G5">
        <v>100</v>
      </c>
      <c r="H5">
        <v>5</v>
      </c>
      <c r="I5">
        <v>70</v>
      </c>
      <c r="J5">
        <v>0</v>
      </c>
      <c r="K5">
        <v>4</v>
      </c>
    </row>
    <row r="6" spans="1:11" x14ac:dyDescent="0.45">
      <c r="A6" t="s">
        <v>26</v>
      </c>
      <c r="B6" t="s">
        <v>27</v>
      </c>
      <c r="C6">
        <v>350</v>
      </c>
      <c r="D6">
        <v>300</v>
      </c>
      <c r="E6">
        <v>350</v>
      </c>
      <c r="F6">
        <v>200</v>
      </c>
      <c r="G6">
        <v>0</v>
      </c>
      <c r="H6">
        <v>5</v>
      </c>
      <c r="I6">
        <v>70</v>
      </c>
      <c r="J6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E9" sqref="E9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>
        <v>18000</v>
      </c>
      <c r="C4">
        <v>600</v>
      </c>
      <c r="D4">
        <v>1</v>
      </c>
      <c r="E4" t="s">
        <v>35</v>
      </c>
    </row>
    <row r="5" spans="1:5" x14ac:dyDescent="0.45">
      <c r="A5">
        <v>3</v>
      </c>
      <c r="B5">
        <v>180000</v>
      </c>
      <c r="C5">
        <v>500</v>
      </c>
      <c r="D5">
        <v>1</v>
      </c>
      <c r="E5" t="s">
        <v>36</v>
      </c>
    </row>
    <row r="6" spans="1:5" x14ac:dyDescent="0.45">
      <c r="A6">
        <v>4</v>
      </c>
      <c r="B6">
        <v>18000000</v>
      </c>
      <c r="C6">
        <v>500</v>
      </c>
      <c r="D6">
        <v>1</v>
      </c>
      <c r="E6" t="s">
        <v>37</v>
      </c>
    </row>
    <row r="7" spans="1:5" x14ac:dyDescent="0.45">
      <c r="A7">
        <v>5</v>
      </c>
      <c r="B7">
        <v>360000000</v>
      </c>
      <c r="C7">
        <v>1000</v>
      </c>
      <c r="D7">
        <v>1</v>
      </c>
      <c r="E7" t="s">
        <v>38</v>
      </c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B4" sqref="B4:F4"/>
    </sheetView>
  </sheetViews>
  <sheetFormatPr baseColWidth="10" defaultRowHeight="14.25" x14ac:dyDescent="0.45"/>
  <sheetData>
    <row r="1" spans="1:12" x14ac:dyDescent="0.45">
      <c r="A1" s="3" t="s">
        <v>39</v>
      </c>
      <c r="B1" s="3" t="s">
        <v>40</v>
      </c>
      <c r="C1" s="3" t="s">
        <v>41</v>
      </c>
      <c r="D1" s="3" t="s">
        <v>42</v>
      </c>
      <c r="E1" s="3" t="s">
        <v>43</v>
      </c>
      <c r="F1" s="3" t="s">
        <v>44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400000000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F7" sqref="F7"/>
    </sheetView>
  </sheetViews>
  <sheetFormatPr baseColWidth="10" defaultColWidth="9.06640625" defaultRowHeight="14.25" x14ac:dyDescent="0.45"/>
  <sheetData>
    <row r="1" spans="1:8" x14ac:dyDescent="0.45">
      <c r="A1" s="6" t="s">
        <v>45</v>
      </c>
      <c r="B1" s="6" t="s">
        <v>46</v>
      </c>
      <c r="C1" s="6" t="s">
        <v>47</v>
      </c>
      <c r="D1" s="6" t="s">
        <v>48</v>
      </c>
      <c r="E1" s="6" t="s">
        <v>49</v>
      </c>
      <c r="F1" s="6" t="s">
        <v>50</v>
      </c>
      <c r="G1" s="6" t="s">
        <v>51</v>
      </c>
      <c r="H1" s="6" t="s">
        <v>32</v>
      </c>
    </row>
    <row r="2" spans="1:8" x14ac:dyDescent="0.45">
      <c r="A2" s="6" t="s">
        <v>52</v>
      </c>
      <c r="B2">
        <v>100</v>
      </c>
      <c r="C2">
        <v>225</v>
      </c>
      <c r="D2">
        <v>275</v>
      </c>
      <c r="E2" t="s">
        <v>53</v>
      </c>
      <c r="F2" t="s">
        <v>54</v>
      </c>
      <c r="G2">
        <v>25</v>
      </c>
      <c r="H2" t="s">
        <v>55</v>
      </c>
    </row>
    <row r="3" spans="1:8" x14ac:dyDescent="0.45">
      <c r="A3" s="6" t="s">
        <v>56</v>
      </c>
      <c r="B3" s="1">
        <v>0.01</v>
      </c>
      <c r="C3">
        <v>9.0000000000000002E-6</v>
      </c>
      <c r="D3">
        <v>1.1E-5</v>
      </c>
      <c r="E3" t="s">
        <v>53</v>
      </c>
      <c r="F3" t="s">
        <v>54</v>
      </c>
      <c r="G3">
        <v>25</v>
      </c>
      <c r="H3" t="s">
        <v>57</v>
      </c>
    </row>
    <row r="4" spans="1:8" x14ac:dyDescent="0.45">
      <c r="A4" s="6" t="s">
        <v>58</v>
      </c>
      <c r="B4">
        <v>100</v>
      </c>
      <c r="C4">
        <v>22.5</v>
      </c>
      <c r="D4">
        <v>27.5</v>
      </c>
      <c r="E4" t="s">
        <v>53</v>
      </c>
      <c r="F4" t="s">
        <v>54</v>
      </c>
      <c r="G4">
        <v>25</v>
      </c>
      <c r="H4" t="s">
        <v>59</v>
      </c>
    </row>
    <row r="5" spans="1:8" x14ac:dyDescent="0.45">
      <c r="A5" s="6" t="s">
        <v>60</v>
      </c>
      <c r="B5" s="1">
        <v>0.01</v>
      </c>
      <c r="C5">
        <v>9.0000000000000002E-6</v>
      </c>
      <c r="D5">
        <v>1.1E-5</v>
      </c>
      <c r="E5" t="s">
        <v>53</v>
      </c>
      <c r="F5" t="s">
        <v>54</v>
      </c>
      <c r="G5">
        <v>25</v>
      </c>
      <c r="H5" t="s">
        <v>61</v>
      </c>
    </row>
    <row r="6" spans="1:8" x14ac:dyDescent="0.45">
      <c r="A6" s="6" t="s">
        <v>62</v>
      </c>
      <c r="B6">
        <v>100</v>
      </c>
      <c r="C6">
        <v>22.5</v>
      </c>
      <c r="D6">
        <v>27.5</v>
      </c>
      <c r="E6" t="s">
        <v>53</v>
      </c>
      <c r="F6" t="s">
        <v>54</v>
      </c>
      <c r="G6">
        <v>25</v>
      </c>
      <c r="H6" t="s">
        <v>63</v>
      </c>
    </row>
    <row r="7" spans="1:8" x14ac:dyDescent="0.45">
      <c r="A7" s="6" t="s">
        <v>64</v>
      </c>
      <c r="B7" s="4">
        <v>100</v>
      </c>
      <c r="C7">
        <v>22.5</v>
      </c>
      <c r="D7">
        <v>27.5</v>
      </c>
      <c r="E7" t="s">
        <v>53</v>
      </c>
      <c r="F7" t="s">
        <v>54</v>
      </c>
      <c r="G7">
        <v>25</v>
      </c>
      <c r="H7" t="s">
        <v>55</v>
      </c>
    </row>
    <row r="8" spans="1:8" x14ac:dyDescent="0.45">
      <c r="A8" s="6" t="s">
        <v>65</v>
      </c>
      <c r="B8" s="1">
        <v>0.01</v>
      </c>
      <c r="C8">
        <v>9.0000000000000017E-7</v>
      </c>
      <c r="D8">
        <v>1.1000000000000001E-6</v>
      </c>
      <c r="E8" t="s">
        <v>53</v>
      </c>
      <c r="F8" t="s">
        <v>54</v>
      </c>
      <c r="G8">
        <v>25</v>
      </c>
      <c r="H8" t="s">
        <v>57</v>
      </c>
    </row>
    <row r="9" spans="1:8" x14ac:dyDescent="0.45">
      <c r="A9" s="6" t="s">
        <v>66</v>
      </c>
      <c r="B9" s="4">
        <v>100</v>
      </c>
      <c r="C9">
        <v>2.25</v>
      </c>
      <c r="D9">
        <v>2.75</v>
      </c>
      <c r="E9" t="s">
        <v>53</v>
      </c>
      <c r="F9" t="s">
        <v>54</v>
      </c>
      <c r="G9">
        <v>25</v>
      </c>
      <c r="H9" t="s">
        <v>59</v>
      </c>
    </row>
    <row r="10" spans="1:8" x14ac:dyDescent="0.45">
      <c r="A10" s="6" t="s">
        <v>67</v>
      </c>
      <c r="B10" s="1">
        <v>0.01</v>
      </c>
      <c r="C10">
        <v>9.0000000000000017E-7</v>
      </c>
      <c r="D10">
        <v>1.1000000000000001E-6</v>
      </c>
      <c r="E10" t="s">
        <v>53</v>
      </c>
      <c r="F10" t="s">
        <v>54</v>
      </c>
      <c r="G10">
        <v>25</v>
      </c>
      <c r="H10" t="s">
        <v>61</v>
      </c>
    </row>
    <row r="11" spans="1:8" x14ac:dyDescent="0.45">
      <c r="A11" s="6" t="s">
        <v>68</v>
      </c>
      <c r="B11" s="4">
        <v>100</v>
      </c>
      <c r="C11">
        <v>2.25</v>
      </c>
      <c r="D11">
        <v>2.75</v>
      </c>
      <c r="E11" t="s">
        <v>53</v>
      </c>
      <c r="F11" t="s">
        <v>54</v>
      </c>
      <c r="G11">
        <v>25</v>
      </c>
      <c r="H11" t="s">
        <v>63</v>
      </c>
    </row>
    <row r="12" spans="1:8" x14ac:dyDescent="0.45">
      <c r="A12" s="6" t="s">
        <v>69</v>
      </c>
      <c r="B12">
        <v>0.15</v>
      </c>
      <c r="C12">
        <v>0.22500000000000001</v>
      </c>
      <c r="D12">
        <v>0.27500000000000002</v>
      </c>
      <c r="E12" t="s">
        <v>53</v>
      </c>
      <c r="F12" t="s">
        <v>70</v>
      </c>
      <c r="G12">
        <v>0</v>
      </c>
      <c r="H12" t="s">
        <v>55</v>
      </c>
    </row>
    <row r="13" spans="1:8" x14ac:dyDescent="0.45">
      <c r="A13" s="6" t="s">
        <v>71</v>
      </c>
      <c r="B13">
        <v>0.15</v>
      </c>
      <c r="C13">
        <v>0.22500000000000001</v>
      </c>
      <c r="D13">
        <v>0.27500000000000002</v>
      </c>
      <c r="E13" t="s">
        <v>53</v>
      </c>
      <c r="F13" t="s">
        <v>70</v>
      </c>
      <c r="G13">
        <v>0</v>
      </c>
      <c r="H13" t="s">
        <v>57</v>
      </c>
    </row>
    <row r="14" spans="1:8" x14ac:dyDescent="0.45">
      <c r="A14" s="6" t="s">
        <v>72</v>
      </c>
      <c r="B14">
        <v>0.15</v>
      </c>
      <c r="C14">
        <v>0.22500000000000001</v>
      </c>
      <c r="D14">
        <v>0.27500000000000002</v>
      </c>
      <c r="E14" t="s">
        <v>53</v>
      </c>
      <c r="F14" t="s">
        <v>70</v>
      </c>
      <c r="G14">
        <v>0</v>
      </c>
      <c r="H14" t="s">
        <v>59</v>
      </c>
    </row>
    <row r="15" spans="1:8" x14ac:dyDescent="0.45">
      <c r="A15" s="6" t="s">
        <v>73</v>
      </c>
      <c r="B15">
        <v>0.15</v>
      </c>
      <c r="C15">
        <v>0.22500000000000001</v>
      </c>
      <c r="D15">
        <v>0.27500000000000002</v>
      </c>
      <c r="E15" t="s">
        <v>53</v>
      </c>
      <c r="F15" t="s">
        <v>70</v>
      </c>
      <c r="G15">
        <v>0</v>
      </c>
      <c r="H15" t="s">
        <v>61</v>
      </c>
    </row>
    <row r="16" spans="1:8" x14ac:dyDescent="0.45">
      <c r="A16" s="6" t="s">
        <v>74</v>
      </c>
      <c r="B16">
        <v>0.15</v>
      </c>
      <c r="C16">
        <v>0.22500000000000001</v>
      </c>
      <c r="D16">
        <v>0.27500000000000002</v>
      </c>
      <c r="E16" t="s">
        <v>53</v>
      </c>
      <c r="F16" t="s">
        <v>70</v>
      </c>
      <c r="G16">
        <v>0</v>
      </c>
      <c r="H16" t="s">
        <v>63</v>
      </c>
    </row>
    <row r="17" spans="1:8" x14ac:dyDescent="0.45">
      <c r="A17" s="6" t="s">
        <v>75</v>
      </c>
      <c r="B17">
        <v>1E-4</v>
      </c>
      <c r="C17">
        <v>9.0000000000000002E-6</v>
      </c>
      <c r="D17">
        <v>1.1E-5</v>
      </c>
      <c r="E17" t="s">
        <v>53</v>
      </c>
      <c r="F17" t="s">
        <v>70</v>
      </c>
      <c r="G17">
        <v>0</v>
      </c>
      <c r="H17" t="s">
        <v>55</v>
      </c>
    </row>
    <row r="18" spans="1:8" x14ac:dyDescent="0.45">
      <c r="A18" s="6" t="s">
        <v>76</v>
      </c>
      <c r="B18">
        <v>1E-4</v>
      </c>
      <c r="C18">
        <v>9.0000000000000002E-6</v>
      </c>
      <c r="D18">
        <v>1.1E-5</v>
      </c>
      <c r="E18" t="s">
        <v>53</v>
      </c>
      <c r="F18" t="s">
        <v>70</v>
      </c>
      <c r="G18">
        <v>0</v>
      </c>
      <c r="H18" t="s">
        <v>57</v>
      </c>
    </row>
    <row r="19" spans="1:8" x14ac:dyDescent="0.45">
      <c r="A19" s="6" t="s">
        <v>77</v>
      </c>
      <c r="B19">
        <v>1E-4</v>
      </c>
      <c r="C19">
        <v>9.0000000000000002E-6</v>
      </c>
      <c r="D19">
        <v>1.1E-5</v>
      </c>
      <c r="E19" t="s">
        <v>53</v>
      </c>
      <c r="F19" t="s">
        <v>70</v>
      </c>
      <c r="G19">
        <v>0</v>
      </c>
      <c r="H19" t="s">
        <v>59</v>
      </c>
    </row>
    <row r="20" spans="1:8" x14ac:dyDescent="0.45">
      <c r="A20" s="6" t="s">
        <v>78</v>
      </c>
      <c r="B20">
        <v>1E-4</v>
      </c>
      <c r="C20">
        <v>9.0000000000000002E-6</v>
      </c>
      <c r="D20">
        <v>1.1E-5</v>
      </c>
      <c r="E20" t="s">
        <v>53</v>
      </c>
      <c r="F20" t="s">
        <v>70</v>
      </c>
      <c r="G20">
        <v>0</v>
      </c>
      <c r="H20" t="s">
        <v>61</v>
      </c>
    </row>
    <row r="21" spans="1:8" x14ac:dyDescent="0.45">
      <c r="A21" s="6" t="s">
        <v>79</v>
      </c>
      <c r="B21">
        <v>1E-4</v>
      </c>
      <c r="C21">
        <v>9.0000000000000002E-6</v>
      </c>
      <c r="D21">
        <v>1.1E-5</v>
      </c>
      <c r="E21" t="s">
        <v>53</v>
      </c>
      <c r="F21" t="s">
        <v>70</v>
      </c>
      <c r="G21">
        <v>0</v>
      </c>
      <c r="H21" t="s">
        <v>63</v>
      </c>
    </row>
    <row r="22" spans="1:8" x14ac:dyDescent="0.45">
      <c r="A22" s="6" t="s">
        <v>40</v>
      </c>
      <c r="B22">
        <v>5.5555555555555599E-4</v>
      </c>
      <c r="C22">
        <v>3.1154231364886891E-4</v>
      </c>
      <c r="D22">
        <v>3.807739389041731E-4</v>
      </c>
      <c r="E22" t="s">
        <v>80</v>
      </c>
      <c r="F22" t="s">
        <v>70</v>
      </c>
      <c r="G22">
        <v>0</v>
      </c>
      <c r="H22" t="s">
        <v>55</v>
      </c>
    </row>
    <row r="23" spans="1:8" x14ac:dyDescent="0.45">
      <c r="A23" s="6" t="s">
        <v>41</v>
      </c>
      <c r="B23">
        <v>5.5555555555555599E-4</v>
      </c>
      <c r="C23">
        <v>3.1154231364886891E-5</v>
      </c>
      <c r="D23">
        <v>3.8077393890417307E-5</v>
      </c>
      <c r="E23" t="s">
        <v>80</v>
      </c>
      <c r="F23" t="s">
        <v>70</v>
      </c>
      <c r="G23">
        <v>0</v>
      </c>
      <c r="H23" t="s">
        <v>57</v>
      </c>
    </row>
    <row r="24" spans="1:8" x14ac:dyDescent="0.45">
      <c r="A24" s="6" t="s">
        <v>42</v>
      </c>
      <c r="B24">
        <v>5.5555555555555599E-4</v>
      </c>
      <c r="C24">
        <v>3.1154231364886891E-4</v>
      </c>
      <c r="D24">
        <v>3.807739389041731E-4</v>
      </c>
      <c r="E24" t="s">
        <v>80</v>
      </c>
      <c r="F24" t="s">
        <v>70</v>
      </c>
      <c r="G24">
        <v>0</v>
      </c>
      <c r="H24" t="s">
        <v>59</v>
      </c>
    </row>
    <row r="25" spans="1:8" x14ac:dyDescent="0.45">
      <c r="A25" s="6" t="s">
        <v>43</v>
      </c>
      <c r="B25">
        <v>5.5555555555555599E-4</v>
      </c>
      <c r="C25">
        <v>3.1154231364886891E-5</v>
      </c>
      <c r="D25">
        <v>3.8077393890417307E-5</v>
      </c>
      <c r="E25" t="s">
        <v>80</v>
      </c>
      <c r="F25" t="s">
        <v>70</v>
      </c>
      <c r="G25">
        <v>0</v>
      </c>
      <c r="H25" t="s">
        <v>61</v>
      </c>
    </row>
    <row r="26" spans="1:8" x14ac:dyDescent="0.45">
      <c r="A26" s="6" t="s">
        <v>44</v>
      </c>
      <c r="B26">
        <v>5.5555555555555599E-4</v>
      </c>
      <c r="C26">
        <v>3.1154231364886891E-4</v>
      </c>
      <c r="D26">
        <v>3.807739389041731E-4</v>
      </c>
      <c r="E26" t="s">
        <v>80</v>
      </c>
      <c r="F26" t="s">
        <v>70</v>
      </c>
      <c r="G26">
        <v>0</v>
      </c>
      <c r="H26" t="s">
        <v>63</v>
      </c>
    </row>
    <row r="27" spans="1:8" x14ac:dyDescent="0.45">
      <c r="A27" s="6" t="s">
        <v>81</v>
      </c>
      <c r="B27">
        <v>1</v>
      </c>
      <c r="C27">
        <v>3.1154231364886891E-4</v>
      </c>
      <c r="D27">
        <v>3.807739389041731E-4</v>
      </c>
      <c r="E27" t="s">
        <v>80</v>
      </c>
      <c r="F27" t="s">
        <v>70</v>
      </c>
      <c r="G27">
        <v>0</v>
      </c>
      <c r="H27" t="s">
        <v>347</v>
      </c>
    </row>
    <row r="28" spans="1:8" x14ac:dyDescent="0.45">
      <c r="A28" s="6" t="s">
        <v>82</v>
      </c>
      <c r="B28">
        <v>1</v>
      </c>
      <c r="C28">
        <v>3.1154231364886891E-4</v>
      </c>
      <c r="D28">
        <v>3.807739389041731E-4</v>
      </c>
      <c r="E28" t="s">
        <v>80</v>
      </c>
      <c r="F28" t="s">
        <v>70</v>
      </c>
      <c r="G28">
        <v>0</v>
      </c>
      <c r="H28" s="4" t="s">
        <v>347</v>
      </c>
    </row>
    <row r="29" spans="1:8" x14ac:dyDescent="0.45">
      <c r="A29" s="6" t="s">
        <v>83</v>
      </c>
      <c r="B29">
        <v>1</v>
      </c>
      <c r="C29">
        <v>3.1154231364886891E-4</v>
      </c>
      <c r="D29">
        <v>3.807739389041731E-4</v>
      </c>
      <c r="E29" t="s">
        <v>80</v>
      </c>
      <c r="F29" t="s">
        <v>70</v>
      </c>
      <c r="G29">
        <v>0</v>
      </c>
      <c r="H29" s="4" t="s">
        <v>347</v>
      </c>
    </row>
    <row r="30" spans="1:8" x14ac:dyDescent="0.45">
      <c r="A30" s="6" t="s">
        <v>84</v>
      </c>
      <c r="B30">
        <v>1</v>
      </c>
      <c r="C30">
        <v>3.1154231364886891E-4</v>
      </c>
      <c r="D30">
        <v>3.807739389041731E-4</v>
      </c>
      <c r="E30" t="s">
        <v>80</v>
      </c>
      <c r="F30" t="s">
        <v>70</v>
      </c>
      <c r="G30">
        <v>0</v>
      </c>
      <c r="H30" s="4" t="s">
        <v>347</v>
      </c>
    </row>
    <row r="31" spans="1:8" x14ac:dyDescent="0.45">
      <c r="A31" s="6" t="s">
        <v>85</v>
      </c>
      <c r="B31">
        <v>1</v>
      </c>
      <c r="C31">
        <v>3.1154231364886891E-4</v>
      </c>
      <c r="D31">
        <v>3.807739389041731E-4</v>
      </c>
      <c r="E31" t="s">
        <v>80</v>
      </c>
      <c r="F31" t="s">
        <v>70</v>
      </c>
      <c r="G31">
        <v>0</v>
      </c>
      <c r="H31" s="4" t="s">
        <v>347</v>
      </c>
    </row>
    <row r="32" spans="1:8" x14ac:dyDescent="0.45">
      <c r="A32" s="6" t="s">
        <v>86</v>
      </c>
      <c r="B32">
        <v>0</v>
      </c>
      <c r="C32">
        <v>3.1154231364886891E-4</v>
      </c>
      <c r="D32">
        <v>3.807739389041731E-4</v>
      </c>
      <c r="E32" t="s">
        <v>80</v>
      </c>
      <c r="F32" t="s">
        <v>70</v>
      </c>
      <c r="G32">
        <v>0</v>
      </c>
      <c r="H32" t="s">
        <v>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E2" sqref="E2"/>
    </sheetView>
  </sheetViews>
  <sheetFormatPr baseColWidth="10" defaultRowHeight="14.25" x14ac:dyDescent="0.45"/>
  <cols>
    <col min="1" max="1" width="37" style="4" bestFit="1" customWidth="1"/>
  </cols>
  <sheetData>
    <row r="1" spans="1:5" x14ac:dyDescent="0.45">
      <c r="A1" t="s">
        <v>88</v>
      </c>
      <c r="B1" t="s">
        <v>89</v>
      </c>
      <c r="C1" t="s">
        <v>90</v>
      </c>
      <c r="D1" t="s">
        <v>91</v>
      </c>
      <c r="E1" t="s">
        <v>92</v>
      </c>
    </row>
    <row r="2" spans="1:5" x14ac:dyDescent="0.45">
      <c r="A2" t="s">
        <v>93</v>
      </c>
      <c r="B2" t="s">
        <v>94</v>
      </c>
      <c r="C2">
        <v>1</v>
      </c>
      <c r="D2">
        <v>0</v>
      </c>
      <c r="E2">
        <v>400</v>
      </c>
    </row>
    <row r="3" spans="1:5" x14ac:dyDescent="0.45">
      <c r="A3" t="s">
        <v>95</v>
      </c>
      <c r="B3" t="s">
        <v>94</v>
      </c>
      <c r="C3">
        <v>7</v>
      </c>
      <c r="D3">
        <v>0</v>
      </c>
      <c r="E3">
        <v>400</v>
      </c>
    </row>
    <row r="4" spans="1:5" x14ac:dyDescent="0.45">
      <c r="A4" t="s">
        <v>96</v>
      </c>
      <c r="B4" t="s">
        <v>94</v>
      </c>
      <c r="C4">
        <v>12</v>
      </c>
      <c r="D4">
        <v>0</v>
      </c>
      <c r="E4">
        <v>400</v>
      </c>
    </row>
    <row r="5" spans="1:5" x14ac:dyDescent="0.45">
      <c r="A5" t="s">
        <v>97</v>
      </c>
      <c r="B5" t="s">
        <v>94</v>
      </c>
      <c r="C5">
        <v>17</v>
      </c>
      <c r="D5">
        <v>0</v>
      </c>
      <c r="E5">
        <v>400</v>
      </c>
    </row>
    <row r="6" spans="1:5" x14ac:dyDescent="0.45">
      <c r="A6" t="s">
        <v>98</v>
      </c>
      <c r="B6" t="s">
        <v>94</v>
      </c>
      <c r="C6">
        <v>22</v>
      </c>
      <c r="D6">
        <v>0</v>
      </c>
      <c r="E6">
        <v>400</v>
      </c>
    </row>
    <row r="7" spans="1:5" x14ac:dyDescent="0.45">
      <c r="A7" t="s">
        <v>99</v>
      </c>
      <c r="B7" t="s">
        <v>100</v>
      </c>
      <c r="C7">
        <v>12</v>
      </c>
      <c r="D7">
        <v>0</v>
      </c>
      <c r="E7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I11" sqref="I11"/>
    </sheetView>
  </sheetViews>
  <sheetFormatPr baseColWidth="10" defaultColWidth="9.06640625" defaultRowHeight="14.25" x14ac:dyDescent="0.45"/>
  <sheetData>
    <row r="1" spans="1:6" x14ac:dyDescent="0.45">
      <c r="A1" s="6" t="s">
        <v>101</v>
      </c>
      <c r="B1" s="6" t="s">
        <v>39</v>
      </c>
      <c r="C1" s="6" t="s">
        <v>90</v>
      </c>
      <c r="D1" s="6" t="s">
        <v>91</v>
      </c>
      <c r="E1" s="6" t="s">
        <v>92</v>
      </c>
      <c r="F1" s="6" t="s">
        <v>102</v>
      </c>
    </row>
    <row r="2" spans="1:6" x14ac:dyDescent="0.45">
      <c r="A2" t="s">
        <v>103</v>
      </c>
      <c r="B2">
        <v>0</v>
      </c>
      <c r="C2">
        <v>12</v>
      </c>
      <c r="D2">
        <v>0</v>
      </c>
      <c r="E2">
        <v>400</v>
      </c>
      <c r="F2">
        <v>0</v>
      </c>
    </row>
    <row r="3" spans="1:6" x14ac:dyDescent="0.45">
      <c r="A3" t="s">
        <v>103</v>
      </c>
      <c r="B3">
        <v>3600000</v>
      </c>
      <c r="C3">
        <v>12</v>
      </c>
      <c r="D3">
        <v>0</v>
      </c>
      <c r="E3">
        <v>400</v>
      </c>
      <c r="F3" s="4">
        <v>0</v>
      </c>
    </row>
    <row r="4" spans="1:6" x14ac:dyDescent="0.45">
      <c r="A4" t="s">
        <v>103</v>
      </c>
      <c r="B4">
        <v>400000000</v>
      </c>
      <c r="C4">
        <v>12</v>
      </c>
      <c r="D4">
        <v>0</v>
      </c>
      <c r="E4">
        <v>400</v>
      </c>
      <c r="F4" s="4">
        <v>0</v>
      </c>
    </row>
    <row r="5" spans="1:6" x14ac:dyDescent="0.45">
      <c r="A5" t="s">
        <v>104</v>
      </c>
      <c r="B5">
        <v>0</v>
      </c>
      <c r="C5">
        <v>12</v>
      </c>
      <c r="D5">
        <v>0</v>
      </c>
      <c r="E5">
        <v>399</v>
      </c>
      <c r="F5" s="4">
        <v>0</v>
      </c>
    </row>
    <row r="6" spans="1:6" x14ac:dyDescent="0.45">
      <c r="A6" t="s">
        <v>104</v>
      </c>
      <c r="B6">
        <v>3600000</v>
      </c>
      <c r="C6">
        <v>12</v>
      </c>
      <c r="D6">
        <v>0</v>
      </c>
      <c r="E6">
        <v>399</v>
      </c>
      <c r="F6" s="4">
        <v>0</v>
      </c>
    </row>
    <row r="7" spans="1:6" x14ac:dyDescent="0.45">
      <c r="A7" t="s">
        <v>104</v>
      </c>
      <c r="B7">
        <v>400000000</v>
      </c>
      <c r="C7">
        <v>12</v>
      </c>
      <c r="D7">
        <v>0</v>
      </c>
      <c r="E7">
        <v>399</v>
      </c>
      <c r="F7" s="4">
        <v>0</v>
      </c>
    </row>
    <row r="8" spans="1:6" x14ac:dyDescent="0.45">
      <c r="A8" t="s">
        <v>105</v>
      </c>
      <c r="B8">
        <v>0</v>
      </c>
      <c r="C8">
        <v>12</v>
      </c>
      <c r="D8">
        <v>0</v>
      </c>
      <c r="E8">
        <v>401</v>
      </c>
      <c r="F8" s="4">
        <v>0</v>
      </c>
    </row>
    <row r="9" spans="1:6" x14ac:dyDescent="0.45">
      <c r="A9" t="s">
        <v>105</v>
      </c>
      <c r="B9">
        <v>3600000</v>
      </c>
      <c r="C9">
        <v>12</v>
      </c>
      <c r="D9">
        <v>0</v>
      </c>
      <c r="E9">
        <v>401</v>
      </c>
      <c r="F9" s="4">
        <v>0</v>
      </c>
    </row>
    <row r="10" spans="1:6" x14ac:dyDescent="0.45">
      <c r="A10" t="s">
        <v>105</v>
      </c>
      <c r="B10">
        <v>400000000</v>
      </c>
      <c r="C10">
        <v>12</v>
      </c>
      <c r="D10">
        <v>0</v>
      </c>
      <c r="E10">
        <v>401</v>
      </c>
      <c r="F10" s="4">
        <v>0</v>
      </c>
    </row>
    <row r="11" spans="1:6" x14ac:dyDescent="0.45">
      <c r="A11" t="s">
        <v>106</v>
      </c>
      <c r="B11">
        <v>0</v>
      </c>
      <c r="C11">
        <v>12</v>
      </c>
      <c r="D11">
        <v>0</v>
      </c>
      <c r="E11">
        <v>402</v>
      </c>
      <c r="F11" s="4">
        <v>0</v>
      </c>
    </row>
    <row r="12" spans="1:6" x14ac:dyDescent="0.45">
      <c r="A12" t="s">
        <v>106</v>
      </c>
      <c r="B12">
        <v>3600000</v>
      </c>
      <c r="C12">
        <v>12</v>
      </c>
      <c r="D12">
        <v>0</v>
      </c>
      <c r="E12">
        <v>402</v>
      </c>
      <c r="F12" s="4">
        <v>0</v>
      </c>
    </row>
    <row r="13" spans="1:6" x14ac:dyDescent="0.45">
      <c r="A13" t="s">
        <v>106</v>
      </c>
      <c r="B13">
        <v>400000000</v>
      </c>
      <c r="C13">
        <v>12</v>
      </c>
      <c r="D13">
        <v>0</v>
      </c>
      <c r="E13">
        <v>402</v>
      </c>
      <c r="F13" s="4">
        <v>0</v>
      </c>
    </row>
    <row r="14" spans="1:6" x14ac:dyDescent="0.45">
      <c r="A14" t="s">
        <v>107</v>
      </c>
      <c r="B14">
        <v>0</v>
      </c>
      <c r="C14">
        <v>12</v>
      </c>
      <c r="D14">
        <v>0</v>
      </c>
      <c r="E14">
        <v>398</v>
      </c>
      <c r="F14" s="4">
        <v>0</v>
      </c>
    </row>
    <row r="15" spans="1:6" x14ac:dyDescent="0.45">
      <c r="A15" t="s">
        <v>107</v>
      </c>
      <c r="B15">
        <v>3600000</v>
      </c>
      <c r="C15">
        <v>12</v>
      </c>
      <c r="D15">
        <v>0</v>
      </c>
      <c r="E15">
        <v>398</v>
      </c>
      <c r="F15" s="4">
        <v>0</v>
      </c>
    </row>
    <row r="16" spans="1:6" x14ac:dyDescent="0.45">
      <c r="A16" t="s">
        <v>107</v>
      </c>
      <c r="B16">
        <v>400000000</v>
      </c>
      <c r="C16">
        <v>12</v>
      </c>
      <c r="D16">
        <v>0</v>
      </c>
      <c r="E16">
        <v>398</v>
      </c>
      <c r="F16" s="4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E30" sqref="E30"/>
    </sheetView>
  </sheetViews>
  <sheetFormatPr baseColWidth="10" defaultRowHeight="14.25" x14ac:dyDescent="0.45"/>
  <sheetData>
    <row r="1" spans="1:12" x14ac:dyDescent="0.45">
      <c r="A1" t="s">
        <v>101</v>
      </c>
      <c r="B1" t="s">
        <v>108</v>
      </c>
      <c r="C1" t="s">
        <v>109</v>
      </c>
      <c r="D1" t="s">
        <v>110</v>
      </c>
      <c r="E1" t="s">
        <v>111</v>
      </c>
      <c r="F1" t="s">
        <v>112</v>
      </c>
      <c r="G1" t="s">
        <v>113</v>
      </c>
      <c r="H1" t="s">
        <v>114</v>
      </c>
      <c r="I1" t="s">
        <v>115</v>
      </c>
      <c r="J1" t="s">
        <v>116</v>
      </c>
      <c r="K1" t="s">
        <v>117</v>
      </c>
      <c r="L1" t="s">
        <v>118</v>
      </c>
    </row>
    <row r="2" spans="1:12" x14ac:dyDescent="0.45">
      <c r="A2" t="s">
        <v>103</v>
      </c>
      <c r="B2">
        <v>0</v>
      </c>
      <c r="C2">
        <v>-0.02</v>
      </c>
      <c r="D2">
        <v>-0.2</v>
      </c>
      <c r="E2">
        <v>-1</v>
      </c>
      <c r="F2">
        <v>-2</v>
      </c>
      <c r="G2">
        <v>-3</v>
      </c>
      <c r="H2">
        <v>-5</v>
      </c>
      <c r="I2">
        <v>-10</v>
      </c>
      <c r="J2">
        <v>-20</v>
      </c>
      <c r="K2">
        <v>-40</v>
      </c>
      <c r="L2">
        <v>-60</v>
      </c>
    </row>
    <row r="3" spans="1:12" x14ac:dyDescent="0.45">
      <c r="A3" t="s">
        <v>104</v>
      </c>
      <c r="B3">
        <v>0</v>
      </c>
      <c r="C3">
        <v>-0.02</v>
      </c>
      <c r="D3">
        <v>-0.2</v>
      </c>
      <c r="E3">
        <v>-1</v>
      </c>
      <c r="F3">
        <v>-2</v>
      </c>
      <c r="G3">
        <v>-3</v>
      </c>
      <c r="H3">
        <v>-5</v>
      </c>
      <c r="I3">
        <v>-10</v>
      </c>
      <c r="J3">
        <v>-20</v>
      </c>
      <c r="K3">
        <v>-40</v>
      </c>
      <c r="L3">
        <v>-60</v>
      </c>
    </row>
    <row r="4" spans="1:12" x14ac:dyDescent="0.45">
      <c r="A4" t="s">
        <v>105</v>
      </c>
      <c r="B4">
        <v>0</v>
      </c>
      <c r="C4">
        <v>-0.02</v>
      </c>
      <c r="D4">
        <v>-0.2</v>
      </c>
      <c r="E4">
        <v>-1</v>
      </c>
      <c r="F4">
        <v>-2</v>
      </c>
      <c r="G4">
        <v>-3</v>
      </c>
      <c r="H4">
        <v>-5</v>
      </c>
      <c r="I4">
        <v>-10</v>
      </c>
      <c r="J4">
        <v>-20</v>
      </c>
      <c r="K4">
        <v>-40</v>
      </c>
      <c r="L4">
        <v>-60</v>
      </c>
    </row>
    <row r="5" spans="1:12" x14ac:dyDescent="0.45">
      <c r="A5" t="s">
        <v>106</v>
      </c>
      <c r="B5">
        <v>0</v>
      </c>
      <c r="C5">
        <v>-0.02</v>
      </c>
      <c r="D5">
        <v>-0.2</v>
      </c>
      <c r="E5">
        <v>-1</v>
      </c>
      <c r="F5">
        <v>-2</v>
      </c>
      <c r="G5">
        <v>-3</v>
      </c>
      <c r="H5">
        <v>-5</v>
      </c>
      <c r="I5">
        <v>-10</v>
      </c>
      <c r="J5">
        <v>-20</v>
      </c>
      <c r="K5">
        <v>-40</v>
      </c>
      <c r="L5">
        <v>-60</v>
      </c>
    </row>
    <row r="6" spans="1:12" x14ac:dyDescent="0.45">
      <c r="A6" t="s">
        <v>107</v>
      </c>
      <c r="B6">
        <v>0</v>
      </c>
      <c r="C6">
        <v>-0.02</v>
      </c>
      <c r="D6">
        <v>-0.2</v>
      </c>
      <c r="E6">
        <v>-1</v>
      </c>
      <c r="F6">
        <v>-2</v>
      </c>
      <c r="G6">
        <v>-3</v>
      </c>
      <c r="H6">
        <v>-5</v>
      </c>
      <c r="I6">
        <v>-10</v>
      </c>
      <c r="J6">
        <v>-20</v>
      </c>
      <c r="K6">
        <v>-40</v>
      </c>
      <c r="L6">
        <v>-60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7"/>
  <sheetViews>
    <sheetView workbookViewId="0">
      <selection activeCell="E14" sqref="E14"/>
    </sheetView>
  </sheetViews>
  <sheetFormatPr baseColWidth="10" defaultRowHeight="14.25" x14ac:dyDescent="0.45"/>
  <cols>
    <col min="3" max="3" width="10.9296875" style="4" customWidth="1"/>
    <col min="9" max="9" width="10.9296875" style="4" customWidth="1"/>
  </cols>
  <sheetData>
    <row r="1" spans="1:13" x14ac:dyDescent="0.45">
      <c r="A1" t="s">
        <v>101</v>
      </c>
      <c r="B1" t="s">
        <v>39</v>
      </c>
      <c r="C1" t="s">
        <v>119</v>
      </c>
      <c r="D1" t="s">
        <v>109</v>
      </c>
      <c r="E1" t="s">
        <v>110</v>
      </c>
      <c r="F1" t="s">
        <v>111</v>
      </c>
      <c r="G1" t="s">
        <v>112</v>
      </c>
      <c r="H1" t="s">
        <v>113</v>
      </c>
      <c r="I1" t="s">
        <v>114</v>
      </c>
      <c r="J1" t="s">
        <v>115</v>
      </c>
      <c r="K1" t="s">
        <v>116</v>
      </c>
      <c r="L1" t="s">
        <v>117</v>
      </c>
      <c r="M1" t="s">
        <v>118</v>
      </c>
    </row>
    <row r="2" spans="1:13" x14ac:dyDescent="0.45">
      <c r="A2" t="s">
        <v>103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45">
      <c r="A3" t="s">
        <v>103</v>
      </c>
      <c r="B3" s="3">
        <v>3600000</v>
      </c>
      <c r="C3">
        <v>0</v>
      </c>
      <c r="D3">
        <v>-0.02</v>
      </c>
      <c r="E3">
        <v>-0.2</v>
      </c>
      <c r="F3">
        <v>-1</v>
      </c>
      <c r="G3">
        <v>-2</v>
      </c>
      <c r="H3">
        <v>-3</v>
      </c>
      <c r="I3">
        <v>-5</v>
      </c>
      <c r="J3">
        <v>-10</v>
      </c>
      <c r="K3">
        <v>-20</v>
      </c>
      <c r="L3">
        <v>-40</v>
      </c>
      <c r="M3">
        <v>-60</v>
      </c>
    </row>
    <row r="4" spans="1:13" x14ac:dyDescent="0.45">
      <c r="A4" t="s">
        <v>103</v>
      </c>
      <c r="B4">
        <v>400000000</v>
      </c>
      <c r="C4">
        <v>0</v>
      </c>
      <c r="D4">
        <v>-0.02</v>
      </c>
      <c r="E4">
        <v>-0.2</v>
      </c>
      <c r="F4">
        <v>-1</v>
      </c>
      <c r="G4">
        <v>-2</v>
      </c>
      <c r="H4">
        <v>-3</v>
      </c>
      <c r="I4">
        <v>-5</v>
      </c>
      <c r="J4">
        <v>-10</v>
      </c>
      <c r="K4">
        <v>-20</v>
      </c>
      <c r="L4">
        <v>-40</v>
      </c>
      <c r="M4">
        <v>-60</v>
      </c>
    </row>
    <row r="5" spans="1:13" x14ac:dyDescent="0.45">
      <c r="A5" t="s">
        <v>104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45">
      <c r="A6" t="s">
        <v>104</v>
      </c>
      <c r="B6" s="3">
        <v>3600000</v>
      </c>
      <c r="C6">
        <v>0</v>
      </c>
      <c r="D6">
        <v>-0.02</v>
      </c>
      <c r="E6">
        <v>-0.2</v>
      </c>
      <c r="F6">
        <v>-1</v>
      </c>
      <c r="G6">
        <v>-2</v>
      </c>
      <c r="H6">
        <v>-3</v>
      </c>
      <c r="I6">
        <v>-5</v>
      </c>
      <c r="J6">
        <v>-10</v>
      </c>
      <c r="K6">
        <v>-20</v>
      </c>
      <c r="L6">
        <v>-40</v>
      </c>
      <c r="M6">
        <v>-60</v>
      </c>
    </row>
    <row r="7" spans="1:13" x14ac:dyDescent="0.45">
      <c r="A7" t="s">
        <v>104</v>
      </c>
      <c r="B7">
        <v>400000000</v>
      </c>
      <c r="C7">
        <v>0</v>
      </c>
      <c r="D7">
        <v>-0.02</v>
      </c>
      <c r="E7">
        <v>-0.2</v>
      </c>
      <c r="F7">
        <v>-1</v>
      </c>
      <c r="G7">
        <v>-2</v>
      </c>
      <c r="H7">
        <v>-3</v>
      </c>
      <c r="I7">
        <v>-5</v>
      </c>
      <c r="J7">
        <v>-10</v>
      </c>
      <c r="K7">
        <v>-20</v>
      </c>
      <c r="L7">
        <v>-40</v>
      </c>
      <c r="M7">
        <v>-60</v>
      </c>
    </row>
    <row r="8" spans="1:13" x14ac:dyDescent="0.45">
      <c r="A8" t="s">
        <v>105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x14ac:dyDescent="0.45">
      <c r="A9" t="s">
        <v>105</v>
      </c>
      <c r="B9" s="3">
        <v>3600000</v>
      </c>
      <c r="C9">
        <v>0</v>
      </c>
      <c r="D9">
        <v>-0.02</v>
      </c>
      <c r="E9">
        <v>-0.2</v>
      </c>
      <c r="F9">
        <v>-1</v>
      </c>
      <c r="G9">
        <v>-2</v>
      </c>
      <c r="H9">
        <v>-3</v>
      </c>
      <c r="I9">
        <v>-5</v>
      </c>
      <c r="J9">
        <v>-10</v>
      </c>
      <c r="K9">
        <v>-20</v>
      </c>
      <c r="L9">
        <v>-40</v>
      </c>
      <c r="M9">
        <v>-60</v>
      </c>
    </row>
    <row r="10" spans="1:13" x14ac:dyDescent="0.45">
      <c r="A10" t="s">
        <v>105</v>
      </c>
      <c r="B10">
        <v>400000000</v>
      </c>
      <c r="C10">
        <v>0</v>
      </c>
      <c r="D10">
        <v>-0.02</v>
      </c>
      <c r="E10">
        <v>-0.2</v>
      </c>
      <c r="F10">
        <v>-1</v>
      </c>
      <c r="G10">
        <v>-2</v>
      </c>
      <c r="H10">
        <v>-3</v>
      </c>
      <c r="I10">
        <v>-5</v>
      </c>
      <c r="J10">
        <v>-10</v>
      </c>
      <c r="K10">
        <v>-20</v>
      </c>
      <c r="L10">
        <v>-40</v>
      </c>
      <c r="M10">
        <v>-60</v>
      </c>
    </row>
    <row r="11" spans="1:13" x14ac:dyDescent="0.45">
      <c r="A11" t="s">
        <v>106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106</v>
      </c>
      <c r="B12" s="3">
        <v>3600000</v>
      </c>
      <c r="C12">
        <v>0</v>
      </c>
      <c r="D12">
        <v>-0.02</v>
      </c>
      <c r="E12">
        <v>-0.2</v>
      </c>
      <c r="F12">
        <v>-1</v>
      </c>
      <c r="G12">
        <v>-2</v>
      </c>
      <c r="H12">
        <v>-3</v>
      </c>
      <c r="I12">
        <v>-5</v>
      </c>
      <c r="J12">
        <v>-10</v>
      </c>
      <c r="K12">
        <v>-20</v>
      </c>
      <c r="L12">
        <v>-40</v>
      </c>
      <c r="M12">
        <v>-60</v>
      </c>
    </row>
    <row r="13" spans="1:13" x14ac:dyDescent="0.45">
      <c r="A13" t="s">
        <v>106</v>
      </c>
      <c r="B13">
        <v>400000000</v>
      </c>
      <c r="C13">
        <v>0</v>
      </c>
      <c r="D13">
        <v>-0.02</v>
      </c>
      <c r="E13">
        <v>-0.2</v>
      </c>
      <c r="F13">
        <v>-1</v>
      </c>
      <c r="G13">
        <v>-2</v>
      </c>
      <c r="H13">
        <v>-3</v>
      </c>
      <c r="I13">
        <v>-5</v>
      </c>
      <c r="J13">
        <v>-10</v>
      </c>
      <c r="K13">
        <v>-20</v>
      </c>
      <c r="L13">
        <v>-40</v>
      </c>
      <c r="M13">
        <v>-60</v>
      </c>
    </row>
    <row r="14" spans="1:13" x14ac:dyDescent="0.4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107</v>
      </c>
      <c r="B15" s="3">
        <v>3600000</v>
      </c>
      <c r="C15">
        <v>0</v>
      </c>
      <c r="D15">
        <v>-0.02</v>
      </c>
      <c r="E15">
        <v>-0.2</v>
      </c>
      <c r="F15">
        <v>-1</v>
      </c>
      <c r="G15">
        <v>-2</v>
      </c>
      <c r="H15">
        <v>-3</v>
      </c>
      <c r="I15">
        <v>-5</v>
      </c>
      <c r="J15">
        <v>-10</v>
      </c>
      <c r="K15">
        <v>-20</v>
      </c>
      <c r="L15">
        <v>-40</v>
      </c>
      <c r="M15">
        <v>-60</v>
      </c>
    </row>
    <row r="16" spans="1:13" x14ac:dyDescent="0.45">
      <c r="A16" t="s">
        <v>107</v>
      </c>
      <c r="B16">
        <v>400000000</v>
      </c>
      <c r="C16">
        <v>0</v>
      </c>
      <c r="D16">
        <v>-0.02</v>
      </c>
      <c r="E16">
        <v>-0.2</v>
      </c>
      <c r="F16">
        <v>-1</v>
      </c>
      <c r="G16">
        <v>-2</v>
      </c>
      <c r="H16">
        <v>-3</v>
      </c>
      <c r="I16">
        <v>-5</v>
      </c>
      <c r="J16">
        <v>-10</v>
      </c>
      <c r="K16">
        <v>-20</v>
      </c>
      <c r="L16">
        <v>-40</v>
      </c>
      <c r="M16">
        <v>-60</v>
      </c>
    </row>
    <row r="18" spans="2:17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21" spans="2:17" x14ac:dyDescent="0.45">
      <c r="B21" s="3"/>
      <c r="C21" s="3"/>
    </row>
    <row r="24" spans="2:17" x14ac:dyDescent="0.45">
      <c r="B24" s="3"/>
      <c r="C24" s="3"/>
    </row>
    <row r="27" spans="2:17" x14ac:dyDescent="0.45">
      <c r="B27" s="3"/>
      <c r="C27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7"/>
  <sheetViews>
    <sheetView tabSelected="1" workbookViewId="0">
      <selection activeCell="F19" sqref="F19"/>
    </sheetView>
  </sheetViews>
  <sheetFormatPr baseColWidth="10" defaultRowHeight="14.25" x14ac:dyDescent="0.45"/>
  <sheetData>
    <row r="1" spans="1:6" x14ac:dyDescent="0.45">
      <c r="A1" t="s">
        <v>45</v>
      </c>
      <c r="B1" t="s">
        <v>120</v>
      </c>
      <c r="C1" t="s">
        <v>121</v>
      </c>
      <c r="D1" t="s">
        <v>122</v>
      </c>
      <c r="E1" t="s">
        <v>123</v>
      </c>
    </row>
    <row r="2" spans="1:6" x14ac:dyDescent="0.45">
      <c r="A2" s="5" t="s">
        <v>52</v>
      </c>
      <c r="B2" s="2">
        <v>0.1</v>
      </c>
      <c r="C2" s="2">
        <v>1</v>
      </c>
      <c r="D2" s="2">
        <v>10</v>
      </c>
      <c r="E2" s="2">
        <v>100</v>
      </c>
      <c r="F2" s="1"/>
    </row>
    <row r="3" spans="1:6" x14ac:dyDescent="0.45">
      <c r="A3" s="5" t="s">
        <v>58</v>
      </c>
      <c r="B3" s="2">
        <v>0.1</v>
      </c>
      <c r="C3" s="2">
        <v>1</v>
      </c>
      <c r="D3" s="2">
        <v>10</v>
      </c>
      <c r="E3" s="2">
        <v>100</v>
      </c>
      <c r="F3" s="1"/>
    </row>
    <row r="4" spans="1:6" x14ac:dyDescent="0.45">
      <c r="A4" s="5" t="s">
        <v>62</v>
      </c>
      <c r="B4" s="2">
        <v>0.1</v>
      </c>
      <c r="C4" s="2">
        <v>1</v>
      </c>
      <c r="D4" s="2">
        <v>10</v>
      </c>
      <c r="E4" s="2">
        <v>100</v>
      </c>
      <c r="F4" s="1"/>
    </row>
    <row r="5" spans="1:6" x14ac:dyDescent="0.45">
      <c r="A5" s="5" t="s">
        <v>64</v>
      </c>
      <c r="B5" s="2">
        <v>0.1</v>
      </c>
      <c r="C5" s="2">
        <v>1</v>
      </c>
      <c r="D5" s="2">
        <v>10</v>
      </c>
      <c r="E5" s="2">
        <v>100</v>
      </c>
      <c r="F5" s="1"/>
    </row>
    <row r="6" spans="1:6" x14ac:dyDescent="0.45">
      <c r="A6" s="5" t="s">
        <v>66</v>
      </c>
      <c r="B6" s="2">
        <v>0.1</v>
      </c>
      <c r="C6" s="2">
        <v>1</v>
      </c>
      <c r="D6" s="2">
        <v>10</v>
      </c>
      <c r="E6" s="2">
        <v>100</v>
      </c>
    </row>
    <row r="7" spans="1:6" x14ac:dyDescent="0.45">
      <c r="A7" s="5" t="s">
        <v>68</v>
      </c>
      <c r="B7" s="2">
        <v>0.1</v>
      </c>
      <c r="C7" s="2">
        <v>1</v>
      </c>
      <c r="D7" s="2">
        <v>10</v>
      </c>
      <c r="E7" s="2">
        <v>100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M364"/>
  <sheetViews>
    <sheetView topLeftCell="Z43" workbookViewId="0">
      <selection activeCell="AC45" sqref="AC45:AN63"/>
    </sheetView>
  </sheetViews>
  <sheetFormatPr baseColWidth="10" defaultRowHeight="14.25" x14ac:dyDescent="0.45"/>
  <cols>
    <col min="1" max="1" width="15.46484375" style="4" bestFit="1" customWidth="1"/>
  </cols>
  <sheetData>
    <row r="1" spans="1:37" x14ac:dyDescent="0.45">
      <c r="A1" t="s">
        <v>124</v>
      </c>
      <c r="B1" t="s">
        <v>39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103</v>
      </c>
      <c r="S1">
        <v>0</v>
      </c>
      <c r="U1" t="s">
        <v>124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103</v>
      </c>
      <c r="AK1">
        <v>0</v>
      </c>
    </row>
    <row r="2" spans="1:37" x14ac:dyDescent="0.45">
      <c r="A2" t="s">
        <v>125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103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103</v>
      </c>
      <c r="AK2">
        <v>27000</v>
      </c>
    </row>
    <row r="3" spans="1:37" x14ac:dyDescent="0.45">
      <c r="A3" t="s">
        <v>126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127</v>
      </c>
      <c r="R3" t="s">
        <v>103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128</v>
      </c>
      <c r="AJ3" t="s">
        <v>103</v>
      </c>
      <c r="AK3">
        <v>20000000</v>
      </c>
    </row>
    <row r="4" spans="1:37" x14ac:dyDescent="0.45">
      <c r="A4" t="s">
        <v>129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128</v>
      </c>
      <c r="R4" t="s">
        <v>104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130</v>
      </c>
      <c r="AJ4" t="s">
        <v>104</v>
      </c>
      <c r="AK4">
        <v>0</v>
      </c>
    </row>
    <row r="5" spans="1:37" x14ac:dyDescent="0.45">
      <c r="A5" t="s">
        <v>131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130</v>
      </c>
      <c r="R5" t="s">
        <v>104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132</v>
      </c>
      <c r="AJ5" t="s">
        <v>104</v>
      </c>
      <c r="AK5">
        <v>27000</v>
      </c>
    </row>
    <row r="6" spans="1:37" x14ac:dyDescent="0.45">
      <c r="A6" t="s">
        <v>133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132</v>
      </c>
      <c r="R6" t="s">
        <v>104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104</v>
      </c>
      <c r="AK6">
        <v>20000000</v>
      </c>
    </row>
    <row r="7" spans="1:37" x14ac:dyDescent="0.45">
      <c r="A7" t="s">
        <v>134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105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105</v>
      </c>
      <c r="AK7">
        <v>0</v>
      </c>
    </row>
    <row r="8" spans="1:37" x14ac:dyDescent="0.45">
      <c r="A8" t="s">
        <v>135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105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105</v>
      </c>
      <c r="AK8">
        <v>27000</v>
      </c>
    </row>
    <row r="9" spans="1:37" x14ac:dyDescent="0.45">
      <c r="A9" t="s">
        <v>136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105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105</v>
      </c>
      <c r="AK9">
        <v>20000000</v>
      </c>
    </row>
    <row r="10" spans="1:37" x14ac:dyDescent="0.45">
      <c r="A10" t="s">
        <v>137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106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106</v>
      </c>
      <c r="AK10">
        <v>0</v>
      </c>
    </row>
    <row r="11" spans="1:37" x14ac:dyDescent="0.45">
      <c r="A11" t="s">
        <v>138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106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106</v>
      </c>
      <c r="AK11">
        <v>27000</v>
      </c>
    </row>
    <row r="12" spans="1:37" x14ac:dyDescent="0.45">
      <c r="A12" t="s">
        <v>139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106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106</v>
      </c>
      <c r="AK12">
        <v>20000000</v>
      </c>
    </row>
    <row r="13" spans="1:37" x14ac:dyDescent="0.45">
      <c r="A13" t="s">
        <v>140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107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107</v>
      </c>
      <c r="AK13">
        <v>0</v>
      </c>
    </row>
    <row r="14" spans="1:37" x14ac:dyDescent="0.45">
      <c r="A14" t="s">
        <v>141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107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107</v>
      </c>
      <c r="AK14">
        <v>27000</v>
      </c>
    </row>
    <row r="15" spans="1:37" x14ac:dyDescent="0.45">
      <c r="A15" t="s">
        <v>142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107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107</v>
      </c>
      <c r="AK15">
        <v>20000000</v>
      </c>
    </row>
    <row r="16" spans="1:37" x14ac:dyDescent="0.45">
      <c r="A16" t="s">
        <v>143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144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144</v>
      </c>
      <c r="AK16">
        <v>0</v>
      </c>
    </row>
    <row r="17" spans="1:37" x14ac:dyDescent="0.45">
      <c r="A17" t="s">
        <v>145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144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144</v>
      </c>
      <c r="AK17">
        <v>27000</v>
      </c>
    </row>
    <row r="18" spans="1:37" x14ac:dyDescent="0.45">
      <c r="A18" t="s">
        <v>146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147</v>
      </c>
      <c r="R18" t="s">
        <v>144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144</v>
      </c>
      <c r="AK18">
        <v>20000000</v>
      </c>
    </row>
    <row r="19" spans="1:37" x14ac:dyDescent="0.45">
      <c r="A19" t="s">
        <v>148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149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39</v>
      </c>
      <c r="L20" s="3" t="s">
        <v>40</v>
      </c>
      <c r="M20" s="3" t="s">
        <v>41</v>
      </c>
      <c r="N20" s="3" t="s">
        <v>42</v>
      </c>
      <c r="O20" s="3" t="s">
        <v>43</v>
      </c>
      <c r="P20" s="3" t="s">
        <v>44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150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151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152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153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154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155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156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157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158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159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160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161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162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163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164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165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166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167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168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169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170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171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172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173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174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175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176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177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178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179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180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101</v>
      </c>
      <c r="AE46" t="s">
        <v>39</v>
      </c>
      <c r="AF46" t="s">
        <v>119</v>
      </c>
      <c r="AG46" t="s">
        <v>109</v>
      </c>
      <c r="AH46" t="s">
        <v>110</v>
      </c>
      <c r="AI46" t="s">
        <v>111</v>
      </c>
      <c r="AJ46" t="s">
        <v>112</v>
      </c>
      <c r="AK46" t="s">
        <v>113</v>
      </c>
      <c r="AL46" t="s">
        <v>114</v>
      </c>
      <c r="AM46" t="s">
        <v>115</v>
      </c>
    </row>
    <row r="47" spans="1:39" x14ac:dyDescent="0.45">
      <c r="A47" t="s">
        <v>181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103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182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103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183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103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184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104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185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104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186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104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187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105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188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105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189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105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190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106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191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106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192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106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193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107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194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107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195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107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196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197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198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27" x14ac:dyDescent="0.45">
      <c r="A65" t="s">
        <v>199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</row>
    <row r="66" spans="1:27" x14ac:dyDescent="0.45">
      <c r="A66" t="s">
        <v>200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</row>
    <row r="67" spans="1:27" x14ac:dyDescent="0.45">
      <c r="A67" t="s">
        <v>201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</row>
    <row r="68" spans="1:27" x14ac:dyDescent="0.45">
      <c r="A68" t="s">
        <v>202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</row>
    <row r="69" spans="1:27" x14ac:dyDescent="0.45">
      <c r="A69" t="s">
        <v>203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</row>
    <row r="70" spans="1:27" x14ac:dyDescent="0.45">
      <c r="A70" t="s">
        <v>204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</row>
    <row r="71" spans="1:27" x14ac:dyDescent="0.45">
      <c r="A71" t="s">
        <v>205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</row>
    <row r="72" spans="1:27" x14ac:dyDescent="0.45">
      <c r="A72" t="s">
        <v>206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</row>
    <row r="73" spans="1:27" x14ac:dyDescent="0.45">
      <c r="A73" t="s">
        <v>207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27" x14ac:dyDescent="0.45">
      <c r="A74" t="s">
        <v>208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</row>
    <row r="75" spans="1:27" x14ac:dyDescent="0.45">
      <c r="A75" t="s">
        <v>209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</row>
    <row r="76" spans="1:27" x14ac:dyDescent="0.45">
      <c r="A76" t="s">
        <v>210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</row>
    <row r="77" spans="1:27" x14ac:dyDescent="0.45">
      <c r="A77" t="s">
        <v>211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</row>
    <row r="78" spans="1:27" x14ac:dyDescent="0.45">
      <c r="A78" t="s">
        <v>212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</row>
    <row r="79" spans="1:27" x14ac:dyDescent="0.45">
      <c r="A79" t="s">
        <v>213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</row>
    <row r="80" spans="1:27" x14ac:dyDescent="0.45">
      <c r="A80" t="s">
        <v>214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</row>
    <row r="81" spans="1:27" x14ac:dyDescent="0.45">
      <c r="A81" t="s">
        <v>215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</row>
    <row r="82" spans="1:27" x14ac:dyDescent="0.45">
      <c r="A82" t="s">
        <v>216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</row>
    <row r="83" spans="1:27" x14ac:dyDescent="0.45">
      <c r="A83" t="s">
        <v>217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</row>
    <row r="84" spans="1:27" x14ac:dyDescent="0.45">
      <c r="A84" t="s">
        <v>218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</row>
    <row r="85" spans="1:27" x14ac:dyDescent="0.45">
      <c r="A85" t="s">
        <v>219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</row>
    <row r="86" spans="1:27" x14ac:dyDescent="0.45">
      <c r="A86" t="s">
        <v>220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</row>
    <row r="87" spans="1:27" x14ac:dyDescent="0.45">
      <c r="A87" t="s">
        <v>221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</row>
    <row r="88" spans="1:27" x14ac:dyDescent="0.45">
      <c r="A88" t="s">
        <v>222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27" x14ac:dyDescent="0.45">
      <c r="A89" t="s">
        <v>223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27" x14ac:dyDescent="0.45">
      <c r="A90" t="s">
        <v>224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27" x14ac:dyDescent="0.45">
      <c r="A91" t="s">
        <v>225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27" x14ac:dyDescent="0.45">
      <c r="A92" t="s">
        <v>226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27" x14ac:dyDescent="0.45">
      <c r="A93" t="s">
        <v>227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27" x14ac:dyDescent="0.45">
      <c r="A94" t="s">
        <v>228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27" x14ac:dyDescent="0.45">
      <c r="A95" t="s">
        <v>229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27" x14ac:dyDescent="0.45">
      <c r="A96" t="s">
        <v>230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45">
      <c r="A97" t="s">
        <v>231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45">
      <c r="A98" t="s">
        <v>232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45">
      <c r="A99" t="s">
        <v>233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45">
      <c r="A100" t="s">
        <v>234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45">
      <c r="A101" t="s">
        <v>235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45">
      <c r="A102" t="s">
        <v>236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45">
      <c r="A103" t="s">
        <v>237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45">
      <c r="A104" t="s">
        <v>238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45">
      <c r="A105" t="s">
        <v>239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45">
      <c r="A106" t="s">
        <v>240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45">
      <c r="A107" t="s">
        <v>241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45">
      <c r="A108" t="s">
        <v>242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45">
      <c r="A109" t="s">
        <v>243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45">
      <c r="A110" t="s">
        <v>244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45">
      <c r="A111" t="s">
        <v>245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45">
      <c r="A112" t="s">
        <v>246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45">
      <c r="A113" t="s">
        <v>247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45">
      <c r="A114" t="s">
        <v>248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45">
      <c r="A115" t="s">
        <v>249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45">
      <c r="A116" t="s">
        <v>250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45">
      <c r="A117" t="s">
        <v>251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45">
      <c r="A118" t="s">
        <v>252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45">
      <c r="A119" t="s">
        <v>253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45">
      <c r="A120" t="s">
        <v>254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45">
      <c r="A121" t="s">
        <v>255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45">
      <c r="A122" t="s">
        <v>256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45">
      <c r="A123" t="s">
        <v>257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45">
      <c r="A124" t="s">
        <v>258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45">
      <c r="A125" t="s">
        <v>259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45">
      <c r="A126" t="s">
        <v>260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45">
      <c r="A127" t="s">
        <v>261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45">
      <c r="A128" t="s">
        <v>262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45">
      <c r="A129" t="s">
        <v>263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45">
      <c r="A130" t="s">
        <v>264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45">
      <c r="A131" t="s">
        <v>265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45">
      <c r="A132" t="s">
        <v>266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45">
      <c r="A133" t="s">
        <v>267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45">
      <c r="A134" t="s">
        <v>268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45">
      <c r="A135" t="s">
        <v>269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45">
      <c r="A136" t="s">
        <v>270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45">
      <c r="A137" t="s">
        <v>271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45">
      <c r="A138" t="s">
        <v>272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45">
      <c r="A139" t="s">
        <v>273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45">
      <c r="A140" t="s">
        <v>274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45">
      <c r="A141" t="s">
        <v>275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45">
      <c r="A142" t="s">
        <v>276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45">
      <c r="A143" t="s">
        <v>277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45">
      <c r="A144" t="s">
        <v>278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279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280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281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282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283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284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285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286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287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288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289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290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291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292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293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294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295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296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297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298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299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300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301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302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303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304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305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306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307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308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309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310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311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312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313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314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315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316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317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318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319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320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321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322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323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324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325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326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327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328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329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330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331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332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333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334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335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336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337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338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339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340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341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342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343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344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345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346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2025-11-06T18:50:56Z</dcterms:modified>
</cp:coreProperties>
</file>