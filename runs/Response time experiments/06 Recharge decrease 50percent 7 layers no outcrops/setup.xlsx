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marinriver\Projects\ConfinedLab\runs\Response time simulations\06 Recharge decrease 50percent 7 layers no outcrops\"/>
    </mc:Choice>
  </mc:AlternateContent>
  <xr:revisionPtr revIDLastSave="0" documentId="13_ncr:1_{22722F0B-D55C-4060-9358-B511DDF6E744}" xr6:coauthVersionLast="47" xr6:coauthVersionMax="47" xr10:uidLastSave="{00000000-0000-0000-0000-000000000000}"/>
  <bookViews>
    <workbookView xWindow="1747" yWindow="1747" windowWidth="21600" windowHeight="11445" firstSheet="5" activeTab="11" xr2:uid="{00000000-000D-0000-FFFF-FFFF00000000}"/>
  </bookViews>
  <sheets>
    <sheet name="grid" sheetId="1" r:id="rId1"/>
    <sheet name="geometry" sheetId="2" r:id="rId2"/>
    <sheet name="tdis" sheetId="3" r:id="rId3"/>
    <sheet name="parameters" sheetId="4" r:id="rId4"/>
    <sheet name="transient_recharge" sheetId="5" r:id="rId5"/>
    <sheet name="observations" sheetId="6" r:id="rId6"/>
    <sheet name="wells_st" sheetId="7" r:id="rId7"/>
    <sheet name="wells" sheetId="8" r:id="rId8"/>
    <sheet name="response_times" sheetId="9" r:id="rId9"/>
    <sheet name="q_values_st" sheetId="10" r:id="rId10"/>
    <sheet name="q_values_tr" sheetId="11" r:id="rId11"/>
    <sheet name="parameter_analysis" sheetId="12" r:id="rId12"/>
    <sheet name="workplace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154" i="13" l="1"/>
  <c r="Y154" i="13"/>
  <c r="Z154" i="13" s="1"/>
  <c r="X154" i="13"/>
  <c r="AA153" i="13"/>
  <c r="Y153" i="13"/>
  <c r="Z153" i="13" s="1"/>
  <c r="X153" i="13"/>
  <c r="AA152" i="13"/>
  <c r="Y152" i="13"/>
  <c r="Z152" i="13" s="1"/>
  <c r="X152" i="13"/>
  <c r="AA151" i="13"/>
  <c r="Y151" i="13"/>
  <c r="Z151" i="13" s="1"/>
  <c r="X151" i="13"/>
  <c r="AA150" i="13"/>
  <c r="Y150" i="13"/>
  <c r="Z150" i="13" s="1"/>
  <c r="X150" i="13"/>
  <c r="AA149" i="13"/>
  <c r="Z149" i="13"/>
  <c r="Y149" i="13"/>
  <c r="X149" i="13"/>
  <c r="AA148" i="13"/>
  <c r="Y148" i="13"/>
  <c r="Z148" i="13" s="1"/>
  <c r="X148" i="13"/>
  <c r="AA147" i="13"/>
  <c r="Y147" i="13"/>
  <c r="Z147" i="13" s="1"/>
  <c r="X147" i="13"/>
  <c r="AA146" i="13"/>
  <c r="Y146" i="13"/>
  <c r="Z146" i="13" s="1"/>
  <c r="X146" i="13"/>
  <c r="AA145" i="13"/>
  <c r="Y145" i="13"/>
  <c r="Z145" i="13" s="1"/>
  <c r="X145" i="13"/>
  <c r="AA144" i="13"/>
  <c r="Y144" i="13"/>
  <c r="Z144" i="13" s="1"/>
  <c r="X144" i="13"/>
  <c r="AA143" i="13"/>
  <c r="Y143" i="13"/>
  <c r="Z143" i="13" s="1"/>
  <c r="X143" i="13"/>
  <c r="AA142" i="13"/>
  <c r="Z142" i="13"/>
  <c r="Y142" i="13"/>
  <c r="X142" i="13"/>
  <c r="AA141" i="13"/>
  <c r="Y141" i="13"/>
  <c r="Z141" i="13" s="1"/>
  <c r="X141" i="13"/>
  <c r="AA140" i="13"/>
  <c r="Y140" i="13"/>
  <c r="Z140" i="13" s="1"/>
  <c r="X140" i="13"/>
  <c r="AA139" i="13"/>
  <c r="Y139" i="13"/>
  <c r="Z139" i="13" s="1"/>
  <c r="X139" i="13"/>
  <c r="AA138" i="13"/>
  <c r="Z138" i="13"/>
  <c r="Y138" i="13"/>
  <c r="X138" i="13"/>
  <c r="AA137" i="13"/>
  <c r="Y137" i="13"/>
  <c r="Z137" i="13" s="1"/>
  <c r="X137" i="13"/>
  <c r="AA136" i="13"/>
  <c r="Y136" i="13"/>
  <c r="Z136" i="13" s="1"/>
  <c r="X136" i="13"/>
  <c r="AA135" i="13"/>
  <c r="Y135" i="13"/>
  <c r="Z135" i="13" s="1"/>
  <c r="X135" i="13"/>
  <c r="AA134" i="13"/>
  <c r="Y134" i="13"/>
  <c r="Z134" i="13" s="1"/>
  <c r="X134" i="13"/>
  <c r="AA133" i="13"/>
  <c r="Y133" i="13"/>
  <c r="Z133" i="13" s="1"/>
  <c r="X133" i="13"/>
  <c r="AA132" i="13"/>
  <c r="Y132" i="13"/>
  <c r="Z132" i="13" s="1"/>
  <c r="X132" i="13"/>
  <c r="AA131" i="13"/>
  <c r="Z131" i="13"/>
  <c r="Y131" i="13"/>
  <c r="X131" i="13"/>
  <c r="AA130" i="13"/>
  <c r="Y130" i="13"/>
  <c r="Z130" i="13" s="1"/>
  <c r="X130" i="13"/>
  <c r="AA129" i="13"/>
  <c r="Y129" i="13"/>
  <c r="Z129" i="13" s="1"/>
  <c r="X129" i="13"/>
  <c r="AA128" i="13"/>
  <c r="Y128" i="13"/>
  <c r="Z128" i="13" s="1"/>
  <c r="X128" i="13"/>
  <c r="AA127" i="13"/>
  <c r="Z127" i="13"/>
  <c r="Y127" i="13"/>
  <c r="X127" i="13"/>
  <c r="AA126" i="13"/>
  <c r="Y126" i="13"/>
  <c r="Z126" i="13" s="1"/>
  <c r="X126" i="13"/>
  <c r="AA125" i="13"/>
  <c r="Y125" i="13"/>
  <c r="Z125" i="13" s="1"/>
  <c r="X125" i="13"/>
  <c r="AA124" i="13"/>
  <c r="Y124" i="13"/>
  <c r="Z124" i="13" s="1"/>
  <c r="X124" i="13"/>
  <c r="AA123" i="13"/>
  <c r="Y123" i="13"/>
  <c r="Z123" i="13" s="1"/>
  <c r="X123" i="13"/>
  <c r="AA122" i="13"/>
  <c r="Y122" i="13"/>
  <c r="Z122" i="13" s="1"/>
  <c r="X122" i="13"/>
  <c r="AA121" i="13"/>
  <c r="Y121" i="13"/>
  <c r="Z121" i="13" s="1"/>
  <c r="X121" i="13"/>
  <c r="AA120" i="13"/>
  <c r="Z120" i="13"/>
  <c r="Y120" i="13"/>
  <c r="X120" i="13"/>
  <c r="AA119" i="13"/>
  <c r="Y119" i="13"/>
  <c r="Z119" i="13" s="1"/>
  <c r="X119" i="13"/>
  <c r="AA118" i="13"/>
  <c r="Y118" i="13"/>
  <c r="Z118" i="13" s="1"/>
  <c r="X118" i="13"/>
  <c r="AA117" i="13"/>
  <c r="Y117" i="13"/>
  <c r="Z117" i="13" s="1"/>
  <c r="X117" i="13"/>
  <c r="AA116" i="13"/>
  <c r="Z116" i="13"/>
  <c r="Y116" i="13"/>
  <c r="X116" i="13"/>
  <c r="AA115" i="13"/>
  <c r="Y115" i="13"/>
  <c r="Z115" i="13" s="1"/>
  <c r="X115" i="13"/>
  <c r="AA114" i="13"/>
  <c r="Y114" i="13"/>
  <c r="Z114" i="13" s="1"/>
  <c r="X114" i="13"/>
  <c r="AA113" i="13"/>
  <c r="Y113" i="13"/>
  <c r="Z113" i="13" s="1"/>
  <c r="X113" i="13"/>
  <c r="AA112" i="13"/>
  <c r="Y112" i="13"/>
  <c r="Z112" i="13" s="1"/>
  <c r="X112" i="13"/>
  <c r="AA111" i="13"/>
  <c r="Y111" i="13"/>
  <c r="Z111" i="13" s="1"/>
  <c r="X111" i="13"/>
  <c r="AA110" i="13"/>
  <c r="Y110" i="13"/>
  <c r="Z110" i="13" s="1"/>
  <c r="X110" i="13"/>
  <c r="AA109" i="13"/>
  <c r="Z109" i="13"/>
  <c r="Y109" i="13"/>
  <c r="X109" i="13"/>
  <c r="AA108" i="13"/>
  <c r="Y108" i="13"/>
  <c r="Z108" i="13" s="1"/>
  <c r="X108" i="13"/>
  <c r="AA107" i="13"/>
  <c r="Y107" i="13"/>
  <c r="Z107" i="13" s="1"/>
  <c r="X107" i="13"/>
  <c r="AA106" i="13"/>
  <c r="Y106" i="13"/>
  <c r="Z106" i="13" s="1"/>
  <c r="X106" i="13"/>
  <c r="AA105" i="13"/>
  <c r="Z105" i="13"/>
  <c r="Y105" i="13"/>
  <c r="X105" i="13"/>
  <c r="AA104" i="13"/>
  <c r="Y104" i="13"/>
  <c r="Z104" i="13" s="1"/>
  <c r="X104" i="13"/>
  <c r="AA103" i="13"/>
  <c r="Y103" i="13"/>
  <c r="Z103" i="13" s="1"/>
  <c r="X103" i="13"/>
  <c r="AA102" i="13"/>
  <c r="Y102" i="13"/>
  <c r="Z102" i="13" s="1"/>
  <c r="X102" i="13"/>
  <c r="AA101" i="13"/>
  <c r="Y101" i="13"/>
  <c r="Z101" i="13" s="1"/>
  <c r="X101" i="13"/>
  <c r="AA100" i="13"/>
  <c r="Y100" i="13"/>
  <c r="Z100" i="13" s="1"/>
  <c r="X100" i="13"/>
  <c r="AA99" i="13"/>
  <c r="Y99" i="13"/>
  <c r="Z99" i="13" s="1"/>
  <c r="X99" i="13"/>
  <c r="AA98" i="13"/>
  <c r="Z98" i="13"/>
  <c r="Y98" i="13"/>
  <c r="X98" i="13"/>
  <c r="AA97" i="13"/>
  <c r="Y97" i="13"/>
  <c r="Z97" i="13" s="1"/>
  <c r="X97" i="13"/>
  <c r="AA96" i="13"/>
  <c r="Y96" i="13"/>
  <c r="Z96" i="13" s="1"/>
  <c r="X96" i="13"/>
  <c r="AA95" i="13"/>
  <c r="Y95" i="13"/>
  <c r="Z95" i="13" s="1"/>
  <c r="X95" i="13"/>
  <c r="AA94" i="13"/>
  <c r="Z94" i="13"/>
  <c r="Y94" i="13"/>
  <c r="X94" i="13"/>
  <c r="AA93" i="13"/>
  <c r="Y93" i="13"/>
  <c r="Z93" i="13" s="1"/>
  <c r="X93" i="13"/>
  <c r="AA92" i="13"/>
  <c r="Y92" i="13"/>
  <c r="Z92" i="13" s="1"/>
  <c r="X92" i="13"/>
  <c r="AA91" i="13"/>
  <c r="Y91" i="13"/>
  <c r="Z91" i="13" s="1"/>
  <c r="X91" i="13"/>
  <c r="AA90" i="13"/>
  <c r="Y90" i="13"/>
  <c r="Z90" i="13" s="1"/>
  <c r="X90" i="13"/>
  <c r="AA89" i="13"/>
  <c r="Y89" i="13"/>
  <c r="Z89" i="13" s="1"/>
  <c r="X89" i="13"/>
  <c r="AA88" i="13"/>
  <c r="Y88" i="13"/>
  <c r="Z88" i="13" s="1"/>
  <c r="X88" i="13"/>
  <c r="AI87" i="13"/>
  <c r="AA87" i="13"/>
  <c r="Z87" i="13"/>
  <c r="Y87" i="13"/>
  <c r="X87" i="13"/>
  <c r="AI86" i="13"/>
  <c r="AA86" i="13"/>
  <c r="Y86" i="13"/>
  <c r="Z86" i="13" s="1"/>
  <c r="X86" i="13"/>
  <c r="AI85" i="13"/>
  <c r="AA85" i="13"/>
  <c r="Y85" i="13"/>
  <c r="Z85" i="13" s="1"/>
  <c r="X85" i="13"/>
  <c r="AI84" i="13"/>
  <c r="AA84" i="13"/>
  <c r="Z84" i="13"/>
  <c r="Y84" i="13"/>
  <c r="X84" i="13"/>
  <c r="AI83" i="13"/>
  <c r="AA83" i="13"/>
  <c r="Y83" i="13"/>
  <c r="Z83" i="13" s="1"/>
  <c r="X83" i="13"/>
  <c r="AA82" i="13"/>
  <c r="Z82" i="13"/>
  <c r="Y82" i="13"/>
  <c r="X82" i="13"/>
  <c r="AA81" i="13"/>
  <c r="Z81" i="13"/>
  <c r="Y81" i="13"/>
  <c r="X81" i="13"/>
  <c r="AI80" i="13"/>
  <c r="AA80" i="13"/>
  <c r="Y80" i="13"/>
  <c r="Z80" i="13" s="1"/>
  <c r="X80" i="13"/>
  <c r="AI79" i="13"/>
  <c r="AA79" i="13"/>
  <c r="Z79" i="13"/>
  <c r="Y79" i="13"/>
  <c r="X79" i="13"/>
  <c r="AI78" i="13"/>
  <c r="AA78" i="13"/>
  <c r="Z78" i="13"/>
  <c r="Y78" i="13"/>
  <c r="X78" i="13"/>
  <c r="AI77" i="13"/>
  <c r="AA77" i="13"/>
  <c r="Z77" i="13"/>
  <c r="Y77" i="13"/>
  <c r="X77" i="13"/>
  <c r="AI76" i="13"/>
  <c r="AA76" i="13"/>
  <c r="Y76" i="13"/>
  <c r="Z76" i="13" s="1"/>
  <c r="X76" i="13"/>
  <c r="AA75" i="13"/>
  <c r="Y75" i="13"/>
  <c r="Z75" i="13" s="1"/>
  <c r="X75" i="13"/>
  <c r="AA74" i="13"/>
  <c r="Y74" i="13"/>
  <c r="Z74" i="13" s="1"/>
  <c r="X74" i="13"/>
  <c r="AA73" i="13"/>
  <c r="Z73" i="13"/>
  <c r="Y73" i="13"/>
  <c r="X73" i="13"/>
  <c r="AA72" i="13"/>
  <c r="Y72" i="13"/>
  <c r="Z72" i="13" s="1"/>
  <c r="X72" i="13"/>
  <c r="AA71" i="13"/>
  <c r="Y71" i="13"/>
  <c r="Z71" i="13" s="1"/>
  <c r="X71" i="13"/>
  <c r="AA70" i="13"/>
  <c r="Y70" i="13"/>
  <c r="Z70" i="13" s="1"/>
  <c r="X70" i="13"/>
  <c r="AA69" i="13"/>
  <c r="Z69" i="13"/>
  <c r="Y69" i="13"/>
  <c r="X69" i="13"/>
  <c r="AA68" i="13"/>
  <c r="Y68" i="13"/>
  <c r="Z68" i="13" s="1"/>
  <c r="X68" i="13"/>
  <c r="AA67" i="13"/>
  <c r="Y67" i="13"/>
  <c r="Z67" i="13" s="1"/>
  <c r="X67" i="13"/>
  <c r="AA66" i="13"/>
  <c r="Y66" i="13"/>
  <c r="Z66" i="13" s="1"/>
  <c r="X66" i="13"/>
  <c r="AA65" i="13"/>
  <c r="Y65" i="13"/>
  <c r="Z65" i="13" s="1"/>
  <c r="X65" i="13"/>
  <c r="AA64" i="13"/>
  <c r="Y64" i="13"/>
  <c r="Z64" i="13" s="1"/>
  <c r="X64" i="13"/>
  <c r="AA63" i="13"/>
  <c r="Y63" i="13"/>
  <c r="Z63" i="13" s="1"/>
  <c r="X63" i="13"/>
  <c r="AA62" i="13"/>
  <c r="Z62" i="13"/>
  <c r="Y62" i="13"/>
  <c r="X62" i="13"/>
  <c r="AA61" i="13"/>
  <c r="Y61" i="13"/>
  <c r="Z61" i="13" s="1"/>
  <c r="X61" i="13"/>
  <c r="AA60" i="13"/>
  <c r="Y60" i="13"/>
  <c r="Z60" i="13" s="1"/>
  <c r="X60" i="13"/>
  <c r="AA59" i="13"/>
  <c r="Y59" i="13"/>
  <c r="Z59" i="13" s="1"/>
  <c r="X59" i="13"/>
  <c r="AA58" i="13"/>
  <c r="Z58" i="13"/>
  <c r="Y58" i="13"/>
  <c r="X58" i="13"/>
  <c r="AA57" i="13"/>
  <c r="Y57" i="13"/>
  <c r="Z57" i="13" s="1"/>
  <c r="X57" i="13"/>
  <c r="AA56" i="13"/>
  <c r="Y56" i="13"/>
  <c r="Z56" i="13" s="1"/>
  <c r="X56" i="13"/>
  <c r="AA55" i="13"/>
  <c r="Y55" i="13"/>
  <c r="Z55" i="13" s="1"/>
  <c r="X55" i="13"/>
  <c r="AA54" i="13"/>
  <c r="Y54" i="13"/>
  <c r="Z54" i="13" s="1"/>
  <c r="X54" i="13"/>
  <c r="AA53" i="13"/>
  <c r="Y53" i="13"/>
  <c r="Z53" i="13" s="1"/>
  <c r="X53" i="13"/>
  <c r="AA52" i="13"/>
  <c r="Y52" i="13"/>
  <c r="Z52" i="13" s="1"/>
  <c r="X52" i="13"/>
  <c r="AA51" i="13"/>
  <c r="Z51" i="13"/>
  <c r="Y51" i="13"/>
  <c r="X51" i="13"/>
  <c r="AA50" i="13"/>
  <c r="Y50" i="13"/>
  <c r="Z50" i="13" s="1"/>
  <c r="X50" i="13"/>
  <c r="AA49" i="13"/>
  <c r="Y49" i="13"/>
  <c r="Z49" i="13" s="1"/>
  <c r="X49" i="13"/>
  <c r="AA48" i="13"/>
  <c r="Y48" i="13"/>
  <c r="Z48" i="13" s="1"/>
  <c r="X48" i="13"/>
  <c r="AA47" i="13"/>
  <c r="Z47" i="13"/>
  <c r="Y47" i="13"/>
  <c r="X47" i="13"/>
  <c r="AA46" i="13"/>
  <c r="Y46" i="13"/>
  <c r="Z46" i="13" s="1"/>
  <c r="X46" i="13"/>
  <c r="AA45" i="13"/>
  <c r="Y45" i="13"/>
  <c r="Z45" i="13" s="1"/>
  <c r="X45" i="13"/>
  <c r="AA44" i="13"/>
  <c r="Y44" i="13"/>
  <c r="Z44" i="13" s="1"/>
  <c r="X44" i="13"/>
  <c r="AA43" i="13"/>
  <c r="Y43" i="13"/>
  <c r="Z43" i="13" s="1"/>
  <c r="X43" i="13"/>
  <c r="AA42" i="13"/>
  <c r="Y42" i="13"/>
  <c r="Z42" i="13" s="1"/>
  <c r="X42" i="13"/>
  <c r="AA41" i="13"/>
  <c r="Y41" i="13"/>
  <c r="Z41" i="13" s="1"/>
  <c r="X41" i="13"/>
  <c r="AA40" i="13"/>
  <c r="Z40" i="13"/>
  <c r="Y40" i="13"/>
  <c r="X40" i="13"/>
  <c r="AA39" i="13"/>
  <c r="Y39" i="13"/>
  <c r="Z39" i="13" s="1"/>
  <c r="X39" i="13"/>
  <c r="AA38" i="13"/>
  <c r="Y38" i="13"/>
  <c r="Z38" i="13" s="1"/>
  <c r="X38" i="13"/>
  <c r="AA37" i="13"/>
  <c r="Y37" i="13"/>
  <c r="Z37" i="13" s="1"/>
  <c r="X37" i="13"/>
  <c r="AA36" i="13"/>
  <c r="Z36" i="13"/>
  <c r="Y36" i="13"/>
  <c r="X36" i="13"/>
  <c r="AA35" i="13"/>
  <c r="Y35" i="13"/>
  <c r="Z35" i="13" s="1"/>
  <c r="X35" i="13"/>
  <c r="AH34" i="13"/>
  <c r="AG34" i="13"/>
  <c r="AF34" i="13"/>
  <c r="AA34" i="13"/>
  <c r="Y34" i="13"/>
  <c r="Z34" i="13" s="1"/>
  <c r="X34" i="13"/>
  <c r="AA33" i="13"/>
  <c r="Y33" i="13"/>
  <c r="Z33" i="13" s="1"/>
  <c r="X33" i="13"/>
  <c r="AJ32" i="13"/>
  <c r="AJ34" i="13" s="1"/>
  <c r="AI32" i="13"/>
  <c r="AI34" i="13" s="1"/>
  <c r="AH32" i="13"/>
  <c r="AG32" i="13"/>
  <c r="AF32" i="13"/>
  <c r="AE32" i="13"/>
  <c r="AE34" i="13" s="1"/>
  <c r="AA32" i="13"/>
  <c r="Y32" i="13"/>
  <c r="Z32" i="13" s="1"/>
  <c r="X32" i="13"/>
  <c r="AA31" i="13"/>
  <c r="Y31" i="13"/>
  <c r="Z31" i="13" s="1"/>
  <c r="X31" i="13"/>
  <c r="AA30" i="13"/>
  <c r="Y30" i="13"/>
  <c r="Z30" i="13" s="1"/>
  <c r="X30" i="13"/>
  <c r="AA29" i="13"/>
  <c r="Y29" i="13"/>
  <c r="Z29" i="13" s="1"/>
  <c r="X29" i="13"/>
  <c r="AA28" i="13"/>
  <c r="Z28" i="13"/>
  <c r="Y28" i="13"/>
  <c r="X28" i="13"/>
  <c r="AA27" i="13"/>
  <c r="Y27" i="13"/>
  <c r="Z27" i="13" s="1"/>
  <c r="X27" i="13"/>
  <c r="AA26" i="13"/>
  <c r="Y26" i="13"/>
  <c r="Z26" i="13" s="1"/>
  <c r="X26" i="13"/>
  <c r="AA25" i="13"/>
  <c r="Y25" i="13"/>
  <c r="Z25" i="13" s="1"/>
  <c r="X25" i="13"/>
  <c r="AA24" i="13"/>
  <c r="Y24" i="13"/>
  <c r="Z24" i="13" s="1"/>
  <c r="X24" i="13"/>
  <c r="AA23" i="13"/>
  <c r="Y23" i="13"/>
  <c r="Z23" i="13" s="1"/>
  <c r="X23" i="13"/>
  <c r="AA22" i="13"/>
  <c r="Y22" i="13"/>
  <c r="Z22" i="13" s="1"/>
  <c r="X22" i="13"/>
  <c r="AA21" i="13"/>
  <c r="Y21" i="13"/>
  <c r="Z21" i="13" s="1"/>
  <c r="X21" i="13"/>
  <c r="AA20" i="13"/>
  <c r="Y20" i="13"/>
  <c r="Z20" i="13" s="1"/>
  <c r="X20" i="13"/>
  <c r="AA19" i="13"/>
  <c r="Y19" i="13"/>
  <c r="Z19" i="13" s="1"/>
  <c r="X19" i="13"/>
  <c r="AA18" i="13"/>
  <c r="Y18" i="13"/>
  <c r="Z18" i="13" s="1"/>
  <c r="X18" i="13"/>
  <c r="AA17" i="13"/>
  <c r="Z17" i="13"/>
  <c r="Y17" i="13"/>
  <c r="X17" i="13"/>
  <c r="AA16" i="13"/>
  <c r="Y16" i="13"/>
  <c r="Z16" i="13" s="1"/>
  <c r="X16" i="13"/>
  <c r="AA15" i="13"/>
  <c r="Y15" i="13"/>
  <c r="Z15" i="13" s="1"/>
  <c r="X15" i="13"/>
  <c r="AA14" i="13"/>
  <c r="Y14" i="13"/>
  <c r="Z14" i="13" s="1"/>
  <c r="X14" i="13"/>
  <c r="AA13" i="13"/>
  <c r="Y13" i="13"/>
  <c r="Z13" i="13" s="1"/>
  <c r="X13" i="13"/>
  <c r="AA12" i="13"/>
  <c r="Y12" i="13"/>
  <c r="Z12" i="13" s="1"/>
  <c r="X12" i="13"/>
  <c r="AA11" i="13"/>
  <c r="Y11" i="13"/>
  <c r="Z11" i="13" s="1"/>
  <c r="X11" i="13"/>
  <c r="AA10" i="13"/>
  <c r="Y10" i="13"/>
  <c r="Z10" i="13" s="1"/>
  <c r="X10" i="13"/>
  <c r="AA9" i="13"/>
  <c r="Y9" i="13"/>
  <c r="Z9" i="13" s="1"/>
  <c r="X9" i="13"/>
  <c r="AA8" i="13"/>
  <c r="Y8" i="13"/>
  <c r="Z8" i="13" s="1"/>
  <c r="X8" i="13"/>
  <c r="AA7" i="13"/>
  <c r="Y7" i="13"/>
  <c r="Z7" i="13" s="1"/>
  <c r="X7" i="13"/>
  <c r="AA6" i="13"/>
  <c r="Z6" i="13"/>
  <c r="Y6" i="13"/>
  <c r="X6" i="13"/>
  <c r="AA5" i="13"/>
  <c r="Y5" i="13"/>
  <c r="Z5" i="13" s="1"/>
  <c r="X5" i="13"/>
  <c r="AA4" i="13"/>
  <c r="Y4" i="13"/>
  <c r="Z4" i="13" s="1"/>
  <c r="X4" i="13"/>
  <c r="AA3" i="13"/>
  <c r="Y3" i="13"/>
  <c r="Z3" i="13" s="1"/>
  <c r="X3" i="13"/>
  <c r="AA2" i="13"/>
  <c r="Y2" i="13"/>
  <c r="Z2" i="13" s="1"/>
  <c r="X2" i="13"/>
</calcChain>
</file>

<file path=xl/sharedStrings.xml><?xml version="1.0" encoding="utf-8"?>
<sst xmlns="http://schemas.openxmlformats.org/spreadsheetml/2006/main" count="1926" uniqueCount="805">
  <si>
    <t>nlay</t>
  </si>
  <si>
    <t>nrow</t>
  </si>
  <si>
    <t>ncol</t>
  </si>
  <si>
    <t>lrow</t>
  </si>
  <si>
    <t>lcol</t>
  </si>
  <si>
    <t>drow</t>
  </si>
  <si>
    <t>dcol</t>
  </si>
  <si>
    <t>layer</t>
  </si>
  <si>
    <t>name</t>
  </si>
  <si>
    <t>outcrop_z</t>
  </si>
  <si>
    <t>outcrop_zmin</t>
  </si>
  <si>
    <t>outcrop_zmax</t>
  </si>
  <si>
    <t>base_thicknesses</t>
  </si>
  <si>
    <t>outcrop_cells</t>
  </si>
  <si>
    <t>nsub</t>
  </si>
  <si>
    <t>transition_cells</t>
  </si>
  <si>
    <t>epsilon</t>
  </si>
  <si>
    <t>zone</t>
  </si>
  <si>
    <t>L01</t>
  </si>
  <si>
    <t>UnCaq</t>
  </si>
  <si>
    <t>L02</t>
  </si>
  <si>
    <t>Aqt1</t>
  </si>
  <si>
    <t>L03</t>
  </si>
  <si>
    <t>CAq1</t>
  </si>
  <si>
    <t>L04</t>
  </si>
  <si>
    <t>Aqt2</t>
  </si>
  <si>
    <t>L05</t>
  </si>
  <si>
    <t>CAq2</t>
  </si>
  <si>
    <t>L06</t>
  </si>
  <si>
    <t>Aqt3</t>
  </si>
  <si>
    <t>L07</t>
  </si>
  <si>
    <t>CAq3</t>
  </si>
  <si>
    <t>nper</t>
  </si>
  <si>
    <t>perlen</t>
  </si>
  <si>
    <t>nstp</t>
  </si>
  <si>
    <t>tsmult</t>
  </si>
  <si>
    <t>comment</t>
  </si>
  <si>
    <t>steady state</t>
  </si>
  <si>
    <t>Initial condition and step change occurs here</t>
  </si>
  <si>
    <t>par_name</t>
  </si>
  <si>
    <t>value</t>
  </si>
  <si>
    <t>lb</t>
  </si>
  <si>
    <t>ub</t>
  </si>
  <si>
    <t>trans</t>
  </si>
  <si>
    <t>type</t>
  </si>
  <si>
    <t>ncell</t>
  </si>
  <si>
    <t>kh_01</t>
  </si>
  <si>
    <t>log</t>
  </si>
  <si>
    <t>pp</t>
  </si>
  <si>
    <t>Unc</t>
  </si>
  <si>
    <t>kh_02</t>
  </si>
  <si>
    <t>Aqt_01</t>
  </si>
  <si>
    <t>kh_03</t>
  </si>
  <si>
    <t>Caq_01</t>
  </si>
  <si>
    <t>kh_04</t>
  </si>
  <si>
    <t>Aqt_02</t>
  </si>
  <si>
    <t>kh_05</t>
  </si>
  <si>
    <t>Caq_02</t>
  </si>
  <si>
    <t>kh_06</t>
  </si>
  <si>
    <t>kh_07</t>
  </si>
  <si>
    <t>kv_01</t>
  </si>
  <si>
    <t>kv_02</t>
  </si>
  <si>
    <t>kv_03</t>
  </si>
  <si>
    <t>kv_04</t>
  </si>
  <si>
    <t>kv_05</t>
  </si>
  <si>
    <t>kv_06</t>
  </si>
  <si>
    <t>Caq_03</t>
  </si>
  <si>
    <t>kv_07</t>
  </si>
  <si>
    <t>Caq_04</t>
  </si>
  <si>
    <t>sy_01</t>
  </si>
  <si>
    <t>single</t>
  </si>
  <si>
    <t>sy_02</t>
  </si>
  <si>
    <t>sy_03</t>
  </si>
  <si>
    <t>sy_04</t>
  </si>
  <si>
    <t>sy_05</t>
  </si>
  <si>
    <t>sy_06</t>
  </si>
  <si>
    <t>sy_07</t>
  </si>
  <si>
    <t>ss_01</t>
  </si>
  <si>
    <t>ss_02</t>
  </si>
  <si>
    <t>ss_03</t>
  </si>
  <si>
    <t>ss_04</t>
  </si>
  <si>
    <t>ss_05</t>
  </si>
  <si>
    <t>ss_06</t>
  </si>
  <si>
    <t>ss_07</t>
  </si>
  <si>
    <t>rech_01</t>
  </si>
  <si>
    <t>none</t>
  </si>
  <si>
    <t>rech_02</t>
  </si>
  <si>
    <t>rech_03</t>
  </si>
  <si>
    <t>rech_04</t>
  </si>
  <si>
    <t>rech_05</t>
  </si>
  <si>
    <t>rech_06</t>
  </si>
  <si>
    <t>rech_07</t>
  </si>
  <si>
    <t>drn_cond_01</t>
  </si>
  <si>
    <t>Hydraulic conductivity of drain bed</t>
  </si>
  <si>
    <t>drn_cond_02</t>
  </si>
  <si>
    <t>drn_cond_03</t>
  </si>
  <si>
    <t>drn_cond_04</t>
  </si>
  <si>
    <t>drn_cond_05</t>
  </si>
  <si>
    <t>drn_cond_06</t>
  </si>
  <si>
    <t>drn_cond_07</t>
  </si>
  <si>
    <t>time</t>
  </si>
  <si>
    <t>obs_label</t>
  </si>
  <si>
    <t>obs_type</t>
  </si>
  <si>
    <t>lay</t>
  </si>
  <si>
    <t>row</t>
  </si>
  <si>
    <t>col</t>
  </si>
  <si>
    <t>Unc_0_250</t>
  </si>
  <si>
    <t>HEAD</t>
  </si>
  <si>
    <t>Unc_0_300</t>
  </si>
  <si>
    <t>Unc_0_350</t>
  </si>
  <si>
    <t>Unc_0_400</t>
  </si>
  <si>
    <t>Unc_0_450</t>
  </si>
  <si>
    <t>Unc_0_500</t>
  </si>
  <si>
    <t>Unc_0_550</t>
  </si>
  <si>
    <t>Unc_0_600</t>
  </si>
  <si>
    <t>Unc_1_250</t>
  </si>
  <si>
    <t>Unc_1_300</t>
  </si>
  <si>
    <t>Unc_1_350</t>
  </si>
  <si>
    <t>Unc_1_400</t>
  </si>
  <si>
    <t>Unc_1_450</t>
  </si>
  <si>
    <t>Unc_1_500</t>
  </si>
  <si>
    <t>Unc_1_550</t>
  </si>
  <si>
    <t>Unc_1_600</t>
  </si>
  <si>
    <t>Unc_2_250</t>
  </si>
  <si>
    <t>Unc_2_300</t>
  </si>
  <si>
    <t>Unc_2_350</t>
  </si>
  <si>
    <t>Unc_2_400</t>
  </si>
  <si>
    <t>Unc_2_450</t>
  </si>
  <si>
    <t>Unc_2_500</t>
  </si>
  <si>
    <t>Unc_2_550</t>
  </si>
  <si>
    <t>Unc_2_600</t>
  </si>
  <si>
    <t>Unc_3_250</t>
  </si>
  <si>
    <t>Unc_3_300</t>
  </si>
  <si>
    <t>Unc_3_350</t>
  </si>
  <si>
    <t>Unc_3_400</t>
  </si>
  <si>
    <t>Unc_3_450</t>
  </si>
  <si>
    <t>Unc_3_500</t>
  </si>
  <si>
    <t>Unc_3_550</t>
  </si>
  <si>
    <t>Unc_3_600</t>
  </si>
  <si>
    <t>Unc_4_250</t>
  </si>
  <si>
    <t>Unc_4_300</t>
  </si>
  <si>
    <t>Unc_4_350</t>
  </si>
  <si>
    <t>Unc_4_400</t>
  </si>
  <si>
    <t>Unc_4_450</t>
  </si>
  <si>
    <t>Unc_4_500</t>
  </si>
  <si>
    <t>Unc_4_550</t>
  </si>
  <si>
    <t>Unc_4_600</t>
  </si>
  <si>
    <t>Aqt1_5_200</t>
  </si>
  <si>
    <t>Aqt1_5_250</t>
  </si>
  <si>
    <t>Aqt1_5_300</t>
  </si>
  <si>
    <t>Aqt1_5_350</t>
  </si>
  <si>
    <t>Aqt1_5_400</t>
  </si>
  <si>
    <t>Aqt1_5_450</t>
  </si>
  <si>
    <t>Aqt1_5_500</t>
  </si>
  <si>
    <t>Aqt1_5_550</t>
  </si>
  <si>
    <t>Aqt1_5_600</t>
  </si>
  <si>
    <t>Aqt1_6_200</t>
  </si>
  <si>
    <t>Aqt1_6_250</t>
  </si>
  <si>
    <t>Aqt1_6_300</t>
  </si>
  <si>
    <t>Aqt1_6_350</t>
  </si>
  <si>
    <t>Aqt1_6_400</t>
  </si>
  <si>
    <t>Aqt1_6_450</t>
  </si>
  <si>
    <t>Aqt1_6_500</t>
  </si>
  <si>
    <t>Aqt1_6_550</t>
  </si>
  <si>
    <t>Aqt1_6_600</t>
  </si>
  <si>
    <t>Aqt1_7_200</t>
  </si>
  <si>
    <t>Aqt1_7_250</t>
  </si>
  <si>
    <t>Aqt1_7_300</t>
  </si>
  <si>
    <t>Aqt1_7_350</t>
  </si>
  <si>
    <t>Aqt1_7_400</t>
  </si>
  <si>
    <t>Aqt1_7_450</t>
  </si>
  <si>
    <t>Aqt1_7_500</t>
  </si>
  <si>
    <t>Aqt1_7_550</t>
  </si>
  <si>
    <t>Aqt1_7_600</t>
  </si>
  <si>
    <t>Aqt1_8_200</t>
  </si>
  <si>
    <t>Aqt1_8_250</t>
  </si>
  <si>
    <t>Aqt1_8_300</t>
  </si>
  <si>
    <t>Aqt1_8_350</t>
  </si>
  <si>
    <t>Aqt1_8_400</t>
  </si>
  <si>
    <t>Aqt1_8_450</t>
  </si>
  <si>
    <t>Aqt1_8_500</t>
  </si>
  <si>
    <t>Aqt1_8_550</t>
  </si>
  <si>
    <t>Aqt1_8_600</t>
  </si>
  <si>
    <t>Aqt1_9_200</t>
  </si>
  <si>
    <t>Aqt1_9_250</t>
  </si>
  <si>
    <t>Aqt1_9_300</t>
  </si>
  <si>
    <t>Aqt1_9_350</t>
  </si>
  <si>
    <t>Aqt1_9_400</t>
  </si>
  <si>
    <t>Aqt1_9_450</t>
  </si>
  <si>
    <t>Aqt1_9_500</t>
  </si>
  <si>
    <t>Aqt1_9_550</t>
  </si>
  <si>
    <t>Aqt1_9_600</t>
  </si>
  <si>
    <t>Aqt1_10_100</t>
  </si>
  <si>
    <t>Aqt1_10_150</t>
  </si>
  <si>
    <t>Aqt1_10_200</t>
  </si>
  <si>
    <t>Caq1_10_250</t>
  </si>
  <si>
    <t>Caq1_10_300</t>
  </si>
  <si>
    <t>Caq1_10_350</t>
  </si>
  <si>
    <t>Caq1_10_400</t>
  </si>
  <si>
    <t>Caq1_10_450</t>
  </si>
  <si>
    <t>Caq1_10_500</t>
  </si>
  <si>
    <t>Caq1_10_550</t>
  </si>
  <si>
    <t>Caq1_10_600</t>
  </si>
  <si>
    <t>Caq1_11_100</t>
  </si>
  <si>
    <t>Caq1_11_150</t>
  </si>
  <si>
    <t>Caq1_11_200</t>
  </si>
  <si>
    <t>Caq1_11_250</t>
  </si>
  <si>
    <t>Caq1_11_300</t>
  </si>
  <si>
    <t>Caq1_11_350</t>
  </si>
  <si>
    <t>Caq1_11_400</t>
  </si>
  <si>
    <t>Caq1_11_450</t>
  </si>
  <si>
    <t>Caq1_11_500</t>
  </si>
  <si>
    <t>Caq1_11_550</t>
  </si>
  <si>
    <t>Caq1_11_600</t>
  </si>
  <si>
    <t>Caq1_12_100</t>
  </si>
  <si>
    <t>Caq1_12_150</t>
  </si>
  <si>
    <t>Caq1_12_200</t>
  </si>
  <si>
    <t>Caq1_12_250</t>
  </si>
  <si>
    <t>Caq1_12_300</t>
  </si>
  <si>
    <t>Caq1_12_350</t>
  </si>
  <si>
    <t>Caq1_12_400</t>
  </si>
  <si>
    <t>Caq1_12_450</t>
  </si>
  <si>
    <t>Caq1_12_500</t>
  </si>
  <si>
    <t>Caq1_12_550</t>
  </si>
  <si>
    <t>Caq1_12_600</t>
  </si>
  <si>
    <t>Caq1_13_100</t>
  </si>
  <si>
    <t>Caq1_13_150</t>
  </si>
  <si>
    <t>Caq1_13_200</t>
  </si>
  <si>
    <t>Caq1_13_250</t>
  </si>
  <si>
    <t>Caq1_13_300</t>
  </si>
  <si>
    <t>Caq1_13_350</t>
  </si>
  <si>
    <t>Caq1_13_400</t>
  </si>
  <si>
    <t>Caq1_13_450</t>
  </si>
  <si>
    <t>Caq1_13_500</t>
  </si>
  <si>
    <t>Caq1_13_550</t>
  </si>
  <si>
    <t>Caq1_13_600</t>
  </si>
  <si>
    <t>Caq1_14_100</t>
  </si>
  <si>
    <t>Caq1_14_150</t>
  </si>
  <si>
    <t>Caq1_14_200</t>
  </si>
  <si>
    <t>Caq1_14_250</t>
  </si>
  <si>
    <t>Caq1_14_300</t>
  </si>
  <si>
    <t>Caq1_14_350</t>
  </si>
  <si>
    <t>Caq1_14_400</t>
  </si>
  <si>
    <t>Caq1_14_450</t>
  </si>
  <si>
    <t>Caq1_14_500</t>
  </si>
  <si>
    <t>Caq1_14_550</t>
  </si>
  <si>
    <t>Caq1_14_600</t>
  </si>
  <si>
    <t>Aqt2_15_75</t>
  </si>
  <si>
    <t>Aqt2_15_100</t>
  </si>
  <si>
    <t>Aqt2_15_150</t>
  </si>
  <si>
    <t>Aqt2_15_200</t>
  </si>
  <si>
    <t>Aqt2_15_250</t>
  </si>
  <si>
    <t>Aqt2_15_300</t>
  </si>
  <si>
    <t>Aqt2_15_350</t>
  </si>
  <si>
    <t>Aqt2_15_400</t>
  </si>
  <si>
    <t>Aqt2_15_450</t>
  </si>
  <si>
    <t>Aqt2_15_500</t>
  </si>
  <si>
    <t>Aqt2_15_550</t>
  </si>
  <si>
    <t>Aqt2_15_600</t>
  </si>
  <si>
    <t>Aqt2_16_75</t>
  </si>
  <si>
    <t>Aqt2_16_100</t>
  </si>
  <si>
    <t>Aqt2_16_150</t>
  </si>
  <si>
    <t>Aqt2_16_200</t>
  </si>
  <si>
    <t>Aqt2_16_250</t>
  </si>
  <si>
    <t>Aqt2_16_300</t>
  </si>
  <si>
    <t>Aqt2_16_350</t>
  </si>
  <si>
    <t>Aqt2_16_400</t>
  </si>
  <si>
    <t>Aqt2_16_450</t>
  </si>
  <si>
    <t>Aqt2_16_500</t>
  </si>
  <si>
    <t>Aqt2_16_550</t>
  </si>
  <si>
    <t>Aqt2_16_600</t>
  </si>
  <si>
    <t>Aqt2_17_75</t>
  </si>
  <si>
    <t>Aqt2_17_100</t>
  </si>
  <si>
    <t>Aqt2_17_150</t>
  </si>
  <si>
    <t>Aqt2_17_200</t>
  </si>
  <si>
    <t>Aqt2_17_250</t>
  </si>
  <si>
    <t>Aqt2_17_300</t>
  </si>
  <si>
    <t>Aqt2_17_350</t>
  </si>
  <si>
    <t>Aqt2_17_400</t>
  </si>
  <si>
    <t>Aqt2_17_450</t>
  </si>
  <si>
    <t>Aqt2_17_500</t>
  </si>
  <si>
    <t>Aqt2_17_550</t>
  </si>
  <si>
    <t>Aqt2_17_600</t>
  </si>
  <si>
    <t>Aqt2_18_75</t>
  </si>
  <si>
    <t>Aqt2_18_100</t>
  </si>
  <si>
    <t>Aqt2_18_150</t>
  </si>
  <si>
    <t>Aqt2_18_200</t>
  </si>
  <si>
    <t>Aqt2_18_250</t>
  </si>
  <si>
    <t>Aqt2_18_300</t>
  </si>
  <si>
    <t>Aqt2_18_350</t>
  </si>
  <si>
    <t>Aqt2_18_400</t>
  </si>
  <si>
    <t>Aqt2_18_450</t>
  </si>
  <si>
    <t>Aqt2_18_500</t>
  </si>
  <si>
    <t>Aqt2_18_550</t>
  </si>
  <si>
    <t>Aqt2_18_600</t>
  </si>
  <si>
    <t>Aqt2_19_75</t>
  </si>
  <si>
    <t>Aqt2_19_100</t>
  </si>
  <si>
    <t>Aqt2_19_150</t>
  </si>
  <si>
    <t>Aqt2_19_200</t>
  </si>
  <si>
    <t>Aqt2_19_250</t>
  </si>
  <si>
    <t>Aqt2_19_300</t>
  </si>
  <si>
    <t>Aqt2_19_350</t>
  </si>
  <si>
    <t>Aqt2_19_400</t>
  </si>
  <si>
    <t>Aqt2_19_450</t>
  </si>
  <si>
    <t>Aqt2_19_500</t>
  </si>
  <si>
    <t>Aqt2_19_550</t>
  </si>
  <si>
    <t>Aqt2_19_600</t>
  </si>
  <si>
    <t>Caq2_20_25</t>
  </si>
  <si>
    <t>Caq2_20_75</t>
  </si>
  <si>
    <t>Caq2_20_100</t>
  </si>
  <si>
    <t>Caq2_20_150</t>
  </si>
  <si>
    <t>Caq2_20_200</t>
  </si>
  <si>
    <t>Caq2_20_250</t>
  </si>
  <si>
    <t>Caq2_20_300</t>
  </si>
  <si>
    <t>Caq2_20_350</t>
  </si>
  <si>
    <t>Caq2_20_400</t>
  </si>
  <si>
    <t>Caq2_20_450</t>
  </si>
  <si>
    <t>Caq2_20_500</t>
  </si>
  <si>
    <t>Caq2_20_550</t>
  </si>
  <si>
    <t>Caq2_20_600</t>
  </si>
  <si>
    <t>Caq2_21_25</t>
  </si>
  <si>
    <t>Caq2_21_75</t>
  </si>
  <si>
    <t>Caq2_21_100</t>
  </si>
  <si>
    <t>Caq2_21_150</t>
  </si>
  <si>
    <t>Caq2_21_200</t>
  </si>
  <si>
    <t>Caq2_21_250</t>
  </si>
  <si>
    <t>Caq2_21_300</t>
  </si>
  <si>
    <t>Caq2_21_350</t>
  </si>
  <si>
    <t>Caq2_21_400</t>
  </si>
  <si>
    <t>Caq2_21_450</t>
  </si>
  <si>
    <t>Caq2_21_500</t>
  </si>
  <si>
    <t>Caq2_21_550</t>
  </si>
  <si>
    <t>Caq2_21_600</t>
  </si>
  <si>
    <t>Caq2_22_25</t>
  </si>
  <si>
    <t>Caq2_22_75</t>
  </si>
  <si>
    <t>Caq2_22_100</t>
  </si>
  <si>
    <t>Caq2_22_150</t>
  </si>
  <si>
    <t>Caq2_22_200</t>
  </si>
  <si>
    <t>Caq2_22_250</t>
  </si>
  <si>
    <t>Caq2_22_300</t>
  </si>
  <si>
    <t>Caq2_22_350</t>
  </si>
  <si>
    <t>Caq2_22_400</t>
  </si>
  <si>
    <t>Caq2_22_450</t>
  </si>
  <si>
    <t>Caq2_22_500</t>
  </si>
  <si>
    <t>Caq2_22_550</t>
  </si>
  <si>
    <t>Caq2_22_600</t>
  </si>
  <si>
    <t>Caq2_23_25</t>
  </si>
  <si>
    <t>Caq2_23_75</t>
  </si>
  <si>
    <t>Caq2_23_100</t>
  </si>
  <si>
    <t>Caq2_23_150</t>
  </si>
  <si>
    <t>Caq2_23_200</t>
  </si>
  <si>
    <t>Caq2_23_250</t>
  </si>
  <si>
    <t>Caq2_23_300</t>
  </si>
  <si>
    <t>Caq2_23_350</t>
  </si>
  <si>
    <t>Caq2_23_400</t>
  </si>
  <si>
    <t>Caq2_23_450</t>
  </si>
  <si>
    <t>Caq2_23_500</t>
  </si>
  <si>
    <t>Caq2_23_550</t>
  </si>
  <si>
    <t>Caq2_23_600</t>
  </si>
  <si>
    <t>Caq2_24_25</t>
  </si>
  <si>
    <t>Caq2_24_75</t>
  </si>
  <si>
    <t>Caq2_24_100</t>
  </si>
  <si>
    <t>Caq2_24_150</t>
  </si>
  <si>
    <t>Caq2_24_200</t>
  </si>
  <si>
    <t>Caq2_24_250</t>
  </si>
  <si>
    <t>Caq2_24_300</t>
  </si>
  <si>
    <t>Caq2_24_350</t>
  </si>
  <si>
    <t>Caq2_24_400</t>
  </si>
  <si>
    <t>Caq2_24_450</t>
  </si>
  <si>
    <t>Caq2_24_500</t>
  </si>
  <si>
    <t>Caq2_24_550</t>
  </si>
  <si>
    <t>Caq2_24_600</t>
  </si>
  <si>
    <t>well_id</t>
  </si>
  <si>
    <t>q</t>
  </si>
  <si>
    <t>WELL_01</t>
  </si>
  <si>
    <t>WELL_02</t>
  </si>
  <si>
    <t>WELL_03</t>
  </si>
  <si>
    <t>WELL_04</t>
  </si>
  <si>
    <t>WELL_05</t>
  </si>
  <si>
    <t>Parameter</t>
  </si>
  <si>
    <t>stability_threshold</t>
  </si>
  <si>
    <t>Threshold to mask irresponsive cells</t>
  </si>
  <si>
    <t>start</t>
  </si>
  <si>
    <t xml:space="preserve">Time of step change </t>
  </si>
  <si>
    <t>start_step</t>
  </si>
  <si>
    <t>Corresponding time step index of step change (0 index)</t>
  </si>
  <si>
    <t>threshold_absolute</t>
  </si>
  <si>
    <t>Threshold to estimate absolute response time</t>
  </si>
  <si>
    <t>threshold_percent</t>
  </si>
  <si>
    <t>Threshold to estimate relative response time (Percentage)</t>
  </si>
  <si>
    <t>histogram_bins</t>
  </si>
  <si>
    <t>Number of bins for response time histograms</t>
  </si>
  <si>
    <t>step</t>
  </si>
  <si>
    <t>Step of animation frames (model units)</t>
  </si>
  <si>
    <t>n</t>
  </si>
  <si>
    <t>Number of animation frames</t>
  </si>
  <si>
    <t>qv_00</t>
  </si>
  <si>
    <t>qv_01</t>
  </si>
  <si>
    <t>qv_02</t>
  </si>
  <si>
    <t>qv_03</t>
  </si>
  <si>
    <t>qv_04</t>
  </si>
  <si>
    <t>qv_05</t>
  </si>
  <si>
    <t>qv_0</t>
  </si>
  <si>
    <t>kv_1E-13_kh_1E-07</t>
  </si>
  <si>
    <t>kv_1E-13_kh_3E-07</t>
  </si>
  <si>
    <t>kv_1E-13_kh_1E-06</t>
  </si>
  <si>
    <t>kv_1E-13_kh_3E-06</t>
  </si>
  <si>
    <t>kv_1E-13_kh_1E-05</t>
  </si>
  <si>
    <t>kv_1E-13_kh_3E-05</t>
  </si>
  <si>
    <t>kv_1E-13_kh_1E-04</t>
  </si>
  <si>
    <t>kv_1E-13_kh_3E-04</t>
  </si>
  <si>
    <t>kv_1E-13_kh_1E-03</t>
  </si>
  <si>
    <t>kv_3E-13_kh_1E-07</t>
  </si>
  <si>
    <t>kv_3E-13_kh_3E-07</t>
  </si>
  <si>
    <t>kv_3E-13_kh_1E-06</t>
  </si>
  <si>
    <t>kv_3E-13_kh_3E-06</t>
  </si>
  <si>
    <t>kv_3E-13_kh_1E-05</t>
  </si>
  <si>
    <t>kv_3E-13_kh_3E-05</t>
  </si>
  <si>
    <t>kv_3E-13_kh_1E-04</t>
  </si>
  <si>
    <t>kv_3E-13_kh_3E-04</t>
  </si>
  <si>
    <t>kv_3E-13_kh_1E-03</t>
  </si>
  <si>
    <t>kv_1E-12_kh_1E-07</t>
  </si>
  <si>
    <t>kv_1E-12_kh_3E-07</t>
  </si>
  <si>
    <t>kv_1E-12_kh_1E-06</t>
  </si>
  <si>
    <t>kv_1E-12_kh_3E-06</t>
  </si>
  <si>
    <t>kv_1E-12_kh_1E-05</t>
  </si>
  <si>
    <t>kv_1E-12_kh_3E-05</t>
  </si>
  <si>
    <t>kv_1E-12_kh_1E-04</t>
  </si>
  <si>
    <t>kv_1E-12_kh_3E-04</t>
  </si>
  <si>
    <t>kv_1E-12_kh_1E-03</t>
  </si>
  <si>
    <t>kv_3E-12_kh_1E-07</t>
  </si>
  <si>
    <t>kv_3E-12_kh_3E-07</t>
  </si>
  <si>
    <t>kv_3E-12_kh_1E-06</t>
  </si>
  <si>
    <t>kv_3E-12_kh_3E-06</t>
  </si>
  <si>
    <t>kv_3E-12_kh_1E-05</t>
  </si>
  <si>
    <t>kv_3E-12_kh_3E-05</t>
  </si>
  <si>
    <t>kv_3E-12_kh_1E-04</t>
  </si>
  <si>
    <t>kv_3E-12_kh_3E-04</t>
  </si>
  <si>
    <t>kv_3E-12_kh_1E-03</t>
  </si>
  <si>
    <t>kv_1E-11_kh_1E-07</t>
  </si>
  <si>
    <t>kv_1E-11_kh_3E-07</t>
  </si>
  <si>
    <t>kv_1E-11_kh_1E-06</t>
  </si>
  <si>
    <t>kv_1E-11_kh_3E-06</t>
  </si>
  <si>
    <t>kv_1E-11_kh_1E-05</t>
  </si>
  <si>
    <t>kv_1E-11_kh_3E-05</t>
  </si>
  <si>
    <t>kv_1E-11_kh_1E-04</t>
  </si>
  <si>
    <t>kv_1E-11_kh_3E-04</t>
  </si>
  <si>
    <t>kv_1E-11_kh_1E-03</t>
  </si>
  <si>
    <t>kv_3E-11_kh_1E-07</t>
  </si>
  <si>
    <t>kv_3E-11_kh_3E-07</t>
  </si>
  <si>
    <t>kv_3E-11_kh_1E-06</t>
  </si>
  <si>
    <t>kv_3E-11_kh_3E-06</t>
  </si>
  <si>
    <t>kv_3E-11_kh_1E-05</t>
  </si>
  <si>
    <t>kv_3E-11_kh_3E-05</t>
  </si>
  <si>
    <t>kv_3E-11_kh_1E-04</t>
  </si>
  <si>
    <t>kv_3E-11_kh_3E-04</t>
  </si>
  <si>
    <t>kv_3E-11_kh_1E-03</t>
  </si>
  <si>
    <t>kv_1E-10_kh_1E-07</t>
  </si>
  <si>
    <t>kv_1E-10_kh_3E-07</t>
  </si>
  <si>
    <t>kv_1E-10_kh_1E-06</t>
  </si>
  <si>
    <t>kv_1E-10_kh_3E-06</t>
  </si>
  <si>
    <t>kv_1E-10_kh_1E-05</t>
  </si>
  <si>
    <t>kv_1E-10_kh_3E-05</t>
  </si>
  <si>
    <t>kv_1E-10_kh_1E-04</t>
  </si>
  <si>
    <t>kv_1E-10_kh_3E-04</t>
  </si>
  <si>
    <t>kv_1E-10_kh_1E-03</t>
  </si>
  <si>
    <t>kv_3E-10_kh_1E-07</t>
  </si>
  <si>
    <t>kv_3E-10_kh_3E-07</t>
  </si>
  <si>
    <t>kv_3E-10_kh_1E-06</t>
  </si>
  <si>
    <t>kv_3E-10_kh_3E-06</t>
  </si>
  <si>
    <t>kv_3E-10_kh_1E-05</t>
  </si>
  <si>
    <t>kv_3E-10_kh_3E-05</t>
  </si>
  <si>
    <t>kv_3E-10_kh_1E-04</t>
  </si>
  <si>
    <t>kv_3E-10_kh_3E-04</t>
  </si>
  <si>
    <t>kv_3E-10_kh_1E-03</t>
  </si>
  <si>
    <t>kv_1E-09_kh_1E-07</t>
  </si>
  <si>
    <t>kv_1E-09_kh_3E-07</t>
  </si>
  <si>
    <t>kv_1E-09_kh_1E-06</t>
  </si>
  <si>
    <t>kv_1E-09_kh_3E-06</t>
  </si>
  <si>
    <t>kv_1E-09_kh_1E-05</t>
  </si>
  <si>
    <t>kv_1E-09_kh_3E-05</t>
  </si>
  <si>
    <t>kv_1E-09_kh_1E-04</t>
  </si>
  <si>
    <t>kv_1E-09_kh_3E-04</t>
  </si>
  <si>
    <t>kv_1E-09_kh_1E-03</t>
  </si>
  <si>
    <t>kv_3E-09_kh_1E-07</t>
  </si>
  <si>
    <t>kv_3E-09_kh_3E-07</t>
  </si>
  <si>
    <t>kv_3E-09_kh_1E-06</t>
  </si>
  <si>
    <t>kv_3E-09_kh_3E-06</t>
  </si>
  <si>
    <t>kv_3E-09_kh_1E-05</t>
  </si>
  <si>
    <t>kv_3E-09_kh_3E-05</t>
  </si>
  <si>
    <t>kv_3E-09_kh_1E-04</t>
  </si>
  <si>
    <t>kv_3E-09_kh_3E-04</t>
  </si>
  <si>
    <t>kv_3E-09_kh_1E-03</t>
  </si>
  <si>
    <t>kv_1E-08_kh_1E-07</t>
  </si>
  <si>
    <t>kv_1E-08_kh_3E-07</t>
  </si>
  <si>
    <t>kv_1E-08_kh_1E-06</t>
  </si>
  <si>
    <t>kv_1E-08_kh_3E-06</t>
  </si>
  <si>
    <t>kv_1E-08_kh_1E-05</t>
  </si>
  <si>
    <t>kv_1E-08_kh_3E-05</t>
  </si>
  <si>
    <t>kv_1E-08_kh_1E-04</t>
  </si>
  <si>
    <t>kv_1E-08_kh_3E-04</t>
  </si>
  <si>
    <t>kv_1E-08_kh_1E-03</t>
  </si>
  <si>
    <t>kv_3E-08_kh_1E-07</t>
  </si>
  <si>
    <t>kv_3E-08_kh_3E-07</t>
  </si>
  <si>
    <t>kv_3E-08_kh_1E-06</t>
  </si>
  <si>
    <t>kv_3E-08_kh_3E-06</t>
  </si>
  <si>
    <t>kv_3E-08_kh_1E-05</t>
  </si>
  <si>
    <t>kv_3E-08_kh_3E-05</t>
  </si>
  <si>
    <t>kv_3E-08_kh_1E-04</t>
  </si>
  <si>
    <t>kv_3E-08_kh_3E-04</t>
  </si>
  <si>
    <t>kv_3E-08_kh_1E-03</t>
  </si>
  <si>
    <t>kv_1E-07_kh_1E-07</t>
  </si>
  <si>
    <t>kv_1E-07_kh_3E-07</t>
  </si>
  <si>
    <t>kv_1E-07_kh_1E-06</t>
  </si>
  <si>
    <t>kv_1E-07_kh_3E-06</t>
  </si>
  <si>
    <t>kv_1E-07_kh_1E-05</t>
  </si>
  <si>
    <t>kv_1E-07_kh_3E-05</t>
  </si>
  <si>
    <t>kv_1E-07_kh_1E-04</t>
  </si>
  <si>
    <t>kv_1E-07_kh_3E-04</t>
  </si>
  <si>
    <t>kv_1E-07_kh_1E-03</t>
  </si>
  <si>
    <t>kv_3E-07_kh_1E-07</t>
  </si>
  <si>
    <t>kv_3E-07_kh_3E-07</t>
  </si>
  <si>
    <t>kv_3E-07_kh_1E-06</t>
  </si>
  <si>
    <t>kv_3E-07_kh_3E-06</t>
  </si>
  <si>
    <t>kv_3E-07_kh_1E-05</t>
  </si>
  <si>
    <t>kv_3E-07_kh_3E-05</t>
  </si>
  <si>
    <t>kv_3E-07_kh_1E-04</t>
  </si>
  <si>
    <t>kv_3E-07_kh_3E-04</t>
  </si>
  <si>
    <t>kv_3E-07_kh_1E-03</t>
  </si>
  <si>
    <t>kv_1E-06_kh_1E-07</t>
  </si>
  <si>
    <t>kv_1E-06_kh_3E-07</t>
  </si>
  <si>
    <t>kv_1E-06_kh_1E-06</t>
  </si>
  <si>
    <t>kv_1E-06_kh_3E-06</t>
  </si>
  <si>
    <t>kv_1E-06_kh_1E-05</t>
  </si>
  <si>
    <t>kv_1E-06_kh_3E-05</t>
  </si>
  <si>
    <t>kv_1E-06_kh_1E-04</t>
  </si>
  <si>
    <t>kv_1E-06_kh_3E-04</t>
  </si>
  <si>
    <t>kv_1E-06_kh_1E-03</t>
  </si>
  <si>
    <t>year</t>
  </si>
  <si>
    <t>kv_1E-13_kh_5E-04</t>
  </si>
  <si>
    <t>kv_3E-13_kh_5E-04</t>
  </si>
  <si>
    <t>kv_1E-12_kh_5E-04</t>
  </si>
  <si>
    <t>kv_3E-12_kh_5E-04</t>
  </si>
  <si>
    <t>kv_1E-11_kh_5E-04</t>
  </si>
  <si>
    <t>kv_3E-11_kh_5E-04</t>
  </si>
  <si>
    <t>kv_1E-10_kh_5E-04</t>
  </si>
  <si>
    <t>kv_3E-10_kh_5E-04</t>
  </si>
  <si>
    <t>kv_1E-09_kh_5E-04</t>
  </si>
  <si>
    <t>kv_3E-09_kh_5E-04</t>
  </si>
  <si>
    <t>kv_1E-08_kh_5E-04</t>
  </si>
  <si>
    <t>kv_3E-08_kh_5E-04</t>
  </si>
  <si>
    <t>kv_1E-07_kh_5E-04</t>
  </si>
  <si>
    <t>kv_3E-07_kh_5E-04</t>
  </si>
  <si>
    <t>kv_1E-06_kh_5E-04</t>
  </si>
  <si>
    <t>21000 BP</t>
  </si>
  <si>
    <t>20900 BP</t>
  </si>
  <si>
    <t>21K Bp - 1950 (paleo forcing)</t>
  </si>
  <si>
    <t>1950 - 2005 (55 years)</t>
  </si>
  <si>
    <t>20800 BP</t>
  </si>
  <si>
    <t>2005 - 2100 (95 years projection)</t>
  </si>
  <si>
    <t>20700 BP</t>
  </si>
  <si>
    <t>2100 - 10950 (8850 years)</t>
  </si>
  <si>
    <t>20600 BP</t>
  </si>
  <si>
    <t>20500 BP</t>
  </si>
  <si>
    <t>20400 BP</t>
  </si>
  <si>
    <t>20300 BP</t>
  </si>
  <si>
    <t>20200 BP</t>
  </si>
  <si>
    <t>20100 BP</t>
  </si>
  <si>
    <t>20000 BP</t>
  </si>
  <si>
    <t>19900 BP</t>
  </si>
  <si>
    <t>19800 BP</t>
  </si>
  <si>
    <t>19700 BP</t>
  </si>
  <si>
    <t>19600 BP</t>
  </si>
  <si>
    <t>WELL_06</t>
  </si>
  <si>
    <t>19500 BP</t>
  </si>
  <si>
    <t>19400 BP</t>
  </si>
  <si>
    <t>Transient recharge step change experiment</t>
  </si>
  <si>
    <t>19300 BP</t>
  </si>
  <si>
    <t>19200 BP</t>
  </si>
  <si>
    <t>19100 BP</t>
  </si>
  <si>
    <t>19000 BP</t>
  </si>
  <si>
    <t>18900 BP</t>
  </si>
  <si>
    <t>18800 BP</t>
  </si>
  <si>
    <t>18700 BP</t>
  </si>
  <si>
    <t>18600 BP</t>
  </si>
  <si>
    <t>18500 BP</t>
  </si>
  <si>
    <t>21K BP - 14K BP</t>
  </si>
  <si>
    <t>18400 BP</t>
  </si>
  <si>
    <t>14k - 11k BP</t>
  </si>
  <si>
    <t>18300 BP</t>
  </si>
  <si>
    <t>11kBP - present - 39kAP (500 years at annual step)</t>
  </si>
  <si>
    <t>18200 BP</t>
  </si>
  <si>
    <t>11kBP - present - 39kAP (the rest at century steps)</t>
  </si>
  <si>
    <t>Initial recharge</t>
  </si>
  <si>
    <t>18100 BP</t>
  </si>
  <si>
    <t>One thousand years</t>
  </si>
  <si>
    <t>18000 BP</t>
  </si>
  <si>
    <t>Final recharge</t>
  </si>
  <si>
    <t>17900 BP</t>
  </si>
  <si>
    <t>17800 BP</t>
  </si>
  <si>
    <t>m/d</t>
  </si>
  <si>
    <t>17700 BP</t>
  </si>
  <si>
    <t>17600 BP</t>
  </si>
  <si>
    <t>17500 BP</t>
  </si>
  <si>
    <t>17400 BP</t>
  </si>
  <si>
    <t>17300 BP</t>
  </si>
  <si>
    <t>17200 BP</t>
  </si>
  <si>
    <t>17100 BP</t>
  </si>
  <si>
    <t>17000 BP</t>
  </si>
  <si>
    <t>16900 BP</t>
  </si>
  <si>
    <t>16800 BP</t>
  </si>
  <si>
    <t>16700 BP</t>
  </si>
  <si>
    <t>16600 BP</t>
  </si>
  <si>
    <t>qv_06</t>
  </si>
  <si>
    <t>qv_07</t>
  </si>
  <si>
    <t>qv_08</t>
  </si>
  <si>
    <t>qv_09</t>
  </si>
  <si>
    <t>qv_10</t>
  </si>
  <si>
    <t>16500 BP</t>
  </si>
  <si>
    <t>16400 BP</t>
  </si>
  <si>
    <t>16300 BP</t>
  </si>
  <si>
    <t>16200 BP</t>
  </si>
  <si>
    <t>16100 BP</t>
  </si>
  <si>
    <t>16000 BP</t>
  </si>
  <si>
    <t>15900 BP</t>
  </si>
  <si>
    <t>15800 BP</t>
  </si>
  <si>
    <t>15700 BP</t>
  </si>
  <si>
    <t>15600 BP</t>
  </si>
  <si>
    <t>15500 BP</t>
  </si>
  <si>
    <t>15400 BP</t>
  </si>
  <si>
    <t>15300 BP</t>
  </si>
  <si>
    <t>15200 BP</t>
  </si>
  <si>
    <t>15100 BP</t>
  </si>
  <si>
    <t>15000 BP</t>
  </si>
  <si>
    <t>14900 BP</t>
  </si>
  <si>
    <t>Manual refinement</t>
  </si>
  <si>
    <t>14800 BP</t>
  </si>
  <si>
    <t>14700 BP</t>
  </si>
  <si>
    <t>14600 BP</t>
  </si>
  <si>
    <t>14500 BP</t>
  </si>
  <si>
    <t>Monthly time steps for 50 years</t>
  </si>
  <si>
    <t>14400 BP</t>
  </si>
  <si>
    <t>Annual time steps for 500 years</t>
  </si>
  <si>
    <t>14300 BP</t>
  </si>
  <si>
    <t>Century time steps for 50k years</t>
  </si>
  <si>
    <t>Geometry one</t>
  </si>
  <si>
    <t>14200 BP</t>
  </si>
  <si>
    <t>Millenia time steps for 1M years</t>
  </si>
  <si>
    <t>14100 BP</t>
  </si>
  <si>
    <t>100kyr time steps for 1M years</t>
  </si>
  <si>
    <t>14000 BP</t>
  </si>
  <si>
    <t>13900 BP</t>
  </si>
  <si>
    <t>13800 BP</t>
  </si>
  <si>
    <t>Adaptive time step</t>
  </si>
  <si>
    <t>13700 BP</t>
  </si>
  <si>
    <t>t1 (days)</t>
  </si>
  <si>
    <t>perlen (years)</t>
  </si>
  <si>
    <t>13600 BP</t>
  </si>
  <si>
    <t>13500 BP</t>
  </si>
  <si>
    <t>13400 BP</t>
  </si>
  <si>
    <t>Geometry two</t>
  </si>
  <si>
    <t>13300 BP</t>
  </si>
  <si>
    <t>13200 BP</t>
  </si>
  <si>
    <t>13100 BP</t>
  </si>
  <si>
    <t>13000 BP</t>
  </si>
  <si>
    <t>12900 BP</t>
  </si>
  <si>
    <t>12800 BP</t>
  </si>
  <si>
    <t>12700 BP</t>
  </si>
  <si>
    <t>12600 BP</t>
  </si>
  <si>
    <t>12500 BP</t>
  </si>
  <si>
    <t>12400 BP</t>
  </si>
  <si>
    <t>12300 BP</t>
  </si>
  <si>
    <t>12200 BP</t>
  </si>
  <si>
    <t>Grouped per Kh</t>
  </si>
  <si>
    <t>Grouped per Kv</t>
  </si>
  <si>
    <t>12100 BP</t>
  </si>
  <si>
    <t>parv_00</t>
  </si>
  <si>
    <t>parv_01</t>
  </si>
  <si>
    <t>parv_02</t>
  </si>
  <si>
    <t>parv_03</t>
  </si>
  <si>
    <t>parv_04</t>
  </si>
  <si>
    <t>parv_05</t>
  </si>
  <si>
    <t>parv_06</t>
  </si>
  <si>
    <t>parv_07</t>
  </si>
  <si>
    <t>12000 BP</t>
  </si>
  <si>
    <t>11900 BP</t>
  </si>
  <si>
    <t>11800 BP</t>
  </si>
  <si>
    <t>11700 BP</t>
  </si>
  <si>
    <t>11600 BP</t>
  </si>
  <si>
    <t>11500 BP</t>
  </si>
  <si>
    <t>11400 BP</t>
  </si>
  <si>
    <t>11300 BP</t>
  </si>
  <si>
    <t>11200 BP</t>
  </si>
  <si>
    <t>11100 BP</t>
  </si>
  <si>
    <t>11000 BP</t>
  </si>
  <si>
    <t>10900 BP</t>
  </si>
  <si>
    <t>10800 BP</t>
  </si>
  <si>
    <t>10700 BP</t>
  </si>
  <si>
    <t>10600 BP</t>
  </si>
  <si>
    <t>10500 BP</t>
  </si>
  <si>
    <t>10400 BP</t>
  </si>
  <si>
    <t>10300 BP</t>
  </si>
  <si>
    <t>10200 BP</t>
  </si>
  <si>
    <t>10100 BP</t>
  </si>
  <si>
    <t>10000 BP</t>
  </si>
  <si>
    <t>9900 BP</t>
  </si>
  <si>
    <t>9800 BP</t>
  </si>
  <si>
    <t>9700 BP</t>
  </si>
  <si>
    <t>9600 BP</t>
  </si>
  <si>
    <t>9500 BP</t>
  </si>
  <si>
    <t>9400 BP</t>
  </si>
  <si>
    <t>9300 BP</t>
  </si>
  <si>
    <t>9200 BP</t>
  </si>
  <si>
    <t>9100 BP</t>
  </si>
  <si>
    <t>9000 BP</t>
  </si>
  <si>
    <t>8900 BP</t>
  </si>
  <si>
    <t>8800 BP</t>
  </si>
  <si>
    <t>8700 BP</t>
  </si>
  <si>
    <t>8600 BP</t>
  </si>
  <si>
    <t>8500 BP</t>
  </si>
  <si>
    <t>8400 BP</t>
  </si>
  <si>
    <t>8300 BP</t>
  </si>
  <si>
    <t>8200 BP</t>
  </si>
  <si>
    <t>8100 BP</t>
  </si>
  <si>
    <t>8000 BP</t>
  </si>
  <si>
    <t>7900 BP</t>
  </si>
  <si>
    <t>7800 BP</t>
  </si>
  <si>
    <t>7700 BP</t>
  </si>
  <si>
    <t>7600 BP</t>
  </si>
  <si>
    <t>7500 BP</t>
  </si>
  <si>
    <t>7400 BP</t>
  </si>
  <si>
    <t>7300 BP</t>
  </si>
  <si>
    <t>7200 BP</t>
  </si>
  <si>
    <t>7100 BP</t>
  </si>
  <si>
    <t>7000 BP</t>
  </si>
  <si>
    <t>6900 BP</t>
  </si>
  <si>
    <t>6800 BP</t>
  </si>
  <si>
    <t>6700 BP</t>
  </si>
  <si>
    <t>6600 BP</t>
  </si>
  <si>
    <t>6500 BP</t>
  </si>
  <si>
    <t>6400 BP</t>
  </si>
  <si>
    <t>6300 BP</t>
  </si>
  <si>
    <t>6200 BP</t>
  </si>
  <si>
    <t>6100 BP</t>
  </si>
  <si>
    <t>6000 BP</t>
  </si>
  <si>
    <t>5900 BP</t>
  </si>
  <si>
    <t>5800 BP</t>
  </si>
  <si>
    <t>5700 BP</t>
  </si>
  <si>
    <t>5600 BP</t>
  </si>
  <si>
    <t>5500 BP</t>
  </si>
  <si>
    <t>5400 BP</t>
  </si>
  <si>
    <t>5300 BP</t>
  </si>
  <si>
    <t>5200 BP</t>
  </si>
  <si>
    <t>5100 BP</t>
  </si>
  <si>
    <t>5000 BP</t>
  </si>
  <si>
    <t>4900 BP</t>
  </si>
  <si>
    <t>4800 BP</t>
  </si>
  <si>
    <t>4700 BP</t>
  </si>
  <si>
    <t>4600 BP</t>
  </si>
  <si>
    <t>4500 BP</t>
  </si>
  <si>
    <t>4400 BP</t>
  </si>
  <si>
    <t>4300 BP</t>
  </si>
  <si>
    <t>4200 BP</t>
  </si>
  <si>
    <t>4100 BP</t>
  </si>
  <si>
    <t>4000 BP</t>
  </si>
  <si>
    <t>3900 BP</t>
  </si>
  <si>
    <t>3800 BP</t>
  </si>
  <si>
    <t>3700 BP</t>
  </si>
  <si>
    <t>3600 BP</t>
  </si>
  <si>
    <t>3500 BP</t>
  </si>
  <si>
    <t>3400 BP</t>
  </si>
  <si>
    <t>3300 BP</t>
  </si>
  <si>
    <t>3200 BP</t>
  </si>
  <si>
    <t>3100 BP</t>
  </si>
  <si>
    <t>3000 BP</t>
  </si>
  <si>
    <t>2900 BP</t>
  </si>
  <si>
    <t>2800 BP</t>
  </si>
  <si>
    <t>2700 BP</t>
  </si>
  <si>
    <t>2600 BP</t>
  </si>
  <si>
    <t>2500 BP</t>
  </si>
  <si>
    <t>2400 BP</t>
  </si>
  <si>
    <t>2300 BP</t>
  </si>
  <si>
    <t>2200 BP</t>
  </si>
  <si>
    <t>2100 BP</t>
  </si>
  <si>
    <t>2000 BP</t>
  </si>
  <si>
    <t>1900 BP</t>
  </si>
  <si>
    <t>1800 BP</t>
  </si>
  <si>
    <t>1700 BP</t>
  </si>
  <si>
    <t>1600 BP</t>
  </si>
  <si>
    <t>1500 BP</t>
  </si>
  <si>
    <t>1400 BP</t>
  </si>
  <si>
    <t>1300 BP</t>
  </si>
  <si>
    <t>1200 BP</t>
  </si>
  <si>
    <t>1100 BP</t>
  </si>
  <si>
    <t>1000 BP</t>
  </si>
  <si>
    <t>900 BP</t>
  </si>
  <si>
    <t>800 BP</t>
  </si>
  <si>
    <t>700 BP</t>
  </si>
  <si>
    <t>600 BP</t>
  </si>
  <si>
    <t>500 BP</t>
  </si>
  <si>
    <t>400 BP</t>
  </si>
  <si>
    <t>300 BP</t>
  </si>
  <si>
    <t>200 BP</t>
  </si>
  <si>
    <t>100 BP</t>
  </si>
  <si>
    <t>No data projection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</si>
</sst>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6" fillId="0" borderId="0"/>
  </cellStyleXfs>
  <cellXfs count="18">
    <xf numFmtId="0" fontId="0" fillId="0" borderId="0" xfId="0"/>
    <xf numFmtId="11" fontId="0" fillId="0" borderId="0" xfId="0" applyNumberFormat="1"/>
    <xf numFmtId="2" fontId="0" fillId="0" borderId="0" xfId="0" applyNumberFormat="1"/>
    <xf numFmtId="0" fontId="1" fillId="0" borderId="0" xfId="0" applyFont="1"/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2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11" fontId="4" fillId="0" borderId="0" xfId="0" applyNumberFormat="1" applyFont="1"/>
    <xf numFmtId="9" fontId="0" fillId="0" borderId="0" xfId="1" applyFont="1"/>
    <xf numFmtId="2" fontId="0" fillId="0" borderId="0" xfId="1" applyNumberFormat="1" applyFont="1"/>
    <xf numFmtId="1" fontId="0" fillId="0" borderId="0" xfId="0" applyNumberFormat="1"/>
    <xf numFmtId="0" fontId="2" fillId="0" borderId="3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9" fillId="0" borderId="4" xfId="0" applyFont="1" applyBorder="1" applyAlignment="1">
      <alignment horizontal="center"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F11" sqref="F11"/>
    </sheetView>
  </sheetViews>
  <sheetFormatPr baseColWidth="10"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7</v>
      </c>
      <c r="B2">
        <v>1</v>
      </c>
      <c r="C2">
        <v>600</v>
      </c>
      <c r="D2">
        <v>1</v>
      </c>
      <c r="E2">
        <v>600000</v>
      </c>
      <c r="F2">
        <v>1</v>
      </c>
      <c r="G2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"/>
  <sheetViews>
    <sheetView workbookViewId="0">
      <selection activeCell="G12" sqref="G12"/>
    </sheetView>
  </sheetViews>
  <sheetFormatPr baseColWidth="10" defaultRowHeight="14.25" x14ac:dyDescent="0.45"/>
  <cols>
    <col min="2" max="2" width="5.9296875" style="4" bestFit="1" customWidth="1"/>
    <col min="4" max="4" width="11.53125" style="4" bestFit="1" customWidth="1"/>
    <col min="5" max="5" width="11.86328125" style="4" bestFit="1" customWidth="1"/>
    <col min="6" max="6" width="14.06640625" style="4" bestFit="1" customWidth="1"/>
    <col min="7" max="7" width="11.9296875" style="4" bestFit="1" customWidth="1"/>
    <col min="8" max="8" width="8.3984375" style="4" bestFit="1" customWidth="1"/>
    <col min="9" max="9" width="8.46484375" style="4" customWidth="1"/>
  </cols>
  <sheetData>
    <row r="1" spans="1:11" x14ac:dyDescent="0.4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</row>
    <row r="2" spans="1:11" x14ac:dyDescent="0.45">
      <c r="A2" t="s">
        <v>18</v>
      </c>
      <c r="B2" t="s">
        <v>19</v>
      </c>
      <c r="C2">
        <v>100</v>
      </c>
      <c r="D2" s="13">
        <v>0</v>
      </c>
      <c r="E2" s="13">
        <v>94</v>
      </c>
      <c r="F2">
        <v>200</v>
      </c>
      <c r="G2">
        <v>300</v>
      </c>
      <c r="H2">
        <v>5</v>
      </c>
      <c r="I2">
        <v>70</v>
      </c>
      <c r="J2">
        <v>0</v>
      </c>
      <c r="K2">
        <v>1</v>
      </c>
    </row>
    <row r="3" spans="1:11" x14ac:dyDescent="0.45">
      <c r="A3" t="s">
        <v>20</v>
      </c>
      <c r="B3" t="s">
        <v>21</v>
      </c>
      <c r="C3">
        <v>150</v>
      </c>
      <c r="D3" s="13">
        <v>94</v>
      </c>
      <c r="E3" s="13">
        <v>118</v>
      </c>
      <c r="F3">
        <v>150</v>
      </c>
      <c r="G3">
        <v>250</v>
      </c>
      <c r="H3">
        <v>5</v>
      </c>
      <c r="I3">
        <v>70</v>
      </c>
      <c r="J3">
        <v>0</v>
      </c>
      <c r="K3">
        <v>2</v>
      </c>
    </row>
    <row r="4" spans="1:11" x14ac:dyDescent="0.45">
      <c r="A4" t="s">
        <v>22</v>
      </c>
      <c r="B4" t="s">
        <v>23</v>
      </c>
      <c r="C4">
        <v>200</v>
      </c>
      <c r="D4" s="13">
        <v>118</v>
      </c>
      <c r="E4" s="13">
        <v>153</v>
      </c>
      <c r="F4">
        <v>200</v>
      </c>
      <c r="G4">
        <v>150</v>
      </c>
      <c r="H4">
        <v>5</v>
      </c>
      <c r="I4">
        <v>70</v>
      </c>
      <c r="J4">
        <v>0</v>
      </c>
      <c r="K4">
        <v>3</v>
      </c>
    </row>
    <row r="5" spans="1:11" x14ac:dyDescent="0.45">
      <c r="A5" t="s">
        <v>24</v>
      </c>
      <c r="B5" t="s">
        <v>25</v>
      </c>
      <c r="C5">
        <v>250</v>
      </c>
      <c r="D5" s="13">
        <v>153</v>
      </c>
      <c r="E5" s="13">
        <v>167</v>
      </c>
      <c r="F5">
        <v>150</v>
      </c>
      <c r="G5">
        <v>100</v>
      </c>
      <c r="H5">
        <v>5</v>
      </c>
      <c r="I5">
        <v>70</v>
      </c>
      <c r="J5">
        <v>0</v>
      </c>
      <c r="K5">
        <v>4</v>
      </c>
    </row>
    <row r="6" spans="1:11" x14ac:dyDescent="0.45">
      <c r="A6" t="s">
        <v>26</v>
      </c>
      <c r="B6" t="s">
        <v>27</v>
      </c>
      <c r="C6">
        <v>350</v>
      </c>
      <c r="D6" s="13">
        <v>167</v>
      </c>
      <c r="E6" s="13">
        <v>200</v>
      </c>
      <c r="F6">
        <v>200</v>
      </c>
      <c r="G6">
        <v>0</v>
      </c>
      <c r="H6">
        <v>5</v>
      </c>
      <c r="I6">
        <v>70</v>
      </c>
      <c r="J6">
        <v>0</v>
      </c>
      <c r="K6">
        <v>5</v>
      </c>
    </row>
    <row r="7" spans="1:11" x14ac:dyDescent="0.45">
      <c r="A7" t="s">
        <v>28</v>
      </c>
      <c r="B7" t="s">
        <v>29</v>
      </c>
      <c r="C7">
        <v>350</v>
      </c>
      <c r="D7" s="13">
        <v>167</v>
      </c>
      <c r="E7" s="13">
        <v>200</v>
      </c>
      <c r="F7">
        <v>150</v>
      </c>
      <c r="G7">
        <v>0</v>
      </c>
      <c r="H7">
        <v>5</v>
      </c>
      <c r="I7">
        <v>70</v>
      </c>
      <c r="J7">
        <v>0</v>
      </c>
      <c r="K7">
        <v>6</v>
      </c>
    </row>
    <row r="8" spans="1:11" x14ac:dyDescent="0.45">
      <c r="A8" t="s">
        <v>30</v>
      </c>
      <c r="B8" t="s">
        <v>31</v>
      </c>
      <c r="C8">
        <v>350</v>
      </c>
      <c r="D8" s="13">
        <v>167</v>
      </c>
      <c r="E8" s="13">
        <v>200</v>
      </c>
      <c r="F8">
        <v>200</v>
      </c>
      <c r="G8">
        <v>0</v>
      </c>
      <c r="H8">
        <v>5</v>
      </c>
      <c r="I8">
        <v>70</v>
      </c>
      <c r="J8">
        <v>0</v>
      </c>
      <c r="K8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4"/>
  <sheetViews>
    <sheetView workbookViewId="0">
      <selection activeCell="C12" sqref="C12"/>
    </sheetView>
  </sheetViews>
  <sheetFormatPr baseColWidth="10" defaultRowHeight="14.25" x14ac:dyDescent="0.45"/>
  <cols>
    <col min="5" max="5" width="40.9296875" style="4" bestFit="1" customWidth="1"/>
  </cols>
  <sheetData>
    <row r="1" spans="1:5" x14ac:dyDescent="0.45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 x14ac:dyDescent="0.45">
      <c r="A2">
        <v>0</v>
      </c>
      <c r="B2">
        <v>0</v>
      </c>
      <c r="C2">
        <v>1</v>
      </c>
      <c r="D2">
        <v>1</v>
      </c>
      <c r="E2" t="s">
        <v>37</v>
      </c>
    </row>
    <row r="3" spans="1:5" x14ac:dyDescent="0.45">
      <c r="A3">
        <v>1</v>
      </c>
      <c r="B3">
        <v>3600000</v>
      </c>
      <c r="C3">
        <v>1</v>
      </c>
      <c r="D3">
        <v>1</v>
      </c>
      <c r="E3" t="s">
        <v>38</v>
      </c>
    </row>
    <row r="4" spans="1:5" x14ac:dyDescent="0.45">
      <c r="A4">
        <v>2</v>
      </c>
      <c r="B4">
        <v>720000000</v>
      </c>
      <c r="C4">
        <v>200</v>
      </c>
      <c r="D4">
        <v>1.0909169999999999</v>
      </c>
    </row>
    <row r="9" spans="1:5" x14ac:dyDescent="0.45">
      <c r="A9" s="2"/>
    </row>
    <row r="10" spans="1:5" x14ac:dyDescent="0.45">
      <c r="A10" s="2"/>
    </row>
    <row r="11" spans="1:5" x14ac:dyDescent="0.45">
      <c r="A11" s="2"/>
    </row>
    <row r="12" spans="1:5" x14ac:dyDescent="0.45">
      <c r="A12" s="2"/>
    </row>
    <row r="13" spans="1:5" x14ac:dyDescent="0.45">
      <c r="A13" s="2"/>
    </row>
    <row r="14" spans="1:5" x14ac:dyDescent="0.45">
      <c r="A14" s="2"/>
    </row>
    <row r="15" spans="1:5" x14ac:dyDescent="0.45">
      <c r="A15" s="2"/>
    </row>
    <row r="16" spans="1:5" x14ac:dyDescent="0.45">
      <c r="A16" s="2"/>
    </row>
    <row r="17" spans="1:1" x14ac:dyDescent="0.45">
      <c r="A17" s="2"/>
    </row>
    <row r="18" spans="1:1" x14ac:dyDescent="0.45">
      <c r="A18" s="2"/>
    </row>
    <row r="19" spans="1:1" x14ac:dyDescent="0.45">
      <c r="A19" s="2"/>
    </row>
    <row r="20" spans="1:1" x14ac:dyDescent="0.45">
      <c r="A20" s="2"/>
    </row>
    <row r="21" spans="1:1" x14ac:dyDescent="0.45">
      <c r="A21" s="2"/>
    </row>
    <row r="22" spans="1:1" x14ac:dyDescent="0.45">
      <c r="A22" s="2"/>
    </row>
    <row r="23" spans="1:1" x14ac:dyDescent="0.45">
      <c r="A23" s="2"/>
    </row>
    <row r="24" spans="1:1" x14ac:dyDescent="0.45">
      <c r="A24" s="2"/>
    </row>
    <row r="25" spans="1:1" x14ac:dyDescent="0.45">
      <c r="A25" s="2"/>
    </row>
    <row r="26" spans="1:1" x14ac:dyDescent="0.45">
      <c r="A26" s="2"/>
    </row>
    <row r="27" spans="1:1" x14ac:dyDescent="0.45">
      <c r="A27" s="2"/>
    </row>
    <row r="28" spans="1:1" x14ac:dyDescent="0.45">
      <c r="A28" s="2"/>
    </row>
    <row r="29" spans="1:1" x14ac:dyDescent="0.45">
      <c r="A29" s="2"/>
    </row>
    <row r="30" spans="1:1" x14ac:dyDescent="0.45">
      <c r="A30" s="2"/>
    </row>
    <row r="31" spans="1:1" x14ac:dyDescent="0.45">
      <c r="A31" s="2"/>
    </row>
    <row r="32" spans="1:1" x14ac:dyDescent="0.45">
      <c r="A32" s="2"/>
    </row>
    <row r="33" spans="1:1" x14ac:dyDescent="0.45">
      <c r="A33" s="2"/>
    </row>
    <row r="34" spans="1:1" x14ac:dyDescent="0.45">
      <c r="A34" s="2"/>
    </row>
    <row r="35" spans="1:1" x14ac:dyDescent="0.45">
      <c r="A35" s="2"/>
    </row>
    <row r="36" spans="1:1" x14ac:dyDescent="0.45">
      <c r="A36" s="2"/>
    </row>
    <row r="37" spans="1:1" x14ac:dyDescent="0.45">
      <c r="A37" s="2"/>
    </row>
    <row r="38" spans="1:1" x14ac:dyDescent="0.45">
      <c r="A38" s="2"/>
    </row>
    <row r="39" spans="1:1" x14ac:dyDescent="0.45">
      <c r="A39" s="2"/>
    </row>
    <row r="40" spans="1:1" x14ac:dyDescent="0.45">
      <c r="A40" s="2"/>
    </row>
    <row r="41" spans="1:1" x14ac:dyDescent="0.45">
      <c r="A41" s="2"/>
    </row>
    <row r="42" spans="1:1" x14ac:dyDescent="0.45">
      <c r="A42" s="2"/>
    </row>
    <row r="43" spans="1:1" x14ac:dyDescent="0.45">
      <c r="A43" s="2"/>
    </row>
    <row r="44" spans="1:1" x14ac:dyDescent="0.45">
      <c r="A44" s="2"/>
    </row>
    <row r="45" spans="1:1" x14ac:dyDescent="0.45">
      <c r="A45" s="2"/>
    </row>
    <row r="46" spans="1:1" x14ac:dyDescent="0.45">
      <c r="A46" s="2"/>
    </row>
    <row r="47" spans="1:1" x14ac:dyDescent="0.45">
      <c r="A47" s="2"/>
    </row>
    <row r="48" spans="1:1" x14ac:dyDescent="0.45">
      <c r="A48" s="2"/>
    </row>
    <row r="49" spans="1:1" x14ac:dyDescent="0.45">
      <c r="A49" s="2"/>
    </row>
    <row r="50" spans="1:1" x14ac:dyDescent="0.45">
      <c r="A50" s="2"/>
    </row>
    <row r="51" spans="1:1" x14ac:dyDescent="0.45">
      <c r="A51" s="2"/>
    </row>
    <row r="52" spans="1:1" x14ac:dyDescent="0.45">
      <c r="A52" s="2"/>
    </row>
    <row r="53" spans="1:1" x14ac:dyDescent="0.45">
      <c r="A53" s="2"/>
    </row>
    <row r="54" spans="1:1" x14ac:dyDescent="0.45">
      <c r="A54" s="2"/>
    </row>
    <row r="55" spans="1:1" x14ac:dyDescent="0.45">
      <c r="A55" s="2"/>
    </row>
    <row r="56" spans="1:1" x14ac:dyDescent="0.45">
      <c r="A56" s="2"/>
    </row>
    <row r="57" spans="1:1" x14ac:dyDescent="0.45">
      <c r="A57" s="2"/>
    </row>
    <row r="58" spans="1:1" x14ac:dyDescent="0.45">
      <c r="A58" s="2"/>
    </row>
    <row r="59" spans="1:1" x14ac:dyDescent="0.45">
      <c r="A59" s="2"/>
    </row>
    <row r="60" spans="1:1" x14ac:dyDescent="0.45">
      <c r="A60" s="2"/>
    </row>
    <row r="61" spans="1:1" x14ac:dyDescent="0.45">
      <c r="A61" s="2"/>
    </row>
    <row r="62" spans="1:1" x14ac:dyDescent="0.45">
      <c r="A62" s="2"/>
    </row>
    <row r="63" spans="1:1" x14ac:dyDescent="0.45">
      <c r="A63" s="2"/>
    </row>
    <row r="64" spans="1:1" x14ac:dyDescent="0.45">
      <c r="A64" s="2"/>
    </row>
    <row r="65" spans="1:1" x14ac:dyDescent="0.45">
      <c r="A65" s="2"/>
    </row>
    <row r="66" spans="1:1" x14ac:dyDescent="0.45">
      <c r="A66" s="2"/>
    </row>
    <row r="67" spans="1:1" x14ac:dyDescent="0.45">
      <c r="A67" s="2"/>
    </row>
    <row r="68" spans="1:1" x14ac:dyDescent="0.45">
      <c r="A68" s="2"/>
    </row>
    <row r="69" spans="1:1" x14ac:dyDescent="0.45">
      <c r="A69" s="2"/>
    </row>
    <row r="70" spans="1:1" x14ac:dyDescent="0.45">
      <c r="A70" s="2"/>
    </row>
    <row r="71" spans="1:1" x14ac:dyDescent="0.45">
      <c r="A71" s="2"/>
    </row>
    <row r="72" spans="1:1" x14ac:dyDescent="0.45">
      <c r="A72" s="2"/>
    </row>
    <row r="73" spans="1:1" x14ac:dyDescent="0.45">
      <c r="A73" s="2"/>
    </row>
    <row r="74" spans="1:1" x14ac:dyDescent="0.45">
      <c r="A74" s="2"/>
    </row>
    <row r="75" spans="1:1" x14ac:dyDescent="0.45">
      <c r="A75" s="2"/>
    </row>
    <row r="76" spans="1:1" x14ac:dyDescent="0.45">
      <c r="A76" s="2"/>
    </row>
    <row r="77" spans="1:1" x14ac:dyDescent="0.45">
      <c r="A77" s="2"/>
    </row>
    <row r="78" spans="1:1" x14ac:dyDescent="0.45">
      <c r="A78" s="2"/>
    </row>
    <row r="79" spans="1:1" x14ac:dyDescent="0.45">
      <c r="A79" s="2"/>
    </row>
    <row r="80" spans="1:1" x14ac:dyDescent="0.45">
      <c r="A80" s="2"/>
    </row>
    <row r="81" spans="1:1" x14ac:dyDescent="0.45">
      <c r="A81" s="2"/>
    </row>
    <row r="82" spans="1:1" x14ac:dyDescent="0.45">
      <c r="A82" s="2"/>
    </row>
    <row r="83" spans="1:1" x14ac:dyDescent="0.45">
      <c r="A83" s="2"/>
    </row>
    <row r="84" spans="1:1" x14ac:dyDescent="0.45">
      <c r="A84" s="2"/>
    </row>
    <row r="85" spans="1:1" x14ac:dyDescent="0.45">
      <c r="A85" s="2"/>
    </row>
    <row r="86" spans="1:1" x14ac:dyDescent="0.45">
      <c r="A86" s="2"/>
    </row>
    <row r="87" spans="1:1" x14ac:dyDescent="0.45">
      <c r="A87" s="2"/>
    </row>
    <row r="88" spans="1:1" x14ac:dyDescent="0.45">
      <c r="A88" s="2"/>
    </row>
    <row r="89" spans="1:1" x14ac:dyDescent="0.45">
      <c r="A89" s="2"/>
    </row>
    <row r="90" spans="1:1" x14ac:dyDescent="0.45">
      <c r="A90" s="2"/>
    </row>
    <row r="91" spans="1:1" x14ac:dyDescent="0.45">
      <c r="A91" s="2"/>
    </row>
    <row r="92" spans="1:1" x14ac:dyDescent="0.45">
      <c r="A92" s="2"/>
    </row>
    <row r="93" spans="1:1" x14ac:dyDescent="0.45">
      <c r="A93" s="2"/>
    </row>
    <row r="94" spans="1:1" x14ac:dyDescent="0.45">
      <c r="A94" s="2"/>
    </row>
    <row r="95" spans="1:1" x14ac:dyDescent="0.45">
      <c r="A95" s="2"/>
    </row>
    <row r="96" spans="1:1" x14ac:dyDescent="0.45">
      <c r="A96" s="2"/>
    </row>
    <row r="97" spans="1:1" x14ac:dyDescent="0.45">
      <c r="A97" s="2"/>
    </row>
    <row r="98" spans="1:1" x14ac:dyDescent="0.45">
      <c r="A98" s="2"/>
    </row>
    <row r="99" spans="1:1" x14ac:dyDescent="0.45">
      <c r="A99" s="2"/>
    </row>
    <row r="100" spans="1:1" x14ac:dyDescent="0.45">
      <c r="A100" s="2"/>
    </row>
    <row r="101" spans="1:1" x14ac:dyDescent="0.45">
      <c r="A101" s="2"/>
    </row>
    <row r="102" spans="1:1" x14ac:dyDescent="0.45">
      <c r="A102" s="2"/>
    </row>
    <row r="103" spans="1:1" x14ac:dyDescent="0.45">
      <c r="A103" s="2"/>
    </row>
    <row r="104" spans="1:1" x14ac:dyDescent="0.45">
      <c r="A104" s="2"/>
    </row>
    <row r="105" spans="1:1" x14ac:dyDescent="0.45">
      <c r="A105" s="2"/>
    </row>
    <row r="106" spans="1:1" x14ac:dyDescent="0.45">
      <c r="A106" s="2"/>
    </row>
    <row r="107" spans="1:1" x14ac:dyDescent="0.45">
      <c r="A107" s="2"/>
    </row>
    <row r="108" spans="1:1" x14ac:dyDescent="0.45">
      <c r="A108" s="2"/>
    </row>
    <row r="109" spans="1:1" x14ac:dyDescent="0.45">
      <c r="A109" s="2"/>
    </row>
    <row r="110" spans="1:1" x14ac:dyDescent="0.45">
      <c r="A110" s="2"/>
    </row>
    <row r="111" spans="1:1" x14ac:dyDescent="0.45">
      <c r="A111" s="2"/>
    </row>
    <row r="112" spans="1:1" x14ac:dyDescent="0.45">
      <c r="A112" s="2"/>
    </row>
    <row r="113" spans="1:1" x14ac:dyDescent="0.45">
      <c r="A113" s="2"/>
    </row>
    <row r="114" spans="1:1" x14ac:dyDescent="0.45">
      <c r="A114" s="2"/>
    </row>
    <row r="115" spans="1:1" x14ac:dyDescent="0.45">
      <c r="A115" s="2"/>
    </row>
    <row r="116" spans="1:1" x14ac:dyDescent="0.45">
      <c r="A116" s="2"/>
    </row>
    <row r="117" spans="1:1" x14ac:dyDescent="0.45">
      <c r="A117" s="2"/>
    </row>
    <row r="118" spans="1:1" x14ac:dyDescent="0.45">
      <c r="A118" s="2"/>
    </row>
    <row r="119" spans="1:1" x14ac:dyDescent="0.45">
      <c r="A119" s="2"/>
    </row>
    <row r="120" spans="1:1" x14ac:dyDescent="0.45">
      <c r="A120" s="2"/>
    </row>
    <row r="121" spans="1:1" x14ac:dyDescent="0.45">
      <c r="A121" s="2"/>
    </row>
    <row r="122" spans="1:1" x14ac:dyDescent="0.45">
      <c r="A122" s="2"/>
    </row>
    <row r="123" spans="1:1" x14ac:dyDescent="0.45">
      <c r="A123" s="2"/>
    </row>
    <row r="124" spans="1:1" x14ac:dyDescent="0.45">
      <c r="A124" s="2"/>
    </row>
    <row r="125" spans="1:1" x14ac:dyDescent="0.45">
      <c r="A125" s="2"/>
    </row>
    <row r="126" spans="1:1" x14ac:dyDescent="0.45">
      <c r="A126" s="2"/>
    </row>
    <row r="127" spans="1:1" x14ac:dyDescent="0.45">
      <c r="A127" s="2"/>
    </row>
    <row r="128" spans="1:1" x14ac:dyDescent="0.45">
      <c r="A128" s="2"/>
    </row>
    <row r="129" spans="1:1" x14ac:dyDescent="0.45">
      <c r="A129" s="2"/>
    </row>
    <row r="130" spans="1:1" x14ac:dyDescent="0.45">
      <c r="A130" s="2"/>
    </row>
    <row r="131" spans="1:1" x14ac:dyDescent="0.45">
      <c r="A131" s="2"/>
    </row>
    <row r="132" spans="1:1" x14ac:dyDescent="0.45">
      <c r="A132" s="2"/>
    </row>
    <row r="133" spans="1:1" x14ac:dyDescent="0.45">
      <c r="A133" s="2"/>
    </row>
    <row r="134" spans="1:1" x14ac:dyDescent="0.45">
      <c r="A134" s="2"/>
    </row>
    <row r="135" spans="1:1" x14ac:dyDescent="0.45">
      <c r="A135" s="2"/>
    </row>
    <row r="136" spans="1:1" x14ac:dyDescent="0.45">
      <c r="A136" s="2"/>
    </row>
    <row r="137" spans="1:1" x14ac:dyDescent="0.45">
      <c r="A137" s="2"/>
    </row>
    <row r="138" spans="1:1" x14ac:dyDescent="0.45">
      <c r="A138" s="2"/>
    </row>
    <row r="139" spans="1:1" x14ac:dyDescent="0.45">
      <c r="A139" s="2"/>
    </row>
    <row r="140" spans="1:1" x14ac:dyDescent="0.45">
      <c r="A140" s="2"/>
    </row>
    <row r="141" spans="1:1" x14ac:dyDescent="0.45">
      <c r="A141" s="2"/>
    </row>
    <row r="142" spans="1:1" x14ac:dyDescent="0.45">
      <c r="A142" s="2"/>
    </row>
    <row r="143" spans="1:1" x14ac:dyDescent="0.45">
      <c r="A143" s="2"/>
    </row>
    <row r="144" spans="1:1" x14ac:dyDescent="0.45">
      <c r="A144" s="2"/>
    </row>
    <row r="145" spans="1:1" x14ac:dyDescent="0.45">
      <c r="A145" s="2"/>
    </row>
    <row r="146" spans="1:1" x14ac:dyDescent="0.45">
      <c r="A146" s="2"/>
    </row>
    <row r="147" spans="1:1" x14ac:dyDescent="0.45">
      <c r="A147" s="2"/>
    </row>
    <row r="148" spans="1:1" x14ac:dyDescent="0.45">
      <c r="A148" s="2"/>
    </row>
    <row r="149" spans="1:1" x14ac:dyDescent="0.45">
      <c r="A149" s="2"/>
    </row>
    <row r="150" spans="1:1" x14ac:dyDescent="0.45">
      <c r="A150" s="2"/>
    </row>
    <row r="151" spans="1:1" x14ac:dyDescent="0.45">
      <c r="A151" s="2"/>
    </row>
    <row r="152" spans="1:1" x14ac:dyDescent="0.45">
      <c r="A152" s="2"/>
    </row>
    <row r="153" spans="1:1" x14ac:dyDescent="0.45">
      <c r="A153" s="2"/>
    </row>
    <row r="154" spans="1:1" x14ac:dyDescent="0.45">
      <c r="A154" s="2"/>
    </row>
    <row r="155" spans="1:1" x14ac:dyDescent="0.45">
      <c r="A155" s="2"/>
    </row>
    <row r="156" spans="1:1" x14ac:dyDescent="0.45">
      <c r="A156" s="2"/>
    </row>
    <row r="157" spans="1:1" x14ac:dyDescent="0.45">
      <c r="A157" s="2"/>
    </row>
    <row r="158" spans="1:1" x14ac:dyDescent="0.45">
      <c r="A158" s="2"/>
    </row>
    <row r="159" spans="1:1" x14ac:dyDescent="0.45">
      <c r="A159" s="2"/>
    </row>
    <row r="160" spans="1:1" x14ac:dyDescent="0.45">
      <c r="A160" s="2"/>
    </row>
    <row r="161" spans="1:1" x14ac:dyDescent="0.45">
      <c r="A161" s="2"/>
    </row>
    <row r="162" spans="1:1" x14ac:dyDescent="0.45">
      <c r="A162" s="2"/>
    </row>
    <row r="163" spans="1:1" x14ac:dyDescent="0.45">
      <c r="A163" s="2"/>
    </row>
    <row r="164" spans="1:1" x14ac:dyDescent="0.45">
      <c r="A164" s="2"/>
    </row>
    <row r="165" spans="1:1" x14ac:dyDescent="0.45">
      <c r="A165" s="2"/>
    </row>
    <row r="166" spans="1:1" x14ac:dyDescent="0.45">
      <c r="A166" s="2"/>
    </row>
    <row r="167" spans="1:1" x14ac:dyDescent="0.45">
      <c r="A167" s="2"/>
    </row>
    <row r="168" spans="1:1" x14ac:dyDescent="0.45">
      <c r="A168" s="2"/>
    </row>
    <row r="169" spans="1:1" x14ac:dyDescent="0.45">
      <c r="A169" s="2"/>
    </row>
    <row r="170" spans="1:1" x14ac:dyDescent="0.45">
      <c r="A170" s="2"/>
    </row>
    <row r="171" spans="1:1" x14ac:dyDescent="0.45">
      <c r="A171" s="2"/>
    </row>
    <row r="172" spans="1:1" x14ac:dyDescent="0.45">
      <c r="A172" s="2"/>
    </row>
    <row r="173" spans="1:1" x14ac:dyDescent="0.45">
      <c r="A173" s="2"/>
    </row>
    <row r="174" spans="1:1" x14ac:dyDescent="0.45">
      <c r="A174" s="2"/>
    </row>
    <row r="175" spans="1:1" x14ac:dyDescent="0.45">
      <c r="A175" s="2"/>
    </row>
    <row r="176" spans="1:1" x14ac:dyDescent="0.45">
      <c r="A176" s="2"/>
    </row>
    <row r="177" spans="1:1" x14ac:dyDescent="0.45">
      <c r="A177" s="2"/>
    </row>
    <row r="178" spans="1:1" x14ac:dyDescent="0.45">
      <c r="A178" s="2"/>
    </row>
    <row r="179" spans="1:1" x14ac:dyDescent="0.45">
      <c r="A179" s="2"/>
    </row>
    <row r="180" spans="1:1" x14ac:dyDescent="0.45">
      <c r="A180" s="2"/>
    </row>
    <row r="181" spans="1:1" x14ac:dyDescent="0.45">
      <c r="A181" s="2"/>
    </row>
    <row r="182" spans="1:1" x14ac:dyDescent="0.45">
      <c r="A182" s="2"/>
    </row>
    <row r="183" spans="1:1" x14ac:dyDescent="0.45">
      <c r="A183" s="2"/>
    </row>
    <row r="184" spans="1:1" x14ac:dyDescent="0.45">
      <c r="A184" s="2"/>
    </row>
    <row r="185" spans="1:1" x14ac:dyDescent="0.45">
      <c r="A185" s="2"/>
    </row>
    <row r="186" spans="1:1" x14ac:dyDescent="0.45">
      <c r="A186" s="2"/>
    </row>
    <row r="187" spans="1:1" x14ac:dyDescent="0.45">
      <c r="A187" s="2"/>
    </row>
    <row r="188" spans="1:1" x14ac:dyDescent="0.45">
      <c r="A188" s="2"/>
    </row>
    <row r="189" spans="1:1" x14ac:dyDescent="0.45">
      <c r="A189" s="2"/>
    </row>
    <row r="190" spans="1:1" x14ac:dyDescent="0.45">
      <c r="A190" s="2"/>
    </row>
    <row r="191" spans="1:1" x14ac:dyDescent="0.45">
      <c r="A191" s="2"/>
    </row>
    <row r="192" spans="1:1" x14ac:dyDescent="0.45">
      <c r="A192" s="2"/>
    </row>
    <row r="193" spans="1:1" x14ac:dyDescent="0.45">
      <c r="A193" s="2"/>
    </row>
    <row r="194" spans="1:1" x14ac:dyDescent="0.45">
      <c r="A194" s="2"/>
    </row>
    <row r="195" spans="1:1" x14ac:dyDescent="0.45">
      <c r="A195" s="2"/>
    </row>
    <row r="196" spans="1:1" x14ac:dyDescent="0.45">
      <c r="A196" s="2"/>
    </row>
    <row r="197" spans="1:1" x14ac:dyDescent="0.45">
      <c r="A197" s="2"/>
    </row>
    <row r="198" spans="1:1" x14ac:dyDescent="0.45">
      <c r="A198" s="2"/>
    </row>
    <row r="199" spans="1:1" x14ac:dyDescent="0.45">
      <c r="A199" s="2"/>
    </row>
    <row r="200" spans="1:1" x14ac:dyDescent="0.45">
      <c r="A200" s="2"/>
    </row>
    <row r="201" spans="1:1" x14ac:dyDescent="0.45">
      <c r="A201" s="2"/>
    </row>
    <row r="202" spans="1:1" x14ac:dyDescent="0.45">
      <c r="A202" s="2"/>
    </row>
    <row r="203" spans="1:1" x14ac:dyDescent="0.45">
      <c r="A203" s="2"/>
    </row>
    <row r="204" spans="1:1" x14ac:dyDescent="0.45">
      <c r="A204" s="2"/>
    </row>
    <row r="205" spans="1:1" x14ac:dyDescent="0.45">
      <c r="A205" s="2"/>
    </row>
    <row r="206" spans="1:1" x14ac:dyDescent="0.45">
      <c r="A206" s="2"/>
    </row>
    <row r="207" spans="1:1" x14ac:dyDescent="0.45">
      <c r="A207" s="2"/>
    </row>
    <row r="208" spans="1:1" x14ac:dyDescent="0.45">
      <c r="A208" s="2"/>
    </row>
    <row r="209" spans="1:1" x14ac:dyDescent="0.45">
      <c r="A209" s="2"/>
    </row>
    <row r="210" spans="1:1" x14ac:dyDescent="0.45">
      <c r="A210" s="2"/>
    </row>
    <row r="211" spans="1:1" x14ac:dyDescent="0.45">
      <c r="A211" s="2"/>
    </row>
    <row r="212" spans="1:1" x14ac:dyDescent="0.45">
      <c r="A212" s="2"/>
    </row>
    <row r="213" spans="1:1" x14ac:dyDescent="0.45">
      <c r="A213" s="2"/>
    </row>
    <row r="214" spans="1:1" x14ac:dyDescent="0.45">
      <c r="A214" s="2"/>
    </row>
    <row r="215" spans="1:1" x14ac:dyDescent="0.45">
      <c r="A215" s="2"/>
    </row>
    <row r="216" spans="1:1" x14ac:dyDescent="0.45">
      <c r="A216" s="2"/>
    </row>
    <row r="217" spans="1:1" x14ac:dyDescent="0.45">
      <c r="A217" s="2"/>
    </row>
    <row r="218" spans="1:1" x14ac:dyDescent="0.45">
      <c r="A218" s="2"/>
    </row>
    <row r="219" spans="1:1" x14ac:dyDescent="0.45">
      <c r="A219" s="2"/>
    </row>
    <row r="220" spans="1:1" x14ac:dyDescent="0.45">
      <c r="A220" s="2"/>
    </row>
    <row r="221" spans="1:1" x14ac:dyDescent="0.45">
      <c r="A221" s="2"/>
    </row>
    <row r="222" spans="1:1" x14ac:dyDescent="0.45">
      <c r="A222" s="2"/>
    </row>
    <row r="223" spans="1:1" x14ac:dyDescent="0.45">
      <c r="A223" s="2"/>
    </row>
    <row r="224" spans="1:1" x14ac:dyDescent="0.45">
      <c r="A224" s="2"/>
    </row>
    <row r="225" spans="1:1" x14ac:dyDescent="0.45">
      <c r="A225" s="2"/>
    </row>
    <row r="226" spans="1:1" x14ac:dyDescent="0.45">
      <c r="A226" s="2"/>
    </row>
    <row r="227" spans="1:1" x14ac:dyDescent="0.45">
      <c r="A227" s="2"/>
    </row>
    <row r="228" spans="1:1" x14ac:dyDescent="0.45">
      <c r="A228" s="2"/>
    </row>
    <row r="229" spans="1:1" x14ac:dyDescent="0.45">
      <c r="A229" s="2"/>
    </row>
    <row r="230" spans="1:1" x14ac:dyDescent="0.45">
      <c r="A230" s="2"/>
    </row>
    <row r="231" spans="1:1" x14ac:dyDescent="0.45">
      <c r="A231" s="2"/>
    </row>
    <row r="232" spans="1:1" x14ac:dyDescent="0.45">
      <c r="A232" s="2"/>
    </row>
    <row r="233" spans="1:1" x14ac:dyDescent="0.45">
      <c r="A233" s="2"/>
    </row>
    <row r="234" spans="1:1" x14ac:dyDescent="0.45">
      <c r="A234" s="2"/>
    </row>
    <row r="235" spans="1:1" x14ac:dyDescent="0.45">
      <c r="A235" s="2"/>
    </row>
    <row r="236" spans="1:1" x14ac:dyDescent="0.45">
      <c r="A236" s="2"/>
    </row>
    <row r="237" spans="1:1" x14ac:dyDescent="0.45">
      <c r="A237" s="2"/>
    </row>
    <row r="238" spans="1:1" x14ac:dyDescent="0.45">
      <c r="A238" s="2"/>
    </row>
    <row r="239" spans="1:1" x14ac:dyDescent="0.45">
      <c r="A239" s="2"/>
    </row>
    <row r="240" spans="1:1" x14ac:dyDescent="0.45">
      <c r="A240" s="2"/>
    </row>
    <row r="241" spans="1:1" x14ac:dyDescent="0.45">
      <c r="A241" s="2"/>
    </row>
    <row r="242" spans="1:1" x14ac:dyDescent="0.45">
      <c r="A242" s="2"/>
    </row>
    <row r="243" spans="1:1" x14ac:dyDescent="0.45">
      <c r="A243" s="2"/>
    </row>
    <row r="244" spans="1:1" x14ac:dyDescent="0.45">
      <c r="A244" s="2"/>
    </row>
    <row r="245" spans="1:1" x14ac:dyDescent="0.45">
      <c r="A245" s="2"/>
    </row>
    <row r="246" spans="1:1" x14ac:dyDescent="0.45">
      <c r="A246" s="2"/>
    </row>
    <row r="247" spans="1:1" x14ac:dyDescent="0.45">
      <c r="A247" s="2"/>
    </row>
    <row r="248" spans="1:1" x14ac:dyDescent="0.45">
      <c r="A248" s="2"/>
    </row>
    <row r="249" spans="1:1" x14ac:dyDescent="0.45">
      <c r="A249" s="2"/>
    </row>
    <row r="250" spans="1:1" x14ac:dyDescent="0.45">
      <c r="A250" s="2"/>
    </row>
    <row r="251" spans="1:1" x14ac:dyDescent="0.45">
      <c r="A251" s="2"/>
    </row>
    <row r="252" spans="1:1" x14ac:dyDescent="0.45">
      <c r="A252" s="2"/>
    </row>
    <row r="253" spans="1:1" x14ac:dyDescent="0.45">
      <c r="A253" s="2"/>
    </row>
    <row r="254" spans="1:1" x14ac:dyDescent="0.45">
      <c r="A254" s="2"/>
    </row>
    <row r="255" spans="1:1" x14ac:dyDescent="0.45">
      <c r="A255" s="2"/>
    </row>
    <row r="256" spans="1:1" x14ac:dyDescent="0.45">
      <c r="A256" s="2"/>
    </row>
    <row r="257" spans="1:1" x14ac:dyDescent="0.45">
      <c r="A257" s="2"/>
    </row>
    <row r="258" spans="1:1" x14ac:dyDescent="0.45">
      <c r="A258" s="2"/>
    </row>
    <row r="259" spans="1:1" x14ac:dyDescent="0.45">
      <c r="A259" s="2"/>
    </row>
    <row r="260" spans="1:1" x14ac:dyDescent="0.45">
      <c r="A260" s="2"/>
    </row>
    <row r="261" spans="1:1" x14ac:dyDescent="0.45">
      <c r="A261" s="2"/>
    </row>
    <row r="262" spans="1:1" x14ac:dyDescent="0.45">
      <c r="A262" s="2"/>
    </row>
    <row r="263" spans="1:1" x14ac:dyDescent="0.45">
      <c r="A263" s="2"/>
    </row>
    <row r="264" spans="1:1" x14ac:dyDescent="0.45">
      <c r="A264" s="2"/>
    </row>
    <row r="265" spans="1:1" x14ac:dyDescent="0.45">
      <c r="A265" s="2"/>
    </row>
    <row r="266" spans="1:1" x14ac:dyDescent="0.45">
      <c r="A266" s="2"/>
    </row>
    <row r="267" spans="1:1" x14ac:dyDescent="0.45">
      <c r="A267" s="2"/>
    </row>
    <row r="268" spans="1:1" x14ac:dyDescent="0.45">
      <c r="A268" s="2"/>
    </row>
    <row r="269" spans="1:1" x14ac:dyDescent="0.45">
      <c r="A269" s="2"/>
    </row>
    <row r="270" spans="1:1" x14ac:dyDescent="0.45">
      <c r="A270" s="2"/>
    </row>
    <row r="271" spans="1:1" x14ac:dyDescent="0.45">
      <c r="A271" s="2"/>
    </row>
    <row r="272" spans="1:1" x14ac:dyDescent="0.45">
      <c r="A272" s="2"/>
    </row>
    <row r="273" spans="1:1" x14ac:dyDescent="0.45">
      <c r="A273" s="2"/>
    </row>
    <row r="274" spans="1:1" x14ac:dyDescent="0.45">
      <c r="A274" s="2"/>
    </row>
    <row r="275" spans="1:1" x14ac:dyDescent="0.45">
      <c r="A275" s="2"/>
    </row>
    <row r="276" spans="1:1" x14ac:dyDescent="0.45">
      <c r="A276" s="2"/>
    </row>
    <row r="277" spans="1:1" x14ac:dyDescent="0.45">
      <c r="A277" s="2"/>
    </row>
    <row r="278" spans="1:1" x14ac:dyDescent="0.45">
      <c r="A278" s="2"/>
    </row>
    <row r="279" spans="1:1" x14ac:dyDescent="0.45">
      <c r="A279" s="2"/>
    </row>
    <row r="280" spans="1:1" x14ac:dyDescent="0.45">
      <c r="A280" s="2"/>
    </row>
    <row r="281" spans="1:1" x14ac:dyDescent="0.45">
      <c r="A281" s="2"/>
    </row>
    <row r="282" spans="1:1" x14ac:dyDescent="0.45">
      <c r="A282" s="2"/>
    </row>
    <row r="283" spans="1:1" x14ac:dyDescent="0.45">
      <c r="A283" s="2"/>
    </row>
    <row r="284" spans="1:1" x14ac:dyDescent="0.45">
      <c r="A284" s="2"/>
    </row>
    <row r="285" spans="1:1" x14ac:dyDescent="0.45">
      <c r="A285" s="2"/>
    </row>
    <row r="286" spans="1:1" x14ac:dyDescent="0.45">
      <c r="A286" s="2"/>
    </row>
    <row r="287" spans="1:1" x14ac:dyDescent="0.45">
      <c r="A287" s="2"/>
    </row>
    <row r="288" spans="1:1" x14ac:dyDescent="0.45">
      <c r="A288" s="2"/>
    </row>
    <row r="289" spans="1:1" x14ac:dyDescent="0.45">
      <c r="A289" s="2"/>
    </row>
    <row r="290" spans="1:1" x14ac:dyDescent="0.45">
      <c r="A290" s="2"/>
    </row>
    <row r="291" spans="1:1" x14ac:dyDescent="0.45">
      <c r="A291" s="2"/>
    </row>
    <row r="292" spans="1:1" x14ac:dyDescent="0.45">
      <c r="A292" s="2"/>
    </row>
    <row r="293" spans="1:1" x14ac:dyDescent="0.45">
      <c r="A293" s="2"/>
    </row>
    <row r="294" spans="1:1" x14ac:dyDescent="0.45">
      <c r="A294" s="2"/>
    </row>
    <row r="295" spans="1:1" x14ac:dyDescent="0.45">
      <c r="A295" s="2"/>
    </row>
    <row r="296" spans="1:1" x14ac:dyDescent="0.45">
      <c r="A296" s="2"/>
    </row>
    <row r="297" spans="1:1" x14ac:dyDescent="0.45">
      <c r="A297" s="2"/>
    </row>
    <row r="298" spans="1:1" x14ac:dyDescent="0.45">
      <c r="A298" s="2"/>
    </row>
    <row r="299" spans="1:1" x14ac:dyDescent="0.45">
      <c r="A299" s="2"/>
    </row>
    <row r="300" spans="1:1" x14ac:dyDescent="0.45">
      <c r="A300" s="2"/>
    </row>
    <row r="301" spans="1:1" x14ac:dyDescent="0.45">
      <c r="A301" s="2"/>
    </row>
    <row r="302" spans="1:1" x14ac:dyDescent="0.45">
      <c r="A302" s="2"/>
    </row>
    <row r="303" spans="1:1" x14ac:dyDescent="0.45">
      <c r="A303" s="2"/>
    </row>
    <row r="304" spans="1:1" x14ac:dyDescent="0.45">
      <c r="A304" s="2"/>
    </row>
    <row r="305" spans="1:1" x14ac:dyDescent="0.45">
      <c r="A305" s="2"/>
    </row>
    <row r="306" spans="1:1" x14ac:dyDescent="0.45">
      <c r="A306" s="2"/>
    </row>
    <row r="307" spans="1:1" x14ac:dyDescent="0.45">
      <c r="A307" s="2"/>
    </row>
    <row r="308" spans="1:1" x14ac:dyDescent="0.45">
      <c r="A308" s="2"/>
    </row>
    <row r="309" spans="1:1" x14ac:dyDescent="0.45">
      <c r="A309" s="2"/>
    </row>
    <row r="310" spans="1:1" x14ac:dyDescent="0.45">
      <c r="A310" s="2"/>
    </row>
    <row r="311" spans="1:1" x14ac:dyDescent="0.45">
      <c r="A311" s="2"/>
    </row>
    <row r="312" spans="1:1" x14ac:dyDescent="0.45">
      <c r="A312" s="2"/>
    </row>
    <row r="313" spans="1:1" x14ac:dyDescent="0.45">
      <c r="A313" s="2"/>
    </row>
    <row r="314" spans="1:1" x14ac:dyDescent="0.45">
      <c r="A314" s="2"/>
    </row>
    <row r="315" spans="1:1" x14ac:dyDescent="0.45">
      <c r="A315" s="2"/>
    </row>
    <row r="316" spans="1:1" x14ac:dyDescent="0.45">
      <c r="A316" s="2"/>
    </row>
    <row r="317" spans="1:1" x14ac:dyDescent="0.45">
      <c r="A317" s="2"/>
    </row>
    <row r="318" spans="1:1" x14ac:dyDescent="0.45">
      <c r="A318" s="2"/>
    </row>
    <row r="319" spans="1:1" x14ac:dyDescent="0.45">
      <c r="A319" s="2"/>
    </row>
    <row r="320" spans="1:1" x14ac:dyDescent="0.45">
      <c r="A320" s="2"/>
    </row>
    <row r="321" spans="1:1" x14ac:dyDescent="0.45">
      <c r="A321" s="2"/>
    </row>
    <row r="322" spans="1:1" x14ac:dyDescent="0.45">
      <c r="A322" s="2"/>
    </row>
    <row r="323" spans="1:1" x14ac:dyDescent="0.45">
      <c r="A323" s="2"/>
    </row>
    <row r="324" spans="1:1" x14ac:dyDescent="0.45">
      <c r="A324" s="2"/>
    </row>
    <row r="325" spans="1:1" x14ac:dyDescent="0.45">
      <c r="A325" s="2"/>
    </row>
    <row r="326" spans="1:1" x14ac:dyDescent="0.45">
      <c r="A326" s="2"/>
    </row>
    <row r="327" spans="1:1" x14ac:dyDescent="0.45">
      <c r="A327" s="2"/>
    </row>
    <row r="328" spans="1:1" x14ac:dyDescent="0.45">
      <c r="A328" s="2"/>
    </row>
    <row r="329" spans="1:1" x14ac:dyDescent="0.45">
      <c r="A329" s="2"/>
    </row>
    <row r="330" spans="1:1" x14ac:dyDescent="0.45">
      <c r="A330" s="2"/>
    </row>
    <row r="331" spans="1:1" x14ac:dyDescent="0.45">
      <c r="A331" s="2"/>
    </row>
    <row r="332" spans="1:1" x14ac:dyDescent="0.45">
      <c r="A332" s="2"/>
    </row>
    <row r="333" spans="1:1" x14ac:dyDescent="0.45">
      <c r="A333" s="2"/>
    </row>
    <row r="334" spans="1:1" x14ac:dyDescent="0.45">
      <c r="A334" s="2"/>
    </row>
    <row r="335" spans="1:1" x14ac:dyDescent="0.45">
      <c r="A335" s="2"/>
    </row>
    <row r="336" spans="1:1" x14ac:dyDescent="0.45">
      <c r="A336" s="2"/>
    </row>
    <row r="337" spans="1:1" x14ac:dyDescent="0.45">
      <c r="A337" s="2"/>
    </row>
    <row r="338" spans="1:1" x14ac:dyDescent="0.45">
      <c r="A338" s="2"/>
    </row>
    <row r="339" spans="1:1" x14ac:dyDescent="0.45">
      <c r="A339" s="2"/>
    </row>
    <row r="340" spans="1:1" x14ac:dyDescent="0.45">
      <c r="A340" s="2"/>
    </row>
    <row r="341" spans="1:1" x14ac:dyDescent="0.45">
      <c r="A341" s="2"/>
    </row>
    <row r="342" spans="1:1" x14ac:dyDescent="0.45">
      <c r="A342" s="2"/>
    </row>
    <row r="343" spans="1:1" x14ac:dyDescent="0.45">
      <c r="A343" s="2"/>
    </row>
    <row r="344" spans="1:1" x14ac:dyDescent="0.45">
      <c r="A344" s="2"/>
    </row>
    <row r="345" spans="1:1" x14ac:dyDescent="0.45">
      <c r="A345" s="2"/>
    </row>
    <row r="346" spans="1:1" x14ac:dyDescent="0.45">
      <c r="A346" s="2"/>
    </row>
    <row r="347" spans="1:1" x14ac:dyDescent="0.45">
      <c r="A347" s="2"/>
    </row>
    <row r="348" spans="1:1" x14ac:dyDescent="0.45">
      <c r="A348" s="2"/>
    </row>
    <row r="349" spans="1:1" x14ac:dyDescent="0.45">
      <c r="A349" s="2"/>
    </row>
    <row r="350" spans="1:1" x14ac:dyDescent="0.45">
      <c r="A350" s="2"/>
    </row>
    <row r="351" spans="1:1" x14ac:dyDescent="0.45">
      <c r="A351" s="2"/>
    </row>
    <row r="352" spans="1:1" x14ac:dyDescent="0.45">
      <c r="A352" s="2"/>
    </row>
    <row r="353" spans="1:1" x14ac:dyDescent="0.45">
      <c r="A353" s="2"/>
    </row>
    <row r="354" spans="1:1" x14ac:dyDescent="0.45">
      <c r="A354" s="2"/>
    </row>
    <row r="355" spans="1:1" x14ac:dyDescent="0.45">
      <c r="A355" s="2"/>
    </row>
    <row r="356" spans="1:1" x14ac:dyDescent="0.45">
      <c r="A356" s="2"/>
    </row>
    <row r="357" spans="1:1" x14ac:dyDescent="0.45">
      <c r="A357" s="2"/>
    </row>
    <row r="358" spans="1:1" x14ac:dyDescent="0.45">
      <c r="A358" s="2"/>
    </row>
    <row r="359" spans="1:1" x14ac:dyDescent="0.45">
      <c r="A359" s="2"/>
    </row>
    <row r="360" spans="1:1" x14ac:dyDescent="0.45">
      <c r="A360" s="2"/>
    </row>
    <row r="361" spans="1:1" x14ac:dyDescent="0.45">
      <c r="A361" s="2"/>
    </row>
    <row r="362" spans="1:1" x14ac:dyDescent="0.45">
      <c r="A362" s="2"/>
    </row>
    <row r="363" spans="1:1" x14ac:dyDescent="0.45">
      <c r="A363" s="2"/>
    </row>
    <row r="364" spans="1:1" x14ac:dyDescent="0.45">
      <c r="A36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3"/>
  <sheetViews>
    <sheetView workbookViewId="0"/>
  </sheetViews>
  <sheetFormatPr baseColWidth="10" defaultColWidth="9.06640625" defaultRowHeight="14.25" x14ac:dyDescent="0.45"/>
  <sheetData>
    <row r="1" spans="1:8" x14ac:dyDescent="0.45">
      <c r="A1" s="17" t="s">
        <v>39</v>
      </c>
      <c r="B1" s="17" t="s">
        <v>40</v>
      </c>
      <c r="C1" s="17" t="s">
        <v>41</v>
      </c>
      <c r="D1" s="17" t="s">
        <v>42</v>
      </c>
      <c r="E1" s="17" t="s">
        <v>43</v>
      </c>
      <c r="F1" s="17" t="s">
        <v>44</v>
      </c>
      <c r="G1" s="17" t="s">
        <v>45</v>
      </c>
      <c r="H1" s="17" t="s">
        <v>36</v>
      </c>
    </row>
    <row r="2" spans="1:8" x14ac:dyDescent="0.45">
      <c r="A2" t="s">
        <v>46</v>
      </c>
      <c r="B2">
        <v>8.64</v>
      </c>
      <c r="C2">
        <v>225</v>
      </c>
      <c r="D2">
        <v>275</v>
      </c>
      <c r="E2" t="s">
        <v>47</v>
      </c>
      <c r="F2" t="s">
        <v>48</v>
      </c>
      <c r="G2">
        <v>25</v>
      </c>
      <c r="H2" t="s">
        <v>49</v>
      </c>
    </row>
    <row r="3" spans="1:8" x14ac:dyDescent="0.45">
      <c r="A3" t="s">
        <v>50</v>
      </c>
      <c r="B3">
        <v>8.6399999999999997E-4</v>
      </c>
      <c r="C3">
        <v>9.0000000000000002E-6</v>
      </c>
      <c r="D3">
        <v>1.1E-5</v>
      </c>
      <c r="E3" t="s">
        <v>47</v>
      </c>
      <c r="F3" t="s">
        <v>48</v>
      </c>
      <c r="G3">
        <v>25</v>
      </c>
      <c r="H3" t="s">
        <v>51</v>
      </c>
    </row>
    <row r="4" spans="1:8" x14ac:dyDescent="0.45">
      <c r="A4" t="s">
        <v>52</v>
      </c>
      <c r="B4">
        <v>8.64</v>
      </c>
      <c r="C4">
        <v>22.5</v>
      </c>
      <c r="D4">
        <v>27.5</v>
      </c>
      <c r="E4" t="s">
        <v>47</v>
      </c>
      <c r="F4" t="s">
        <v>48</v>
      </c>
      <c r="G4">
        <v>25</v>
      </c>
      <c r="H4" t="s">
        <v>53</v>
      </c>
    </row>
    <row r="5" spans="1:8" x14ac:dyDescent="0.45">
      <c r="A5" t="s">
        <v>54</v>
      </c>
      <c r="B5">
        <v>8.6399999999999997E-4</v>
      </c>
      <c r="C5">
        <v>9.0000000000000002E-6</v>
      </c>
      <c r="D5">
        <v>1.1E-5</v>
      </c>
      <c r="E5" t="s">
        <v>47</v>
      </c>
      <c r="F5" t="s">
        <v>48</v>
      </c>
      <c r="G5">
        <v>25</v>
      </c>
      <c r="H5" t="s">
        <v>55</v>
      </c>
    </row>
    <row r="6" spans="1:8" x14ac:dyDescent="0.45">
      <c r="A6" t="s">
        <v>56</v>
      </c>
      <c r="B6">
        <v>8.64</v>
      </c>
      <c r="C6">
        <v>22.5</v>
      </c>
      <c r="D6">
        <v>27.5</v>
      </c>
      <c r="E6" t="s">
        <v>47</v>
      </c>
      <c r="F6" t="s">
        <v>48</v>
      </c>
      <c r="G6">
        <v>25</v>
      </c>
      <c r="H6" t="s">
        <v>57</v>
      </c>
    </row>
    <row r="7" spans="1:8" x14ac:dyDescent="0.45">
      <c r="A7" t="s">
        <v>58</v>
      </c>
      <c r="B7">
        <v>8.6399999999999997E-4</v>
      </c>
      <c r="C7">
        <v>9.0000000000000002E-6</v>
      </c>
      <c r="D7">
        <v>1.1E-5</v>
      </c>
      <c r="E7" t="s">
        <v>47</v>
      </c>
      <c r="F7" t="s">
        <v>48</v>
      </c>
      <c r="G7">
        <v>25</v>
      </c>
      <c r="H7" t="s">
        <v>55</v>
      </c>
    </row>
    <row r="8" spans="1:8" x14ac:dyDescent="0.45">
      <c r="A8" t="s">
        <v>59</v>
      </c>
      <c r="B8">
        <v>8.64</v>
      </c>
      <c r="C8">
        <v>22.5</v>
      </c>
      <c r="D8">
        <v>27.5</v>
      </c>
      <c r="E8" t="s">
        <v>47</v>
      </c>
      <c r="F8" t="s">
        <v>48</v>
      </c>
      <c r="G8">
        <v>25</v>
      </c>
      <c r="H8" t="s">
        <v>57</v>
      </c>
    </row>
    <row r="9" spans="1:8" x14ac:dyDescent="0.45">
      <c r="A9" t="s">
        <v>60</v>
      </c>
      <c r="B9">
        <v>8.64</v>
      </c>
      <c r="C9">
        <v>22.5</v>
      </c>
      <c r="D9">
        <v>27.5</v>
      </c>
      <c r="E9" t="s">
        <v>47</v>
      </c>
      <c r="F9" t="s">
        <v>48</v>
      </c>
      <c r="G9">
        <v>25</v>
      </c>
      <c r="H9" t="s">
        <v>49</v>
      </c>
    </row>
    <row r="10" spans="1:8" x14ac:dyDescent="0.45">
      <c r="A10" t="s">
        <v>61</v>
      </c>
      <c r="B10">
        <v>8.6399999999999997E-4</v>
      </c>
      <c r="C10">
        <v>9.0000000000000017E-7</v>
      </c>
      <c r="D10">
        <v>1.1000000000000001E-6</v>
      </c>
      <c r="E10" t="s">
        <v>47</v>
      </c>
      <c r="F10" t="s">
        <v>48</v>
      </c>
      <c r="G10">
        <v>25</v>
      </c>
      <c r="H10" t="s">
        <v>51</v>
      </c>
    </row>
    <row r="11" spans="1:8" x14ac:dyDescent="0.45">
      <c r="A11" t="s">
        <v>62</v>
      </c>
      <c r="B11">
        <v>8.64</v>
      </c>
      <c r="C11">
        <v>2.25</v>
      </c>
      <c r="D11">
        <v>2.75</v>
      </c>
      <c r="E11" t="s">
        <v>47</v>
      </c>
      <c r="F11" t="s">
        <v>48</v>
      </c>
      <c r="G11">
        <v>25</v>
      </c>
      <c r="H11" t="s">
        <v>53</v>
      </c>
    </row>
    <row r="12" spans="1:8" x14ac:dyDescent="0.45">
      <c r="A12" t="s">
        <v>63</v>
      </c>
      <c r="B12">
        <v>8.6399999999999997E-4</v>
      </c>
      <c r="C12">
        <v>9.0000000000000017E-7</v>
      </c>
      <c r="D12">
        <v>1.1000000000000001E-6</v>
      </c>
      <c r="E12" t="s">
        <v>47</v>
      </c>
      <c r="F12" t="s">
        <v>48</v>
      </c>
      <c r="G12">
        <v>25</v>
      </c>
      <c r="H12" t="s">
        <v>55</v>
      </c>
    </row>
    <row r="13" spans="1:8" x14ac:dyDescent="0.45">
      <c r="A13" t="s">
        <v>64</v>
      </c>
      <c r="B13">
        <v>8.64</v>
      </c>
      <c r="C13">
        <v>2.25</v>
      </c>
      <c r="D13">
        <v>2.75</v>
      </c>
      <c r="E13" t="s">
        <v>47</v>
      </c>
      <c r="F13" t="s">
        <v>48</v>
      </c>
      <c r="G13">
        <v>25</v>
      </c>
      <c r="H13" t="s">
        <v>57</v>
      </c>
    </row>
    <row r="14" spans="1:8" x14ac:dyDescent="0.45">
      <c r="A14" t="s">
        <v>65</v>
      </c>
      <c r="B14">
        <v>8.6399999999999997E-4</v>
      </c>
      <c r="C14">
        <v>2.25</v>
      </c>
      <c r="D14">
        <v>2.75</v>
      </c>
      <c r="E14" t="s">
        <v>47</v>
      </c>
      <c r="F14" t="s">
        <v>48</v>
      </c>
      <c r="G14">
        <v>26</v>
      </c>
      <c r="H14" t="s">
        <v>66</v>
      </c>
    </row>
    <row r="15" spans="1:8" x14ac:dyDescent="0.45">
      <c r="A15" t="s">
        <v>67</v>
      </c>
      <c r="B15">
        <v>8.64</v>
      </c>
      <c r="C15">
        <v>2.25</v>
      </c>
      <c r="D15">
        <v>2.75</v>
      </c>
      <c r="E15" t="s">
        <v>47</v>
      </c>
      <c r="F15" t="s">
        <v>48</v>
      </c>
      <c r="G15">
        <v>27</v>
      </c>
      <c r="H15" t="s">
        <v>68</v>
      </c>
    </row>
    <row r="16" spans="1:8" x14ac:dyDescent="0.45">
      <c r="A16" t="s">
        <v>69</v>
      </c>
      <c r="B16">
        <v>0.15</v>
      </c>
      <c r="C16">
        <v>0.22500000000000001</v>
      </c>
      <c r="D16">
        <v>0.27500000000000002</v>
      </c>
      <c r="E16" t="s">
        <v>47</v>
      </c>
      <c r="F16" t="s">
        <v>70</v>
      </c>
      <c r="G16">
        <v>0</v>
      </c>
      <c r="H16" t="s">
        <v>49</v>
      </c>
    </row>
    <row r="17" spans="1:8" x14ac:dyDescent="0.45">
      <c r="A17" t="s">
        <v>71</v>
      </c>
      <c r="B17">
        <v>0.15</v>
      </c>
      <c r="C17">
        <v>0.22500000000000001</v>
      </c>
      <c r="D17">
        <v>0.27500000000000002</v>
      </c>
      <c r="E17" t="s">
        <v>47</v>
      </c>
      <c r="F17" t="s">
        <v>70</v>
      </c>
      <c r="G17">
        <v>0</v>
      </c>
      <c r="H17" t="s">
        <v>51</v>
      </c>
    </row>
    <row r="18" spans="1:8" x14ac:dyDescent="0.45">
      <c r="A18" t="s">
        <v>72</v>
      </c>
      <c r="B18">
        <v>0.15</v>
      </c>
      <c r="C18">
        <v>0.22500000000000001</v>
      </c>
      <c r="D18">
        <v>0.27500000000000002</v>
      </c>
      <c r="E18" t="s">
        <v>47</v>
      </c>
      <c r="F18" t="s">
        <v>70</v>
      </c>
      <c r="G18">
        <v>0</v>
      </c>
      <c r="H18" t="s">
        <v>53</v>
      </c>
    </row>
    <row r="19" spans="1:8" x14ac:dyDescent="0.45">
      <c r="A19" t="s">
        <v>73</v>
      </c>
      <c r="B19">
        <v>0.15</v>
      </c>
      <c r="C19">
        <v>0.22500000000000001</v>
      </c>
      <c r="D19">
        <v>0.27500000000000002</v>
      </c>
      <c r="E19" t="s">
        <v>47</v>
      </c>
      <c r="F19" t="s">
        <v>70</v>
      </c>
      <c r="G19">
        <v>0</v>
      </c>
      <c r="H19" t="s">
        <v>55</v>
      </c>
    </row>
    <row r="20" spans="1:8" x14ac:dyDescent="0.45">
      <c r="A20" t="s">
        <v>74</v>
      </c>
      <c r="B20">
        <v>0.15</v>
      </c>
      <c r="C20">
        <v>0.22500000000000001</v>
      </c>
      <c r="D20">
        <v>0.27500000000000002</v>
      </c>
      <c r="E20" t="s">
        <v>47</v>
      </c>
      <c r="F20" t="s">
        <v>70</v>
      </c>
      <c r="G20">
        <v>0</v>
      </c>
      <c r="H20" t="s">
        <v>57</v>
      </c>
    </row>
    <row r="21" spans="1:8" x14ac:dyDescent="0.45">
      <c r="A21" t="s">
        <v>75</v>
      </c>
      <c r="B21">
        <v>0.15</v>
      </c>
      <c r="C21">
        <v>0.22500000000000001</v>
      </c>
      <c r="D21">
        <v>0.27500000000000002</v>
      </c>
      <c r="E21" t="s">
        <v>47</v>
      </c>
      <c r="F21" t="s">
        <v>70</v>
      </c>
      <c r="G21">
        <v>1</v>
      </c>
      <c r="H21" t="s">
        <v>66</v>
      </c>
    </row>
    <row r="22" spans="1:8" x14ac:dyDescent="0.45">
      <c r="A22" t="s">
        <v>76</v>
      </c>
      <c r="B22">
        <v>0.15</v>
      </c>
      <c r="C22">
        <v>0.22500000000000001</v>
      </c>
      <c r="D22">
        <v>0.27500000000000002</v>
      </c>
      <c r="E22" t="s">
        <v>47</v>
      </c>
      <c r="F22" t="s">
        <v>70</v>
      </c>
      <c r="G22">
        <v>2</v>
      </c>
      <c r="H22" t="s">
        <v>68</v>
      </c>
    </row>
    <row r="23" spans="1:8" x14ac:dyDescent="0.45">
      <c r="A23" t="s">
        <v>77</v>
      </c>
      <c r="B23">
        <v>1.0000000000000001E-5</v>
      </c>
      <c r="C23">
        <v>9.0000000000000002E-6</v>
      </c>
      <c r="D23">
        <v>1.1E-5</v>
      </c>
      <c r="E23" t="s">
        <v>47</v>
      </c>
      <c r="F23" t="s">
        <v>70</v>
      </c>
      <c r="G23">
        <v>0</v>
      </c>
      <c r="H23" t="s">
        <v>49</v>
      </c>
    </row>
    <row r="24" spans="1:8" x14ac:dyDescent="0.45">
      <c r="A24" t="s">
        <v>78</v>
      </c>
      <c r="B24">
        <v>1.0000000000000001E-5</v>
      </c>
      <c r="C24">
        <v>9.0000000000000002E-6</v>
      </c>
      <c r="D24">
        <v>1.1E-5</v>
      </c>
      <c r="E24" t="s">
        <v>47</v>
      </c>
      <c r="F24" t="s">
        <v>70</v>
      </c>
      <c r="G24">
        <v>0</v>
      </c>
      <c r="H24" t="s">
        <v>51</v>
      </c>
    </row>
    <row r="25" spans="1:8" x14ac:dyDescent="0.45">
      <c r="A25" t="s">
        <v>79</v>
      </c>
      <c r="B25">
        <v>1.0000000000000001E-5</v>
      </c>
      <c r="C25">
        <v>9.0000000000000002E-6</v>
      </c>
      <c r="D25">
        <v>1.1E-5</v>
      </c>
      <c r="E25" t="s">
        <v>47</v>
      </c>
      <c r="F25" t="s">
        <v>70</v>
      </c>
      <c r="G25">
        <v>0</v>
      </c>
      <c r="H25" t="s">
        <v>53</v>
      </c>
    </row>
    <row r="26" spans="1:8" x14ac:dyDescent="0.45">
      <c r="A26" t="s">
        <v>80</v>
      </c>
      <c r="B26">
        <v>1.0000000000000001E-5</v>
      </c>
      <c r="C26">
        <v>9.0000000000000002E-6</v>
      </c>
      <c r="D26">
        <v>1.1E-5</v>
      </c>
      <c r="E26" t="s">
        <v>47</v>
      </c>
      <c r="F26" t="s">
        <v>70</v>
      </c>
      <c r="G26">
        <v>0</v>
      </c>
      <c r="H26" t="s">
        <v>55</v>
      </c>
    </row>
    <row r="27" spans="1:8" x14ac:dyDescent="0.45">
      <c r="A27" t="s">
        <v>81</v>
      </c>
      <c r="B27">
        <v>1.0000000000000001E-5</v>
      </c>
      <c r="C27">
        <v>9.0000000000000002E-6</v>
      </c>
      <c r="D27">
        <v>1.1E-5</v>
      </c>
      <c r="E27" t="s">
        <v>47</v>
      </c>
      <c r="F27" t="s">
        <v>70</v>
      </c>
      <c r="G27">
        <v>0</v>
      </c>
      <c r="H27" t="s">
        <v>57</v>
      </c>
    </row>
    <row r="28" spans="1:8" x14ac:dyDescent="0.45">
      <c r="A28" t="s">
        <v>82</v>
      </c>
      <c r="B28">
        <v>1.0000000000000001E-5</v>
      </c>
      <c r="C28">
        <v>9.0000000000000002E-6</v>
      </c>
      <c r="D28">
        <v>1.1E-5</v>
      </c>
      <c r="E28" t="s">
        <v>47</v>
      </c>
      <c r="F28" t="s">
        <v>70</v>
      </c>
      <c r="G28">
        <v>1</v>
      </c>
      <c r="H28" t="s">
        <v>66</v>
      </c>
    </row>
    <row r="29" spans="1:8" x14ac:dyDescent="0.45">
      <c r="A29" t="s">
        <v>83</v>
      </c>
      <c r="B29">
        <v>1.0000000000000001E-5</v>
      </c>
      <c r="C29">
        <v>9.0000000000000002E-6</v>
      </c>
      <c r="D29">
        <v>1.1E-5</v>
      </c>
      <c r="E29" t="s">
        <v>47</v>
      </c>
      <c r="F29" t="s">
        <v>70</v>
      </c>
      <c r="G29">
        <v>2</v>
      </c>
      <c r="H29" t="s">
        <v>68</v>
      </c>
    </row>
    <row r="30" spans="1:8" x14ac:dyDescent="0.45">
      <c r="A30" t="s">
        <v>84</v>
      </c>
      <c r="B30">
        <v>2.7777777777777799E-4</v>
      </c>
      <c r="C30">
        <v>3.1154231364886891E-4</v>
      </c>
      <c r="D30">
        <v>3.807739389041731E-4</v>
      </c>
      <c r="E30" t="s">
        <v>85</v>
      </c>
      <c r="F30" t="s">
        <v>70</v>
      </c>
      <c r="G30">
        <v>0</v>
      </c>
      <c r="H30" t="s">
        <v>49</v>
      </c>
    </row>
    <row r="31" spans="1:8" x14ac:dyDescent="0.45">
      <c r="A31" t="s">
        <v>86</v>
      </c>
      <c r="B31">
        <v>2.7777777777777799E-4</v>
      </c>
      <c r="C31">
        <v>3.1154231364886891E-5</v>
      </c>
      <c r="D31">
        <v>3.8077393890417307E-5</v>
      </c>
      <c r="E31" t="s">
        <v>85</v>
      </c>
      <c r="F31" t="s">
        <v>70</v>
      </c>
      <c r="G31">
        <v>0</v>
      </c>
      <c r="H31" t="s">
        <v>51</v>
      </c>
    </row>
    <row r="32" spans="1:8" x14ac:dyDescent="0.45">
      <c r="A32" t="s">
        <v>87</v>
      </c>
      <c r="B32">
        <v>2.7777777777777799E-4</v>
      </c>
      <c r="C32">
        <v>3.1154231364886891E-4</v>
      </c>
      <c r="D32">
        <v>3.807739389041731E-4</v>
      </c>
      <c r="E32" t="s">
        <v>85</v>
      </c>
      <c r="F32" t="s">
        <v>70</v>
      </c>
      <c r="G32">
        <v>0</v>
      </c>
      <c r="H32" t="s">
        <v>53</v>
      </c>
    </row>
    <row r="33" spans="1:8" x14ac:dyDescent="0.45">
      <c r="A33" t="s">
        <v>88</v>
      </c>
      <c r="B33">
        <v>2.7777777777777799E-4</v>
      </c>
      <c r="C33">
        <v>3.1154231364886891E-5</v>
      </c>
      <c r="D33">
        <v>3.8077393890417307E-5</v>
      </c>
      <c r="E33" t="s">
        <v>85</v>
      </c>
      <c r="F33" t="s">
        <v>70</v>
      </c>
      <c r="G33">
        <v>0</v>
      </c>
      <c r="H33" t="s">
        <v>55</v>
      </c>
    </row>
    <row r="34" spans="1:8" x14ac:dyDescent="0.45">
      <c r="A34" t="s">
        <v>89</v>
      </c>
      <c r="B34">
        <v>2.7777777777777799E-4</v>
      </c>
      <c r="C34">
        <v>3.1154231364886891E-4</v>
      </c>
      <c r="D34">
        <v>3.807739389041731E-4</v>
      </c>
      <c r="E34" t="s">
        <v>85</v>
      </c>
      <c r="F34" t="s">
        <v>70</v>
      </c>
      <c r="G34">
        <v>0</v>
      </c>
      <c r="H34" t="s">
        <v>57</v>
      </c>
    </row>
    <row r="35" spans="1:8" x14ac:dyDescent="0.45">
      <c r="A35" t="s">
        <v>90</v>
      </c>
      <c r="B35">
        <v>2.7777777777777799E-4</v>
      </c>
      <c r="C35">
        <v>3.1154231364886891E-4</v>
      </c>
      <c r="D35">
        <v>3.807739389041731E-4</v>
      </c>
      <c r="E35" t="s">
        <v>85</v>
      </c>
      <c r="F35" t="s">
        <v>70</v>
      </c>
      <c r="G35">
        <v>1</v>
      </c>
      <c r="H35" t="s">
        <v>66</v>
      </c>
    </row>
    <row r="36" spans="1:8" x14ac:dyDescent="0.45">
      <c r="A36" t="s">
        <v>91</v>
      </c>
      <c r="B36">
        <v>2.7777777777777799E-4</v>
      </c>
      <c r="C36">
        <v>3.1154231364886891E-4</v>
      </c>
      <c r="D36">
        <v>3.807739389041731E-4</v>
      </c>
      <c r="E36" t="s">
        <v>85</v>
      </c>
      <c r="F36" t="s">
        <v>70</v>
      </c>
      <c r="G36">
        <v>2</v>
      </c>
      <c r="H36" t="s">
        <v>68</v>
      </c>
    </row>
    <row r="37" spans="1:8" x14ac:dyDescent="0.45">
      <c r="A37" t="s">
        <v>92</v>
      </c>
      <c r="B37">
        <v>1</v>
      </c>
      <c r="C37">
        <v>3.1154231364886891E-4</v>
      </c>
      <c r="D37">
        <v>3.807739389041731E-4</v>
      </c>
      <c r="E37" t="s">
        <v>85</v>
      </c>
      <c r="F37" t="s">
        <v>70</v>
      </c>
      <c r="G37">
        <v>0</v>
      </c>
      <c r="H37" t="s">
        <v>93</v>
      </c>
    </row>
    <row r="38" spans="1:8" x14ac:dyDescent="0.45">
      <c r="A38" t="s">
        <v>94</v>
      </c>
      <c r="B38">
        <v>1</v>
      </c>
      <c r="C38">
        <v>3.1154231364886891E-4</v>
      </c>
      <c r="D38">
        <v>3.807739389041731E-4</v>
      </c>
      <c r="E38" t="s">
        <v>85</v>
      </c>
      <c r="F38" t="s">
        <v>70</v>
      </c>
      <c r="G38">
        <v>0</v>
      </c>
      <c r="H38" t="s">
        <v>93</v>
      </c>
    </row>
    <row r="39" spans="1:8" x14ac:dyDescent="0.45">
      <c r="A39" t="s">
        <v>95</v>
      </c>
      <c r="B39">
        <v>1</v>
      </c>
      <c r="C39">
        <v>3.1154231364886891E-4</v>
      </c>
      <c r="D39">
        <v>3.807739389041731E-4</v>
      </c>
      <c r="E39" t="s">
        <v>85</v>
      </c>
      <c r="F39" t="s">
        <v>70</v>
      </c>
      <c r="G39">
        <v>0</v>
      </c>
      <c r="H39" t="s">
        <v>93</v>
      </c>
    </row>
    <row r="40" spans="1:8" x14ac:dyDescent="0.45">
      <c r="A40" t="s">
        <v>96</v>
      </c>
      <c r="B40">
        <v>1</v>
      </c>
      <c r="C40">
        <v>3.1154231364886891E-4</v>
      </c>
      <c r="D40">
        <v>3.807739389041731E-4</v>
      </c>
      <c r="E40" t="s">
        <v>85</v>
      </c>
      <c r="F40" t="s">
        <v>70</v>
      </c>
      <c r="G40">
        <v>0</v>
      </c>
      <c r="H40" t="s">
        <v>93</v>
      </c>
    </row>
    <row r="41" spans="1:8" x14ac:dyDescent="0.45">
      <c r="A41" t="s">
        <v>97</v>
      </c>
      <c r="B41">
        <v>1</v>
      </c>
      <c r="C41">
        <v>3.1154231364886891E-4</v>
      </c>
      <c r="D41">
        <v>3.807739389041731E-4</v>
      </c>
      <c r="E41" t="s">
        <v>85</v>
      </c>
      <c r="F41" t="s">
        <v>70</v>
      </c>
      <c r="G41">
        <v>0</v>
      </c>
      <c r="H41" t="s">
        <v>93</v>
      </c>
    </row>
    <row r="42" spans="1:8" x14ac:dyDescent="0.45">
      <c r="A42" t="s">
        <v>98</v>
      </c>
      <c r="B42">
        <v>1</v>
      </c>
      <c r="C42">
        <v>3.1154231364886891E-4</v>
      </c>
      <c r="D42">
        <v>3.807739389041731E-4</v>
      </c>
      <c r="E42" t="s">
        <v>85</v>
      </c>
      <c r="F42" t="s">
        <v>70</v>
      </c>
      <c r="G42">
        <v>1</v>
      </c>
      <c r="H42" t="s">
        <v>93</v>
      </c>
    </row>
    <row r="43" spans="1:8" x14ac:dyDescent="0.45">
      <c r="A43" t="s">
        <v>99</v>
      </c>
      <c r="B43">
        <v>1</v>
      </c>
      <c r="C43">
        <v>3.1154231364886891E-4</v>
      </c>
      <c r="D43">
        <v>3.807739389041731E-4</v>
      </c>
      <c r="E43" t="s">
        <v>85</v>
      </c>
      <c r="F43" t="s">
        <v>70</v>
      </c>
      <c r="G43">
        <v>2</v>
      </c>
      <c r="H43" t="s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63"/>
  <sheetViews>
    <sheetView workbookViewId="0">
      <selection activeCell="H12" sqref="H12"/>
    </sheetView>
  </sheetViews>
  <sheetFormatPr baseColWidth="10" defaultRowHeight="14.25" x14ac:dyDescent="0.45"/>
  <sheetData>
    <row r="1" spans="1:12" x14ac:dyDescent="0.45">
      <c r="A1" s="3" t="s">
        <v>100</v>
      </c>
      <c r="B1" s="3" t="s">
        <v>84</v>
      </c>
      <c r="C1" s="3" t="s">
        <v>86</v>
      </c>
      <c r="D1" s="3" t="s">
        <v>87</v>
      </c>
      <c r="E1" s="3" t="s">
        <v>88</v>
      </c>
      <c r="F1" s="3" t="s">
        <v>89</v>
      </c>
      <c r="G1" s="3" t="s">
        <v>90</v>
      </c>
      <c r="H1" s="3" t="s">
        <v>91</v>
      </c>
    </row>
    <row r="2" spans="1:12" x14ac:dyDescent="0.45">
      <c r="A2" s="3">
        <v>0</v>
      </c>
      <c r="B2" s="1">
        <v>5.5555555555555599E-4</v>
      </c>
      <c r="C2" s="1">
        <v>5.5555555555555599E-4</v>
      </c>
      <c r="D2" s="1">
        <v>5.5555555555555599E-4</v>
      </c>
      <c r="E2" s="1">
        <v>5.5555555555555599E-4</v>
      </c>
      <c r="F2" s="1">
        <v>5.5555555555555599E-4</v>
      </c>
      <c r="G2" s="1">
        <v>5.5555555555555599E-4</v>
      </c>
      <c r="H2" s="1">
        <v>5.5555555555555599E-4</v>
      </c>
      <c r="I2" s="1"/>
      <c r="J2" s="1"/>
      <c r="K2" s="1"/>
      <c r="L2" s="1"/>
    </row>
    <row r="3" spans="1:12" x14ac:dyDescent="0.45">
      <c r="A3" s="3">
        <v>3600000</v>
      </c>
      <c r="B3" s="1">
        <v>2.7777777777777799E-4</v>
      </c>
      <c r="C3" s="1">
        <v>2.7777777777777799E-4</v>
      </c>
      <c r="D3" s="1">
        <v>2.7777777777777799E-4</v>
      </c>
      <c r="E3" s="1">
        <v>2.7777777777777799E-4</v>
      </c>
      <c r="F3" s="1">
        <v>2.7777777777777799E-4</v>
      </c>
      <c r="G3" s="1">
        <v>2.7777777777777799E-4</v>
      </c>
      <c r="H3" s="1">
        <v>2.7777777777777799E-4</v>
      </c>
      <c r="I3" s="1"/>
      <c r="J3" s="1"/>
      <c r="K3" s="1"/>
      <c r="L3" s="1"/>
    </row>
    <row r="4" spans="1:12" x14ac:dyDescent="0.45">
      <c r="A4" s="3">
        <v>800000000</v>
      </c>
      <c r="B4" s="1">
        <v>2.7777777777777799E-4</v>
      </c>
      <c r="C4" s="1">
        <v>2.7777777777777799E-4</v>
      </c>
      <c r="D4" s="1">
        <v>2.7777777777777799E-4</v>
      </c>
      <c r="E4" s="1">
        <v>2.7777777777777799E-4</v>
      </c>
      <c r="F4" s="1">
        <v>2.7777777777777799E-4</v>
      </c>
      <c r="G4" s="1">
        <v>2.7777777777777799E-4</v>
      </c>
      <c r="H4" s="1">
        <v>2.7777777777777799E-4</v>
      </c>
    </row>
    <row r="5" spans="1:12" x14ac:dyDescent="0.45">
      <c r="B5" s="1"/>
      <c r="C5" s="1"/>
      <c r="D5" s="1"/>
      <c r="E5" s="1"/>
      <c r="F5" s="1"/>
    </row>
    <row r="7" spans="1:12" x14ac:dyDescent="0.45">
      <c r="B7" s="2"/>
      <c r="C7" s="2"/>
      <c r="D7" s="2"/>
      <c r="E7" s="2"/>
      <c r="F7" s="2"/>
    </row>
    <row r="8" spans="1:12" x14ac:dyDescent="0.45">
      <c r="B8" s="1"/>
      <c r="C8" s="1"/>
      <c r="D8" s="1"/>
      <c r="E8" s="1"/>
      <c r="F8" s="1"/>
      <c r="G8" s="1"/>
    </row>
    <row r="9" spans="1:12" x14ac:dyDescent="0.45">
      <c r="B9" s="1"/>
      <c r="C9" s="1"/>
      <c r="D9" s="1"/>
      <c r="E9" s="1"/>
      <c r="F9" s="1"/>
      <c r="G9" s="1"/>
    </row>
    <row r="10" spans="1:12" x14ac:dyDescent="0.45">
      <c r="B10" s="1"/>
      <c r="C10" s="1"/>
      <c r="D10" s="1"/>
      <c r="E10" s="1"/>
      <c r="F10" s="1"/>
      <c r="G10" s="1"/>
    </row>
    <row r="11" spans="1:12" x14ac:dyDescent="0.45">
      <c r="B11" s="1"/>
      <c r="C11" s="1"/>
      <c r="D11" s="1"/>
      <c r="E11" s="1"/>
      <c r="F11" s="1"/>
      <c r="G11" s="1"/>
    </row>
    <row r="12" spans="1:12" x14ac:dyDescent="0.45">
      <c r="B12" s="1"/>
      <c r="C12" s="1"/>
      <c r="D12" s="1"/>
      <c r="E12" s="1"/>
      <c r="F12" s="1"/>
      <c r="G12" s="1"/>
    </row>
    <row r="13" spans="1:12" x14ac:dyDescent="0.45">
      <c r="B13" s="1"/>
      <c r="C13" s="1"/>
      <c r="D13" s="1"/>
      <c r="E13" s="1"/>
      <c r="F13" s="1"/>
      <c r="G13" s="1"/>
    </row>
    <row r="14" spans="1:12" x14ac:dyDescent="0.45">
      <c r="B14" s="1"/>
      <c r="C14" s="1"/>
    </row>
    <row r="15" spans="1:12" x14ac:dyDescent="0.45">
      <c r="B15" s="1"/>
      <c r="C15" s="1"/>
    </row>
    <row r="16" spans="1:12" x14ac:dyDescent="0.45">
      <c r="B16" s="1"/>
      <c r="C16" s="1"/>
    </row>
    <row r="17" spans="2:7" x14ac:dyDescent="0.45">
      <c r="B17" s="1"/>
      <c r="C17" s="1"/>
      <c r="D17" s="1"/>
      <c r="E17" s="1"/>
      <c r="F17" s="1"/>
      <c r="G17" s="1"/>
    </row>
    <row r="18" spans="2:7" x14ac:dyDescent="0.45">
      <c r="B18" s="1"/>
      <c r="C18" s="1"/>
      <c r="D18" s="1"/>
      <c r="E18" s="1"/>
      <c r="F18" s="1"/>
      <c r="G18" s="1"/>
    </row>
    <row r="19" spans="2:7" x14ac:dyDescent="0.45">
      <c r="B19" s="1"/>
      <c r="C19" s="1"/>
      <c r="D19" s="1"/>
      <c r="E19" s="1"/>
      <c r="F19" s="1"/>
      <c r="G19" s="1"/>
    </row>
    <row r="20" spans="2:7" x14ac:dyDescent="0.45">
      <c r="B20" s="1"/>
      <c r="C20" s="1"/>
      <c r="D20" s="1"/>
      <c r="E20" s="1"/>
      <c r="F20" s="1"/>
      <c r="G20" s="1"/>
    </row>
    <row r="21" spans="2:7" x14ac:dyDescent="0.45">
      <c r="B21" s="1"/>
      <c r="C21" s="1"/>
      <c r="D21" s="1"/>
      <c r="E21" s="1"/>
      <c r="F21" s="1"/>
      <c r="G21" s="1"/>
    </row>
    <row r="22" spans="2:7" x14ac:dyDescent="0.45">
      <c r="B22" s="1"/>
      <c r="C22" s="1"/>
      <c r="D22" s="1"/>
      <c r="E22" s="1"/>
      <c r="F22" s="1"/>
      <c r="G22" s="1"/>
    </row>
    <row r="23" spans="2:7" x14ac:dyDescent="0.45">
      <c r="B23" s="1"/>
      <c r="C23" s="1"/>
      <c r="D23" s="1"/>
      <c r="E23" s="1"/>
      <c r="F23" s="1"/>
      <c r="G23" s="1"/>
    </row>
    <row r="24" spans="2:7" x14ac:dyDescent="0.45">
      <c r="B24" s="1"/>
      <c r="C24" s="1"/>
      <c r="D24" s="1"/>
      <c r="E24" s="1"/>
      <c r="F24" s="1"/>
      <c r="G24" s="1"/>
    </row>
    <row r="25" spans="2:7" x14ac:dyDescent="0.45">
      <c r="B25" s="1"/>
      <c r="C25" s="1"/>
      <c r="D25" s="1"/>
      <c r="E25" s="1"/>
      <c r="F25" s="1"/>
      <c r="G25" s="1"/>
    </row>
    <row r="26" spans="2:7" x14ac:dyDescent="0.45">
      <c r="B26" s="1"/>
      <c r="C26" s="1"/>
      <c r="D26" s="1"/>
      <c r="E26" s="1"/>
      <c r="F26" s="1"/>
      <c r="G26" s="1"/>
    </row>
    <row r="27" spans="2:7" x14ac:dyDescent="0.45">
      <c r="B27" s="1"/>
      <c r="C27" s="1"/>
      <c r="D27" s="1"/>
      <c r="E27" s="1"/>
      <c r="F27" s="1"/>
      <c r="G27" s="1"/>
    </row>
    <row r="28" spans="2:7" x14ac:dyDescent="0.45">
      <c r="B28" s="1"/>
      <c r="C28" s="1"/>
      <c r="D28" s="1"/>
      <c r="E28" s="1"/>
      <c r="F28" s="1"/>
      <c r="G28" s="1"/>
    </row>
    <row r="29" spans="2:7" x14ac:dyDescent="0.45">
      <c r="B29" s="1"/>
      <c r="C29" s="1"/>
      <c r="D29" s="1"/>
      <c r="E29" s="1"/>
      <c r="F29" s="1"/>
      <c r="G29" s="1"/>
    </row>
    <row r="30" spans="2:7" x14ac:dyDescent="0.45">
      <c r="B30" s="1"/>
      <c r="C30" s="1"/>
      <c r="D30" s="1"/>
      <c r="E30" s="1"/>
      <c r="F30" s="1"/>
      <c r="G30" s="1"/>
    </row>
    <row r="31" spans="2:7" x14ac:dyDescent="0.45">
      <c r="B31" s="1"/>
      <c r="C31" s="1"/>
      <c r="D31" s="1"/>
      <c r="E31" s="1"/>
      <c r="F31" s="1"/>
      <c r="G31" s="1"/>
    </row>
    <row r="32" spans="2:7" x14ac:dyDescent="0.45">
      <c r="B32" s="1"/>
      <c r="C32" s="1"/>
      <c r="D32" s="1"/>
      <c r="E32" s="1"/>
      <c r="F32" s="1"/>
      <c r="G32" s="1"/>
    </row>
    <row r="33" spans="2:7" x14ac:dyDescent="0.45">
      <c r="B33" s="1"/>
      <c r="C33" s="1"/>
      <c r="D33" s="1"/>
      <c r="E33" s="1"/>
      <c r="F33" s="1"/>
      <c r="G33" s="1"/>
    </row>
    <row r="34" spans="2:7" x14ac:dyDescent="0.45">
      <c r="B34" s="1"/>
      <c r="C34" s="1"/>
      <c r="D34" s="1"/>
      <c r="E34" s="1"/>
      <c r="F34" s="1"/>
      <c r="G34" s="1"/>
    </row>
    <row r="35" spans="2:7" x14ac:dyDescent="0.45">
      <c r="B35" s="1"/>
      <c r="C35" s="1"/>
      <c r="D35" s="1"/>
      <c r="E35" s="1"/>
      <c r="F35" s="1"/>
      <c r="G35" s="1"/>
    </row>
    <row r="36" spans="2:7" x14ac:dyDescent="0.45">
      <c r="B36" s="1"/>
      <c r="C36" s="1"/>
      <c r="D36" s="1"/>
      <c r="E36" s="1"/>
      <c r="F36" s="1"/>
      <c r="G36" s="1"/>
    </row>
    <row r="37" spans="2:7" x14ac:dyDescent="0.45">
      <c r="B37" s="1"/>
      <c r="C37" s="1"/>
      <c r="D37" s="1"/>
      <c r="E37" s="1"/>
      <c r="F37" s="1"/>
      <c r="G37" s="1"/>
    </row>
    <row r="38" spans="2:7" x14ac:dyDescent="0.45">
      <c r="B38" s="1"/>
      <c r="C38" s="1"/>
      <c r="D38" s="1"/>
      <c r="E38" s="1"/>
      <c r="F38" s="1"/>
      <c r="G38" s="1"/>
    </row>
    <row r="39" spans="2:7" x14ac:dyDescent="0.45">
      <c r="B39" s="1"/>
      <c r="C39" s="1"/>
      <c r="D39" s="1"/>
      <c r="E39" s="1"/>
      <c r="F39" s="1"/>
      <c r="G39" s="1"/>
    </row>
    <row r="40" spans="2:7" x14ac:dyDescent="0.45">
      <c r="B40" s="1"/>
      <c r="C40" s="1"/>
      <c r="D40" s="1"/>
      <c r="E40" s="1"/>
      <c r="F40" s="1"/>
      <c r="G40" s="1"/>
    </row>
    <row r="41" spans="2:7" x14ac:dyDescent="0.45">
      <c r="B41" s="1"/>
      <c r="C41" s="1"/>
      <c r="D41" s="1"/>
      <c r="E41" s="1"/>
      <c r="F41" s="1"/>
      <c r="G41" s="1"/>
    </row>
    <row r="42" spans="2:7" x14ac:dyDescent="0.45">
      <c r="B42" s="1"/>
      <c r="C42" s="1"/>
      <c r="D42" s="1"/>
      <c r="E42" s="1"/>
      <c r="F42" s="1"/>
      <c r="G42" s="1"/>
    </row>
    <row r="43" spans="2:7" x14ac:dyDescent="0.45">
      <c r="B43" s="1"/>
      <c r="C43" s="1"/>
      <c r="D43" s="1"/>
      <c r="E43" s="1"/>
      <c r="F43" s="1"/>
      <c r="G43" s="1"/>
    </row>
    <row r="44" spans="2:7" x14ac:dyDescent="0.45">
      <c r="B44" s="1"/>
      <c r="C44" s="1"/>
      <c r="D44" s="1"/>
      <c r="E44" s="1"/>
      <c r="F44" s="1"/>
      <c r="G44" s="1"/>
    </row>
    <row r="45" spans="2:7" x14ac:dyDescent="0.45">
      <c r="B45" s="1"/>
      <c r="C45" s="1"/>
      <c r="D45" s="1"/>
      <c r="E45" s="1"/>
      <c r="F45" s="1"/>
      <c r="G45" s="1"/>
    </row>
    <row r="46" spans="2:7" x14ac:dyDescent="0.45">
      <c r="B46" s="1"/>
      <c r="C46" s="1"/>
      <c r="D46" s="1"/>
      <c r="E46" s="1"/>
      <c r="F46" s="1"/>
      <c r="G46" s="1"/>
    </row>
    <row r="47" spans="2:7" x14ac:dyDescent="0.45">
      <c r="B47" s="1"/>
      <c r="C47" s="1"/>
      <c r="D47" s="1"/>
      <c r="E47" s="1"/>
      <c r="F47" s="1"/>
      <c r="G47" s="1"/>
    </row>
    <row r="48" spans="2:7" x14ac:dyDescent="0.45">
      <c r="B48" s="1"/>
      <c r="C48" s="1"/>
      <c r="D48" s="1"/>
      <c r="E48" s="1"/>
      <c r="F48" s="1"/>
      <c r="G48" s="1"/>
    </row>
    <row r="49" spans="2:7" x14ac:dyDescent="0.45">
      <c r="B49" s="1"/>
      <c r="C49" s="1"/>
      <c r="D49" s="1"/>
      <c r="E49" s="1"/>
      <c r="F49" s="1"/>
      <c r="G49" s="1"/>
    </row>
    <row r="50" spans="2:7" x14ac:dyDescent="0.45">
      <c r="B50" s="1"/>
      <c r="C50" s="1"/>
      <c r="D50" s="1"/>
      <c r="E50" s="1"/>
      <c r="F50" s="1"/>
      <c r="G50" s="1"/>
    </row>
    <row r="51" spans="2:7" x14ac:dyDescent="0.45">
      <c r="B51" s="1"/>
      <c r="C51" s="1"/>
      <c r="D51" s="1"/>
      <c r="E51" s="1"/>
      <c r="F51" s="1"/>
      <c r="G51" s="1"/>
    </row>
    <row r="52" spans="2:7" x14ac:dyDescent="0.45">
      <c r="B52" s="1"/>
      <c r="C52" s="1"/>
      <c r="D52" s="1"/>
      <c r="E52" s="1"/>
      <c r="F52" s="1"/>
      <c r="G52" s="1"/>
    </row>
    <row r="53" spans="2:7" x14ac:dyDescent="0.45">
      <c r="B53" s="1"/>
      <c r="C53" s="1"/>
      <c r="D53" s="1"/>
      <c r="E53" s="1"/>
      <c r="F53" s="1"/>
      <c r="G53" s="1"/>
    </row>
    <row r="54" spans="2:7" x14ac:dyDescent="0.45">
      <c r="B54" s="1"/>
      <c r="C54" s="1"/>
      <c r="D54" s="1"/>
      <c r="E54" s="1"/>
      <c r="F54" s="1"/>
      <c r="G54" s="1"/>
    </row>
    <row r="55" spans="2:7" x14ac:dyDescent="0.45">
      <c r="B55" s="1"/>
      <c r="C55" s="1"/>
      <c r="D55" s="1"/>
      <c r="E55" s="1"/>
      <c r="F55" s="1"/>
      <c r="G55" s="1"/>
    </row>
    <row r="56" spans="2:7" x14ac:dyDescent="0.45">
      <c r="B56" s="1"/>
      <c r="C56" s="1"/>
      <c r="D56" s="1"/>
      <c r="E56" s="1"/>
      <c r="F56" s="1"/>
      <c r="G56" s="1"/>
    </row>
    <row r="57" spans="2:7" x14ac:dyDescent="0.45">
      <c r="B57" s="1"/>
      <c r="C57" s="1"/>
      <c r="D57" s="1"/>
      <c r="E57" s="1"/>
      <c r="F57" s="1"/>
      <c r="G57" s="1"/>
    </row>
    <row r="58" spans="2:7" x14ac:dyDescent="0.45">
      <c r="B58" s="1"/>
      <c r="C58" s="1"/>
      <c r="D58" s="1"/>
      <c r="E58" s="1"/>
      <c r="F58" s="1"/>
      <c r="G58" s="1"/>
    </row>
    <row r="59" spans="2:7" x14ac:dyDescent="0.45">
      <c r="B59" s="1"/>
      <c r="C59" s="1"/>
      <c r="D59" s="1"/>
      <c r="E59" s="1"/>
      <c r="F59" s="1"/>
      <c r="G59" s="1"/>
    </row>
    <row r="60" spans="2:7" x14ac:dyDescent="0.45">
      <c r="B60" s="1"/>
      <c r="C60" s="1"/>
      <c r="D60" s="1"/>
      <c r="E60" s="1"/>
      <c r="F60" s="1"/>
      <c r="G60" s="1"/>
    </row>
    <row r="61" spans="2:7" x14ac:dyDescent="0.45">
      <c r="B61" s="1"/>
      <c r="C61" s="1"/>
      <c r="D61" s="1"/>
      <c r="E61" s="1"/>
      <c r="F61" s="1"/>
      <c r="G61" s="1"/>
    </row>
    <row r="62" spans="2:7" x14ac:dyDescent="0.45">
      <c r="B62" s="1"/>
      <c r="C62" s="1"/>
      <c r="D62" s="1"/>
      <c r="E62" s="1"/>
      <c r="F62" s="1"/>
      <c r="G62" s="1"/>
    </row>
    <row r="63" spans="2:7" x14ac:dyDescent="0.45">
      <c r="B63" s="1"/>
      <c r="C63" s="1"/>
      <c r="D63" s="1"/>
      <c r="E63" s="1"/>
      <c r="F63" s="1"/>
      <c r="G63" s="1"/>
    </row>
    <row r="64" spans="2:7" x14ac:dyDescent="0.45">
      <c r="B64" s="1"/>
      <c r="C64" s="1"/>
      <c r="D64" s="1"/>
      <c r="E64" s="1"/>
      <c r="F64" s="1"/>
      <c r="G64" s="1"/>
    </row>
    <row r="65" spans="2:7" x14ac:dyDescent="0.45">
      <c r="B65" s="1"/>
      <c r="C65" s="1"/>
      <c r="D65" s="1"/>
      <c r="E65" s="1"/>
      <c r="F65" s="1"/>
      <c r="G65" s="1"/>
    </row>
    <row r="66" spans="2:7" x14ac:dyDescent="0.45">
      <c r="B66" s="1"/>
      <c r="C66" s="1"/>
      <c r="D66" s="1"/>
      <c r="E66" s="1"/>
      <c r="F66" s="1"/>
      <c r="G66" s="1"/>
    </row>
    <row r="67" spans="2:7" x14ac:dyDescent="0.45">
      <c r="B67" s="1"/>
      <c r="C67" s="1"/>
      <c r="D67" s="1"/>
      <c r="E67" s="1"/>
      <c r="F67" s="1"/>
      <c r="G67" s="1"/>
    </row>
    <row r="68" spans="2:7" x14ac:dyDescent="0.45">
      <c r="B68" s="1"/>
      <c r="C68" s="1"/>
      <c r="D68" s="1"/>
      <c r="E68" s="1"/>
      <c r="F68" s="1"/>
      <c r="G68" s="1"/>
    </row>
    <row r="69" spans="2:7" x14ac:dyDescent="0.45">
      <c r="B69" s="1"/>
      <c r="C69" s="1"/>
      <c r="D69" s="1"/>
      <c r="E69" s="1"/>
      <c r="F69" s="1"/>
      <c r="G69" s="1"/>
    </row>
    <row r="70" spans="2:7" x14ac:dyDescent="0.45">
      <c r="B70" s="1"/>
      <c r="C70" s="1"/>
      <c r="D70" s="1"/>
      <c r="E70" s="1"/>
      <c r="F70" s="1"/>
      <c r="G70" s="1"/>
    </row>
    <row r="71" spans="2:7" x14ac:dyDescent="0.45">
      <c r="B71" s="1"/>
      <c r="C71" s="1"/>
      <c r="D71" s="1"/>
      <c r="E71" s="1"/>
      <c r="F71" s="1"/>
      <c r="G71" s="1"/>
    </row>
    <row r="72" spans="2:7" x14ac:dyDescent="0.45">
      <c r="B72" s="1"/>
      <c r="C72" s="1"/>
      <c r="D72" s="1"/>
      <c r="E72" s="1"/>
      <c r="F72" s="1"/>
      <c r="G72" s="1"/>
    </row>
    <row r="73" spans="2:7" x14ac:dyDescent="0.45">
      <c r="B73" s="1"/>
      <c r="C73" s="1"/>
      <c r="D73" s="1"/>
      <c r="E73" s="1"/>
      <c r="F73" s="1"/>
      <c r="G73" s="1"/>
    </row>
    <row r="74" spans="2:7" x14ac:dyDescent="0.45">
      <c r="B74" s="1"/>
      <c r="C74" s="1"/>
      <c r="D74" s="1"/>
      <c r="E74" s="1"/>
      <c r="F74" s="1"/>
      <c r="G74" s="1"/>
    </row>
    <row r="75" spans="2:7" x14ac:dyDescent="0.45">
      <c r="B75" s="1"/>
      <c r="C75" s="1"/>
      <c r="D75" s="1"/>
      <c r="E75" s="1"/>
      <c r="F75" s="1"/>
      <c r="G75" s="1"/>
    </row>
    <row r="76" spans="2:7" x14ac:dyDescent="0.45">
      <c r="B76" s="1"/>
      <c r="C76" s="1"/>
      <c r="D76" s="1"/>
      <c r="E76" s="1"/>
      <c r="F76" s="1"/>
      <c r="G76" s="1"/>
    </row>
    <row r="77" spans="2:7" x14ac:dyDescent="0.45">
      <c r="B77" s="1"/>
      <c r="C77" s="1"/>
      <c r="D77" s="1"/>
      <c r="E77" s="1"/>
      <c r="F77" s="1"/>
      <c r="G77" s="1"/>
    </row>
    <row r="78" spans="2:7" x14ac:dyDescent="0.45">
      <c r="B78" s="1"/>
      <c r="C78" s="1"/>
      <c r="D78" s="1"/>
      <c r="E78" s="1"/>
      <c r="F78" s="1"/>
      <c r="G78" s="1"/>
    </row>
    <row r="79" spans="2:7" x14ac:dyDescent="0.45">
      <c r="B79" s="1"/>
      <c r="C79" s="1"/>
      <c r="D79" s="1"/>
      <c r="E79" s="1"/>
      <c r="F79" s="1"/>
      <c r="G79" s="1"/>
    </row>
    <row r="80" spans="2:7" x14ac:dyDescent="0.45">
      <c r="B80" s="1"/>
      <c r="C80" s="1"/>
      <c r="D80" s="1"/>
      <c r="E80" s="1"/>
      <c r="F80" s="1"/>
      <c r="G80" s="1"/>
    </row>
    <row r="81" spans="2:7" x14ac:dyDescent="0.45">
      <c r="B81" s="1"/>
      <c r="C81" s="1"/>
      <c r="D81" s="1"/>
      <c r="E81" s="1"/>
      <c r="F81" s="1"/>
      <c r="G81" s="1"/>
    </row>
    <row r="82" spans="2:7" x14ac:dyDescent="0.45">
      <c r="B82" s="1"/>
      <c r="C82" s="1"/>
      <c r="D82" s="1"/>
      <c r="E82" s="1"/>
      <c r="F82" s="1"/>
      <c r="G82" s="1"/>
    </row>
    <row r="83" spans="2:7" x14ac:dyDescent="0.45">
      <c r="B83" s="1"/>
      <c r="C83" s="1"/>
      <c r="D83" s="1"/>
      <c r="E83" s="1"/>
      <c r="F83" s="1"/>
      <c r="G83" s="1"/>
    </row>
    <row r="84" spans="2:7" x14ac:dyDescent="0.45">
      <c r="B84" s="1"/>
      <c r="C84" s="1"/>
      <c r="D84" s="1"/>
      <c r="E84" s="1"/>
      <c r="F84" s="1"/>
      <c r="G84" s="1"/>
    </row>
    <row r="85" spans="2:7" x14ac:dyDescent="0.45">
      <c r="B85" s="1"/>
      <c r="C85" s="1"/>
      <c r="D85" s="1"/>
      <c r="E85" s="1"/>
      <c r="F85" s="1"/>
      <c r="G85" s="1"/>
    </row>
    <row r="86" spans="2:7" x14ac:dyDescent="0.45">
      <c r="B86" s="1"/>
      <c r="C86" s="1"/>
      <c r="D86" s="1"/>
      <c r="E86" s="1"/>
      <c r="F86" s="1"/>
      <c r="G86" s="1"/>
    </row>
    <row r="87" spans="2:7" x14ac:dyDescent="0.45">
      <c r="B87" s="1"/>
      <c r="C87" s="1"/>
      <c r="D87" s="1"/>
      <c r="E87" s="1"/>
      <c r="F87" s="1"/>
      <c r="G87" s="1"/>
    </row>
    <row r="88" spans="2:7" x14ac:dyDescent="0.45">
      <c r="B88" s="1"/>
      <c r="C88" s="1"/>
      <c r="D88" s="1"/>
      <c r="E88" s="1"/>
      <c r="F88" s="1"/>
      <c r="G88" s="1"/>
    </row>
    <row r="89" spans="2:7" x14ac:dyDescent="0.45">
      <c r="B89" s="1"/>
      <c r="C89" s="1"/>
      <c r="D89" s="1"/>
      <c r="E89" s="1"/>
      <c r="F89" s="1"/>
      <c r="G89" s="1"/>
    </row>
    <row r="90" spans="2:7" x14ac:dyDescent="0.45">
      <c r="B90" s="1"/>
      <c r="C90" s="1"/>
      <c r="D90" s="1"/>
      <c r="E90" s="1"/>
      <c r="F90" s="1"/>
      <c r="G90" s="1"/>
    </row>
    <row r="91" spans="2:7" x14ac:dyDescent="0.45">
      <c r="B91" s="1"/>
      <c r="C91" s="1"/>
      <c r="D91" s="1"/>
      <c r="E91" s="1"/>
      <c r="F91" s="1"/>
      <c r="G91" s="1"/>
    </row>
    <row r="92" spans="2:7" x14ac:dyDescent="0.45">
      <c r="B92" s="1"/>
      <c r="C92" s="1"/>
      <c r="D92" s="1"/>
      <c r="E92" s="1"/>
      <c r="F92" s="1"/>
      <c r="G92" s="1"/>
    </row>
    <row r="93" spans="2:7" x14ac:dyDescent="0.45">
      <c r="B93" s="1"/>
      <c r="C93" s="1"/>
      <c r="D93" s="1"/>
      <c r="E93" s="1"/>
      <c r="F93" s="1"/>
      <c r="G93" s="1"/>
    </row>
    <row r="94" spans="2:7" x14ac:dyDescent="0.45">
      <c r="B94" s="1"/>
      <c r="C94" s="1"/>
      <c r="D94" s="1"/>
      <c r="E94" s="1"/>
      <c r="F94" s="1"/>
      <c r="G94" s="1"/>
    </row>
    <row r="95" spans="2:7" x14ac:dyDescent="0.45">
      <c r="B95" s="1"/>
      <c r="C95" s="1"/>
      <c r="D95" s="1"/>
      <c r="E95" s="1"/>
      <c r="F95" s="1"/>
      <c r="G95" s="1"/>
    </row>
    <row r="96" spans="2:7" x14ac:dyDescent="0.45">
      <c r="B96" s="1"/>
      <c r="C96" s="1"/>
      <c r="D96" s="1"/>
      <c r="E96" s="1"/>
      <c r="F96" s="1"/>
      <c r="G96" s="1"/>
    </row>
    <row r="97" spans="2:7" x14ac:dyDescent="0.45">
      <c r="B97" s="1"/>
      <c r="C97" s="1"/>
      <c r="D97" s="1"/>
      <c r="E97" s="1"/>
      <c r="F97" s="1"/>
      <c r="G97" s="1"/>
    </row>
    <row r="98" spans="2:7" x14ac:dyDescent="0.45">
      <c r="B98" s="1"/>
      <c r="C98" s="1"/>
      <c r="D98" s="1"/>
      <c r="E98" s="1"/>
      <c r="F98" s="1"/>
      <c r="G98" s="1"/>
    </row>
    <row r="99" spans="2:7" x14ac:dyDescent="0.45">
      <c r="B99" s="1"/>
      <c r="C99" s="1"/>
      <c r="D99" s="1"/>
      <c r="E99" s="1"/>
      <c r="F99" s="1"/>
      <c r="G99" s="1"/>
    </row>
    <row r="100" spans="2:7" x14ac:dyDescent="0.45">
      <c r="B100" s="1"/>
      <c r="C100" s="1"/>
      <c r="D100" s="1"/>
      <c r="E100" s="1"/>
      <c r="F100" s="1"/>
      <c r="G100" s="1"/>
    </row>
    <row r="101" spans="2:7" x14ac:dyDescent="0.45">
      <c r="B101" s="1"/>
      <c r="C101" s="1"/>
      <c r="D101" s="1"/>
      <c r="E101" s="1"/>
      <c r="F101" s="1"/>
      <c r="G101" s="1"/>
    </row>
    <row r="102" spans="2:7" x14ac:dyDescent="0.45">
      <c r="B102" s="1"/>
      <c r="C102" s="1"/>
      <c r="D102" s="1"/>
      <c r="E102" s="1"/>
      <c r="F102" s="1"/>
      <c r="G102" s="1"/>
    </row>
    <row r="103" spans="2:7" x14ac:dyDescent="0.45">
      <c r="B103" s="1"/>
      <c r="C103" s="1"/>
      <c r="D103" s="1"/>
      <c r="E103" s="1"/>
      <c r="F103" s="1"/>
      <c r="G103" s="1"/>
    </row>
    <row r="104" spans="2:7" x14ac:dyDescent="0.45">
      <c r="B104" s="1"/>
      <c r="C104" s="1"/>
      <c r="D104" s="1"/>
      <c r="E104" s="1"/>
      <c r="F104" s="1"/>
      <c r="G104" s="1"/>
    </row>
    <row r="105" spans="2:7" x14ac:dyDescent="0.45">
      <c r="B105" s="1"/>
      <c r="C105" s="1"/>
      <c r="D105" s="1"/>
      <c r="E105" s="1"/>
      <c r="F105" s="1"/>
      <c r="G105" s="1"/>
    </row>
    <row r="106" spans="2:7" x14ac:dyDescent="0.45">
      <c r="B106" s="1"/>
      <c r="C106" s="1"/>
      <c r="D106" s="1"/>
      <c r="E106" s="1"/>
      <c r="F106" s="1"/>
      <c r="G106" s="1"/>
    </row>
    <row r="107" spans="2:7" x14ac:dyDescent="0.45">
      <c r="B107" s="1"/>
      <c r="C107" s="1"/>
      <c r="D107" s="1"/>
      <c r="E107" s="1"/>
      <c r="F107" s="1"/>
      <c r="G107" s="1"/>
    </row>
    <row r="108" spans="2:7" x14ac:dyDescent="0.45">
      <c r="B108" s="1"/>
      <c r="C108" s="1"/>
      <c r="D108" s="1"/>
      <c r="E108" s="1"/>
      <c r="F108" s="1"/>
      <c r="G108" s="1"/>
    </row>
    <row r="109" spans="2:7" x14ac:dyDescent="0.45">
      <c r="B109" s="1"/>
      <c r="C109" s="1"/>
      <c r="D109" s="1"/>
      <c r="E109" s="1"/>
      <c r="F109" s="1"/>
      <c r="G109" s="1"/>
    </row>
    <row r="110" spans="2:7" x14ac:dyDescent="0.45">
      <c r="B110" s="1"/>
      <c r="C110" s="1"/>
      <c r="D110" s="1"/>
      <c r="E110" s="1"/>
      <c r="F110" s="1"/>
      <c r="G110" s="1"/>
    </row>
    <row r="111" spans="2:7" x14ac:dyDescent="0.45">
      <c r="B111" s="1"/>
      <c r="C111" s="1"/>
      <c r="D111" s="1"/>
      <c r="E111" s="1"/>
      <c r="F111" s="1"/>
      <c r="G111" s="1"/>
    </row>
    <row r="112" spans="2:7" x14ac:dyDescent="0.45">
      <c r="B112" s="1"/>
      <c r="C112" s="1"/>
      <c r="D112" s="1"/>
      <c r="E112" s="1"/>
      <c r="F112" s="1"/>
      <c r="G112" s="1"/>
    </row>
    <row r="113" spans="2:7" x14ac:dyDescent="0.45">
      <c r="B113" s="1"/>
      <c r="C113" s="1"/>
      <c r="D113" s="1"/>
      <c r="E113" s="1"/>
      <c r="F113" s="1"/>
      <c r="G113" s="1"/>
    </row>
    <row r="114" spans="2:7" x14ac:dyDescent="0.45">
      <c r="B114" s="1"/>
      <c r="C114" s="1"/>
      <c r="D114" s="1"/>
      <c r="E114" s="1"/>
      <c r="F114" s="1"/>
      <c r="G114" s="1"/>
    </row>
    <row r="115" spans="2:7" x14ac:dyDescent="0.45">
      <c r="B115" s="1"/>
      <c r="C115" s="1"/>
      <c r="D115" s="1"/>
      <c r="E115" s="1"/>
      <c r="F115" s="1"/>
      <c r="G115" s="1"/>
    </row>
    <row r="116" spans="2:7" x14ac:dyDescent="0.45">
      <c r="B116" s="1"/>
      <c r="C116" s="1"/>
      <c r="D116" s="1"/>
      <c r="E116" s="1"/>
      <c r="F116" s="1"/>
      <c r="G116" s="1"/>
    </row>
    <row r="117" spans="2:7" x14ac:dyDescent="0.45">
      <c r="B117" s="1"/>
      <c r="C117" s="1"/>
      <c r="D117" s="1"/>
      <c r="E117" s="1"/>
      <c r="F117" s="1"/>
      <c r="G117" s="1"/>
    </row>
    <row r="118" spans="2:7" x14ac:dyDescent="0.45">
      <c r="B118" s="1"/>
      <c r="C118" s="1"/>
      <c r="D118" s="1"/>
      <c r="E118" s="1"/>
      <c r="F118" s="1"/>
      <c r="G118" s="1"/>
    </row>
    <row r="119" spans="2:7" x14ac:dyDescent="0.45">
      <c r="B119" s="1"/>
      <c r="C119" s="1"/>
      <c r="D119" s="1"/>
      <c r="E119" s="1"/>
      <c r="F119" s="1"/>
      <c r="G119" s="1"/>
    </row>
    <row r="120" spans="2:7" x14ac:dyDescent="0.45">
      <c r="B120" s="1"/>
      <c r="C120" s="1"/>
      <c r="D120" s="1"/>
      <c r="E120" s="1"/>
      <c r="F120" s="1"/>
      <c r="G120" s="1"/>
    </row>
    <row r="121" spans="2:7" x14ac:dyDescent="0.45">
      <c r="B121" s="1"/>
      <c r="C121" s="1"/>
      <c r="D121" s="1"/>
      <c r="E121" s="1"/>
      <c r="F121" s="1"/>
      <c r="G121" s="1"/>
    </row>
    <row r="122" spans="2:7" x14ac:dyDescent="0.45">
      <c r="B122" s="1"/>
      <c r="C122" s="1"/>
      <c r="D122" s="1"/>
      <c r="E122" s="1"/>
      <c r="F122" s="1"/>
      <c r="G122" s="1"/>
    </row>
    <row r="123" spans="2:7" x14ac:dyDescent="0.45">
      <c r="B123" s="1"/>
      <c r="C123" s="1"/>
      <c r="D123" s="1"/>
      <c r="E123" s="1"/>
      <c r="F123" s="1"/>
      <c r="G123" s="1"/>
    </row>
    <row r="124" spans="2:7" x14ac:dyDescent="0.45">
      <c r="B124" s="1"/>
      <c r="C124" s="1"/>
      <c r="D124" s="1"/>
      <c r="E124" s="1"/>
      <c r="F124" s="1"/>
      <c r="G124" s="1"/>
    </row>
    <row r="125" spans="2:7" x14ac:dyDescent="0.45">
      <c r="B125" s="1"/>
      <c r="C125" s="1"/>
      <c r="D125" s="1"/>
      <c r="E125" s="1"/>
      <c r="F125" s="1"/>
      <c r="G125" s="1"/>
    </row>
    <row r="126" spans="2:7" x14ac:dyDescent="0.45">
      <c r="B126" s="1"/>
      <c r="C126" s="1"/>
      <c r="D126" s="1"/>
      <c r="E126" s="1"/>
      <c r="F126" s="1"/>
      <c r="G126" s="1"/>
    </row>
    <row r="127" spans="2:7" x14ac:dyDescent="0.45">
      <c r="B127" s="1"/>
      <c r="C127" s="1"/>
      <c r="D127" s="1"/>
      <c r="E127" s="1"/>
      <c r="F127" s="1"/>
      <c r="G127" s="1"/>
    </row>
    <row r="128" spans="2:7" x14ac:dyDescent="0.45">
      <c r="B128" s="1"/>
      <c r="C128" s="1"/>
      <c r="D128" s="1"/>
      <c r="E128" s="1"/>
      <c r="F128" s="1"/>
      <c r="G128" s="1"/>
    </row>
    <row r="129" spans="2:7" x14ac:dyDescent="0.45">
      <c r="B129" s="1"/>
      <c r="C129" s="1"/>
      <c r="D129" s="1"/>
      <c r="E129" s="1"/>
      <c r="F129" s="1"/>
      <c r="G129" s="1"/>
    </row>
    <row r="130" spans="2:7" x14ac:dyDescent="0.45">
      <c r="B130" s="1"/>
      <c r="C130" s="1"/>
      <c r="D130" s="1"/>
      <c r="E130" s="1"/>
      <c r="F130" s="1"/>
      <c r="G130" s="1"/>
    </row>
    <row r="131" spans="2:7" x14ac:dyDescent="0.45">
      <c r="B131" s="1"/>
      <c r="C131" s="1"/>
      <c r="D131" s="1"/>
      <c r="E131" s="1"/>
      <c r="F131" s="1"/>
      <c r="G131" s="1"/>
    </row>
    <row r="132" spans="2:7" x14ac:dyDescent="0.45">
      <c r="B132" s="1"/>
      <c r="C132" s="1"/>
      <c r="D132" s="1"/>
      <c r="E132" s="1"/>
      <c r="F132" s="1"/>
      <c r="G132" s="1"/>
    </row>
    <row r="133" spans="2:7" x14ac:dyDescent="0.45">
      <c r="B133" s="1"/>
      <c r="C133" s="1"/>
      <c r="D133" s="1"/>
      <c r="E133" s="1"/>
      <c r="F133" s="1"/>
      <c r="G133" s="1"/>
    </row>
    <row r="134" spans="2:7" x14ac:dyDescent="0.45">
      <c r="B134" s="1"/>
      <c r="C134" s="1"/>
      <c r="D134" s="1"/>
      <c r="E134" s="1"/>
      <c r="F134" s="1"/>
      <c r="G134" s="1"/>
    </row>
    <row r="135" spans="2:7" x14ac:dyDescent="0.45">
      <c r="B135" s="1"/>
      <c r="C135" s="1"/>
      <c r="D135" s="1"/>
      <c r="E135" s="1"/>
      <c r="F135" s="1"/>
      <c r="G135" s="1"/>
    </row>
    <row r="136" spans="2:7" x14ac:dyDescent="0.45">
      <c r="B136" s="1"/>
      <c r="C136" s="1"/>
      <c r="D136" s="1"/>
      <c r="E136" s="1"/>
      <c r="F136" s="1"/>
      <c r="G136" s="1"/>
    </row>
    <row r="137" spans="2:7" x14ac:dyDescent="0.45">
      <c r="B137" s="1"/>
      <c r="C137" s="1"/>
      <c r="D137" s="1"/>
      <c r="E137" s="1"/>
      <c r="F137" s="1"/>
      <c r="G137" s="1"/>
    </row>
    <row r="138" spans="2:7" x14ac:dyDescent="0.45">
      <c r="B138" s="1"/>
      <c r="C138" s="1"/>
      <c r="D138" s="1"/>
      <c r="E138" s="1"/>
      <c r="F138" s="1"/>
      <c r="G138" s="1"/>
    </row>
    <row r="139" spans="2:7" x14ac:dyDescent="0.45">
      <c r="B139" s="1"/>
      <c r="C139" s="1"/>
      <c r="D139" s="1"/>
      <c r="E139" s="1"/>
      <c r="F139" s="1"/>
      <c r="G139" s="1"/>
    </row>
    <row r="140" spans="2:7" x14ac:dyDescent="0.45">
      <c r="B140" s="1"/>
      <c r="C140" s="1"/>
      <c r="D140" s="1"/>
      <c r="E140" s="1"/>
      <c r="F140" s="1"/>
      <c r="G140" s="1"/>
    </row>
    <row r="141" spans="2:7" x14ac:dyDescent="0.45">
      <c r="B141" s="1"/>
      <c r="C141" s="1"/>
      <c r="D141" s="1"/>
      <c r="E141" s="1"/>
      <c r="F141" s="1"/>
      <c r="G141" s="1"/>
    </row>
    <row r="142" spans="2:7" x14ac:dyDescent="0.45">
      <c r="B142" s="1"/>
      <c r="C142" s="1"/>
      <c r="D142" s="1"/>
      <c r="E142" s="1"/>
      <c r="F142" s="1"/>
      <c r="G142" s="1"/>
    </row>
    <row r="143" spans="2:7" x14ac:dyDescent="0.45">
      <c r="B143" s="1"/>
      <c r="C143" s="1"/>
      <c r="D143" s="1"/>
      <c r="E143" s="1"/>
      <c r="F143" s="1"/>
      <c r="G143" s="1"/>
    </row>
    <row r="144" spans="2:7" x14ac:dyDescent="0.45">
      <c r="B144" s="1"/>
      <c r="C144" s="1"/>
      <c r="D144" s="1"/>
      <c r="E144" s="1"/>
      <c r="F144" s="1"/>
      <c r="G144" s="1"/>
    </row>
    <row r="145" spans="2:7" x14ac:dyDescent="0.45">
      <c r="B145" s="1"/>
      <c r="C145" s="1"/>
      <c r="D145" s="1"/>
      <c r="E145" s="1"/>
      <c r="F145" s="1"/>
      <c r="G145" s="1"/>
    </row>
    <row r="146" spans="2:7" x14ac:dyDescent="0.45">
      <c r="B146" s="1"/>
      <c r="C146" s="1"/>
      <c r="D146" s="1"/>
      <c r="E146" s="1"/>
      <c r="F146" s="1"/>
      <c r="G146" s="1"/>
    </row>
    <row r="147" spans="2:7" x14ac:dyDescent="0.45">
      <c r="B147" s="1"/>
      <c r="C147" s="1"/>
      <c r="D147" s="1"/>
      <c r="E147" s="1"/>
      <c r="F147" s="1"/>
      <c r="G147" s="1"/>
    </row>
    <row r="148" spans="2:7" x14ac:dyDescent="0.45">
      <c r="B148" s="1"/>
      <c r="C148" s="1"/>
      <c r="D148" s="1"/>
      <c r="E148" s="1"/>
      <c r="F148" s="1"/>
      <c r="G148" s="1"/>
    </row>
    <row r="149" spans="2:7" x14ac:dyDescent="0.45">
      <c r="B149" s="1"/>
      <c r="C149" s="1"/>
      <c r="D149" s="1"/>
      <c r="E149" s="1"/>
      <c r="F149" s="1"/>
      <c r="G149" s="1"/>
    </row>
    <row r="150" spans="2:7" x14ac:dyDescent="0.45">
      <c r="B150" s="1"/>
      <c r="C150" s="1"/>
      <c r="D150" s="1"/>
      <c r="E150" s="1"/>
      <c r="F150" s="1"/>
      <c r="G150" s="1"/>
    </row>
    <row r="151" spans="2:7" x14ac:dyDescent="0.45">
      <c r="B151" s="1"/>
      <c r="C151" s="1"/>
      <c r="D151" s="1"/>
      <c r="E151" s="1"/>
      <c r="F151" s="1"/>
      <c r="G151" s="1"/>
    </row>
    <row r="152" spans="2:7" x14ac:dyDescent="0.45">
      <c r="B152" s="1"/>
      <c r="C152" s="1"/>
      <c r="D152" s="1"/>
      <c r="E152" s="1"/>
      <c r="F152" s="1"/>
      <c r="G152" s="1"/>
    </row>
    <row r="153" spans="2:7" x14ac:dyDescent="0.45">
      <c r="B153" s="1"/>
      <c r="C153" s="1"/>
      <c r="D153" s="1"/>
      <c r="E153" s="1"/>
      <c r="F153" s="1"/>
      <c r="G153" s="1"/>
    </row>
    <row r="154" spans="2:7" x14ac:dyDescent="0.45">
      <c r="B154" s="1"/>
      <c r="C154" s="1"/>
      <c r="D154" s="1"/>
      <c r="E154" s="1"/>
      <c r="F154" s="1"/>
      <c r="G154" s="1"/>
    </row>
    <row r="155" spans="2:7" x14ac:dyDescent="0.45">
      <c r="B155" s="1"/>
      <c r="C155" s="1"/>
      <c r="D155" s="1"/>
      <c r="E155" s="1"/>
      <c r="F155" s="1"/>
      <c r="G155" s="1"/>
    </row>
    <row r="156" spans="2:7" x14ac:dyDescent="0.45">
      <c r="B156" s="1"/>
      <c r="C156" s="1"/>
      <c r="D156" s="1"/>
      <c r="E156" s="1"/>
      <c r="F156" s="1"/>
      <c r="G156" s="1"/>
    </row>
    <row r="157" spans="2:7" x14ac:dyDescent="0.45">
      <c r="B157" s="1"/>
      <c r="C157" s="1"/>
      <c r="D157" s="1"/>
      <c r="E157" s="1"/>
      <c r="F157" s="1"/>
      <c r="G157" s="1"/>
    </row>
    <row r="158" spans="2:7" x14ac:dyDescent="0.45">
      <c r="B158" s="1"/>
      <c r="C158" s="1"/>
      <c r="D158" s="1"/>
      <c r="E158" s="1"/>
      <c r="F158" s="1"/>
      <c r="G158" s="1"/>
    </row>
    <row r="159" spans="2:7" x14ac:dyDescent="0.45">
      <c r="B159" s="1"/>
      <c r="C159" s="1"/>
      <c r="D159" s="1"/>
      <c r="E159" s="1"/>
      <c r="F159" s="1"/>
      <c r="G159" s="1"/>
    </row>
    <row r="160" spans="2:7" x14ac:dyDescent="0.45">
      <c r="B160" s="1"/>
      <c r="C160" s="1"/>
      <c r="D160" s="1"/>
      <c r="E160" s="1"/>
      <c r="F160" s="1"/>
      <c r="G160" s="1"/>
    </row>
    <row r="161" spans="2:7" x14ac:dyDescent="0.45">
      <c r="B161" s="1"/>
      <c r="C161" s="1"/>
      <c r="D161" s="1"/>
      <c r="E161" s="1"/>
      <c r="F161" s="1"/>
      <c r="G161" s="1"/>
    </row>
    <row r="162" spans="2:7" x14ac:dyDescent="0.45">
      <c r="B162" s="1"/>
      <c r="C162" s="1"/>
      <c r="D162" s="1"/>
      <c r="E162" s="1"/>
      <c r="F162" s="1"/>
      <c r="G162" s="1"/>
    </row>
    <row r="163" spans="2:7" x14ac:dyDescent="0.45">
      <c r="B163" s="1"/>
      <c r="C163" s="1"/>
      <c r="D163" s="1"/>
      <c r="E163" s="1"/>
      <c r="F163" s="1"/>
      <c r="G163" s="1"/>
    </row>
    <row r="164" spans="2:7" x14ac:dyDescent="0.45">
      <c r="B164" s="1"/>
      <c r="C164" s="1"/>
      <c r="D164" s="1"/>
      <c r="E164" s="1"/>
      <c r="F164" s="1"/>
      <c r="G164" s="1"/>
    </row>
    <row r="165" spans="2:7" x14ac:dyDescent="0.45">
      <c r="B165" s="1"/>
      <c r="C165" s="1"/>
      <c r="D165" s="1"/>
      <c r="E165" s="1"/>
      <c r="F165" s="1"/>
      <c r="G165" s="1"/>
    </row>
    <row r="166" spans="2:7" x14ac:dyDescent="0.45">
      <c r="B166" s="1"/>
      <c r="C166" s="1"/>
      <c r="D166" s="1"/>
      <c r="E166" s="1"/>
      <c r="F166" s="1"/>
      <c r="G166" s="1"/>
    </row>
    <row r="167" spans="2:7" x14ac:dyDescent="0.45">
      <c r="B167" s="1"/>
      <c r="C167" s="1"/>
      <c r="D167" s="1"/>
      <c r="E167" s="1"/>
      <c r="F167" s="1"/>
      <c r="G167" s="1"/>
    </row>
    <row r="168" spans="2:7" x14ac:dyDescent="0.45">
      <c r="B168" s="1"/>
      <c r="C168" s="1"/>
      <c r="D168" s="1"/>
      <c r="E168" s="1"/>
      <c r="F168" s="1"/>
      <c r="G168" s="1"/>
    </row>
    <row r="169" spans="2:7" x14ac:dyDescent="0.45">
      <c r="B169" s="1"/>
      <c r="C169" s="1"/>
      <c r="D169" s="1"/>
      <c r="E169" s="1"/>
      <c r="F169" s="1"/>
      <c r="G169" s="1"/>
    </row>
    <row r="170" spans="2:7" x14ac:dyDescent="0.45">
      <c r="B170" s="1"/>
      <c r="C170" s="1"/>
      <c r="D170" s="1"/>
      <c r="E170" s="1"/>
      <c r="F170" s="1"/>
      <c r="G170" s="1"/>
    </row>
    <row r="171" spans="2:7" x14ac:dyDescent="0.45">
      <c r="B171" s="1"/>
      <c r="C171" s="1"/>
      <c r="D171" s="1"/>
      <c r="E171" s="1"/>
      <c r="F171" s="1"/>
      <c r="G171" s="1"/>
    </row>
    <row r="172" spans="2:7" x14ac:dyDescent="0.45">
      <c r="B172" s="1"/>
      <c r="C172" s="1"/>
      <c r="D172" s="1"/>
      <c r="E172" s="1"/>
      <c r="F172" s="1"/>
      <c r="G172" s="1"/>
    </row>
    <row r="173" spans="2:7" x14ac:dyDescent="0.45">
      <c r="B173" s="1"/>
      <c r="C173" s="1"/>
      <c r="D173" s="1"/>
      <c r="E173" s="1"/>
      <c r="F173" s="1"/>
      <c r="G173" s="1"/>
    </row>
    <row r="174" spans="2:7" x14ac:dyDescent="0.45">
      <c r="B174" s="1"/>
      <c r="C174" s="1"/>
      <c r="D174" s="1"/>
      <c r="E174" s="1"/>
      <c r="F174" s="1"/>
      <c r="G174" s="1"/>
    </row>
    <row r="175" spans="2:7" x14ac:dyDescent="0.45">
      <c r="B175" s="1"/>
      <c r="C175" s="1"/>
      <c r="D175" s="1"/>
      <c r="E175" s="1"/>
      <c r="F175" s="1"/>
      <c r="G175" s="1"/>
    </row>
    <row r="176" spans="2:7" x14ac:dyDescent="0.45">
      <c r="B176" s="1"/>
      <c r="C176" s="1"/>
      <c r="D176" s="1"/>
      <c r="E176" s="1"/>
      <c r="F176" s="1"/>
      <c r="G176" s="1"/>
    </row>
    <row r="177" spans="2:7" x14ac:dyDescent="0.45">
      <c r="B177" s="1"/>
      <c r="C177" s="1"/>
      <c r="D177" s="1"/>
      <c r="E177" s="1"/>
      <c r="F177" s="1"/>
      <c r="G177" s="1"/>
    </row>
    <row r="178" spans="2:7" x14ac:dyDescent="0.45">
      <c r="B178" s="1"/>
      <c r="C178" s="1"/>
      <c r="D178" s="1"/>
      <c r="E178" s="1"/>
      <c r="F178" s="1"/>
      <c r="G178" s="1"/>
    </row>
    <row r="179" spans="2:7" x14ac:dyDescent="0.45">
      <c r="B179" s="1"/>
      <c r="C179" s="1"/>
      <c r="D179" s="1"/>
      <c r="E179" s="1"/>
      <c r="F179" s="1"/>
      <c r="G179" s="1"/>
    </row>
    <row r="180" spans="2:7" x14ac:dyDescent="0.45">
      <c r="B180" s="1"/>
      <c r="C180" s="1"/>
      <c r="D180" s="1"/>
      <c r="E180" s="1"/>
      <c r="F180" s="1"/>
      <c r="G180" s="1"/>
    </row>
    <row r="181" spans="2:7" x14ac:dyDescent="0.45">
      <c r="B181" s="1"/>
      <c r="C181" s="1"/>
      <c r="D181" s="1"/>
      <c r="E181" s="1"/>
      <c r="F181" s="1"/>
      <c r="G181" s="1"/>
    </row>
    <row r="182" spans="2:7" x14ac:dyDescent="0.45">
      <c r="B182" s="1"/>
      <c r="C182" s="1"/>
      <c r="D182" s="1"/>
      <c r="E182" s="1"/>
      <c r="F182" s="1"/>
      <c r="G182" s="1"/>
    </row>
    <row r="183" spans="2:7" x14ac:dyDescent="0.45">
      <c r="B183" s="1"/>
      <c r="C183" s="1"/>
      <c r="D183" s="1"/>
      <c r="E183" s="1"/>
      <c r="F183" s="1"/>
      <c r="G183" s="1"/>
    </row>
    <row r="184" spans="2:7" x14ac:dyDescent="0.45">
      <c r="B184" s="1"/>
      <c r="C184" s="1"/>
      <c r="D184" s="1"/>
      <c r="E184" s="1"/>
      <c r="F184" s="1"/>
      <c r="G184" s="1"/>
    </row>
    <row r="185" spans="2:7" x14ac:dyDescent="0.45">
      <c r="B185" s="1"/>
      <c r="C185" s="1"/>
      <c r="D185" s="1"/>
      <c r="E185" s="1"/>
      <c r="F185" s="1"/>
      <c r="G185" s="1"/>
    </row>
    <row r="186" spans="2:7" x14ac:dyDescent="0.45">
      <c r="B186" s="1"/>
      <c r="C186" s="1"/>
      <c r="D186" s="1"/>
      <c r="E186" s="1"/>
      <c r="F186" s="1"/>
      <c r="G186" s="1"/>
    </row>
    <row r="187" spans="2:7" x14ac:dyDescent="0.45">
      <c r="B187" s="1"/>
      <c r="C187" s="1"/>
      <c r="D187" s="1"/>
      <c r="E187" s="1"/>
      <c r="F187" s="1"/>
      <c r="G187" s="1"/>
    </row>
    <row r="188" spans="2:7" x14ac:dyDescent="0.45">
      <c r="B188" s="1"/>
      <c r="C188" s="1"/>
      <c r="D188" s="1"/>
      <c r="E188" s="1"/>
      <c r="F188" s="1"/>
      <c r="G188" s="1"/>
    </row>
    <row r="189" spans="2:7" x14ac:dyDescent="0.45">
      <c r="B189" s="1"/>
      <c r="C189" s="1"/>
      <c r="D189" s="1"/>
      <c r="E189" s="1"/>
      <c r="F189" s="1"/>
      <c r="G189" s="1"/>
    </row>
    <row r="190" spans="2:7" x14ac:dyDescent="0.45">
      <c r="B190" s="1"/>
      <c r="C190" s="1"/>
      <c r="D190" s="1"/>
      <c r="E190" s="1"/>
      <c r="F190" s="1"/>
      <c r="G190" s="1"/>
    </row>
    <row r="191" spans="2:7" x14ac:dyDescent="0.45">
      <c r="B191" s="1"/>
      <c r="C191" s="1"/>
      <c r="D191" s="1"/>
      <c r="E191" s="1"/>
      <c r="F191" s="1"/>
      <c r="G191" s="1"/>
    </row>
    <row r="192" spans="2:7" x14ac:dyDescent="0.45">
      <c r="B192" s="1"/>
      <c r="C192" s="1"/>
      <c r="D192" s="1"/>
      <c r="E192" s="1"/>
      <c r="F192" s="1"/>
      <c r="G192" s="1"/>
    </row>
    <row r="193" spans="2:7" x14ac:dyDescent="0.45">
      <c r="B193" s="1"/>
      <c r="C193" s="1"/>
      <c r="D193" s="1"/>
      <c r="E193" s="1"/>
      <c r="F193" s="1"/>
      <c r="G193" s="1"/>
    </row>
    <row r="194" spans="2:7" x14ac:dyDescent="0.45">
      <c r="B194" s="1"/>
      <c r="C194" s="1"/>
      <c r="D194" s="1"/>
      <c r="E194" s="1"/>
      <c r="F194" s="1"/>
      <c r="G194" s="1"/>
    </row>
    <row r="195" spans="2:7" x14ac:dyDescent="0.45">
      <c r="B195" s="1"/>
      <c r="C195" s="1"/>
      <c r="D195" s="1"/>
      <c r="E195" s="1"/>
      <c r="F195" s="1"/>
      <c r="G195" s="1"/>
    </row>
    <row r="196" spans="2:7" x14ac:dyDescent="0.45">
      <c r="B196" s="1"/>
      <c r="C196" s="1"/>
      <c r="D196" s="1"/>
      <c r="E196" s="1"/>
      <c r="F196" s="1"/>
      <c r="G196" s="1"/>
    </row>
    <row r="197" spans="2:7" x14ac:dyDescent="0.45">
      <c r="B197" s="1"/>
      <c r="C197" s="1"/>
      <c r="D197" s="1"/>
      <c r="E197" s="1"/>
      <c r="F197" s="1"/>
      <c r="G197" s="1"/>
    </row>
    <row r="198" spans="2:7" x14ac:dyDescent="0.45">
      <c r="B198" s="1"/>
      <c r="C198" s="1"/>
      <c r="D198" s="1"/>
      <c r="E198" s="1"/>
      <c r="F198" s="1"/>
      <c r="G198" s="1"/>
    </row>
    <row r="199" spans="2:7" x14ac:dyDescent="0.45">
      <c r="B199" s="1"/>
      <c r="C199" s="1"/>
      <c r="D199" s="1"/>
      <c r="E199" s="1"/>
      <c r="F199" s="1"/>
      <c r="G199" s="1"/>
    </row>
    <row r="200" spans="2:7" x14ac:dyDescent="0.45">
      <c r="B200" s="1"/>
      <c r="C200" s="1"/>
      <c r="D200" s="1"/>
      <c r="E200" s="1"/>
      <c r="F200" s="1"/>
      <c r="G200" s="1"/>
    </row>
    <row r="201" spans="2:7" x14ac:dyDescent="0.45">
      <c r="B201" s="1"/>
      <c r="C201" s="1"/>
      <c r="D201" s="1"/>
      <c r="E201" s="1"/>
      <c r="F201" s="1"/>
      <c r="G201" s="1"/>
    </row>
    <row r="202" spans="2:7" x14ac:dyDescent="0.45">
      <c r="B202" s="1"/>
      <c r="C202" s="1"/>
      <c r="D202" s="1"/>
      <c r="E202" s="1"/>
      <c r="F202" s="1"/>
      <c r="G202" s="1"/>
    </row>
    <row r="203" spans="2:7" x14ac:dyDescent="0.45">
      <c r="B203" s="1"/>
      <c r="C203" s="1"/>
      <c r="D203" s="1"/>
      <c r="E203" s="1"/>
      <c r="F203" s="1"/>
      <c r="G203" s="1"/>
    </row>
    <row r="204" spans="2:7" x14ac:dyDescent="0.45">
      <c r="B204" s="1"/>
      <c r="C204" s="1"/>
      <c r="D204" s="1"/>
      <c r="E204" s="1"/>
      <c r="F204" s="1"/>
      <c r="G204" s="1"/>
    </row>
    <row r="205" spans="2:7" x14ac:dyDescent="0.45">
      <c r="B205" s="1"/>
      <c r="C205" s="1"/>
      <c r="D205" s="1"/>
      <c r="E205" s="1"/>
      <c r="F205" s="1"/>
      <c r="G205" s="1"/>
    </row>
    <row r="206" spans="2:7" x14ac:dyDescent="0.45">
      <c r="B206" s="1"/>
      <c r="C206" s="1"/>
      <c r="D206" s="1"/>
      <c r="E206" s="1"/>
      <c r="F206" s="1"/>
      <c r="G206" s="1"/>
    </row>
    <row r="207" spans="2:7" x14ac:dyDescent="0.45">
      <c r="B207" s="1"/>
      <c r="C207" s="1"/>
      <c r="D207" s="1"/>
      <c r="E207" s="1"/>
      <c r="F207" s="1"/>
      <c r="G207" s="1"/>
    </row>
    <row r="208" spans="2:7" x14ac:dyDescent="0.45">
      <c r="B208" s="1"/>
      <c r="C208" s="1"/>
      <c r="D208" s="1"/>
      <c r="E208" s="1"/>
      <c r="F208" s="1"/>
      <c r="G208" s="1"/>
    </row>
    <row r="209" spans="2:7" x14ac:dyDescent="0.45">
      <c r="B209" s="1"/>
      <c r="C209" s="1"/>
      <c r="D209" s="1"/>
      <c r="E209" s="1"/>
      <c r="F209" s="1"/>
      <c r="G209" s="1"/>
    </row>
    <row r="210" spans="2:7" x14ac:dyDescent="0.45">
      <c r="B210" s="1"/>
      <c r="C210" s="1"/>
      <c r="D210" s="1"/>
      <c r="E210" s="1"/>
      <c r="F210" s="1"/>
      <c r="G210" s="1"/>
    </row>
    <row r="211" spans="2:7" x14ac:dyDescent="0.45">
      <c r="B211" s="1"/>
      <c r="C211" s="1"/>
      <c r="D211" s="1"/>
      <c r="E211" s="1"/>
      <c r="F211" s="1"/>
      <c r="G211" s="1"/>
    </row>
    <row r="212" spans="2:7" x14ac:dyDescent="0.45">
      <c r="C212" s="1"/>
      <c r="D212" s="1"/>
      <c r="E212" s="1"/>
      <c r="F212" s="1"/>
      <c r="G212" s="1"/>
    </row>
    <row r="213" spans="2:7" x14ac:dyDescent="0.45">
      <c r="C213" s="1"/>
      <c r="D213" s="1"/>
      <c r="E213" s="1"/>
      <c r="F213" s="1"/>
      <c r="G213" s="1"/>
    </row>
    <row r="214" spans="2:7" x14ac:dyDescent="0.45">
      <c r="C214" s="1"/>
      <c r="D214" s="1"/>
      <c r="E214" s="1"/>
      <c r="F214" s="1"/>
      <c r="G214" s="1"/>
    </row>
    <row r="215" spans="2:7" x14ac:dyDescent="0.45">
      <c r="C215" s="1"/>
      <c r="D215" s="1"/>
      <c r="E215" s="1"/>
      <c r="F215" s="1"/>
      <c r="G215" s="1"/>
    </row>
    <row r="216" spans="2:7" x14ac:dyDescent="0.45">
      <c r="C216" s="1"/>
      <c r="D216" s="1"/>
      <c r="E216" s="1"/>
      <c r="F216" s="1"/>
      <c r="G216" s="1"/>
    </row>
    <row r="217" spans="2:7" x14ac:dyDescent="0.45">
      <c r="C217" s="1"/>
      <c r="D217" s="1"/>
      <c r="E217" s="1"/>
      <c r="F217" s="1"/>
      <c r="G217" s="1"/>
    </row>
    <row r="218" spans="2:7" x14ac:dyDescent="0.45">
      <c r="C218" s="1"/>
      <c r="D218" s="1"/>
      <c r="E218" s="1"/>
      <c r="F218" s="1"/>
      <c r="G218" s="1"/>
    </row>
    <row r="219" spans="2:7" x14ac:dyDescent="0.45">
      <c r="C219" s="1"/>
      <c r="D219" s="1"/>
      <c r="E219" s="1"/>
      <c r="F219" s="1"/>
      <c r="G219" s="1"/>
    </row>
    <row r="220" spans="2:7" x14ac:dyDescent="0.45">
      <c r="C220" s="1"/>
      <c r="D220" s="1"/>
      <c r="E220" s="1"/>
      <c r="F220" s="1"/>
      <c r="G220" s="1"/>
    </row>
    <row r="221" spans="2:7" x14ac:dyDescent="0.45">
      <c r="C221" s="1"/>
      <c r="D221" s="1"/>
      <c r="E221" s="1"/>
      <c r="F221" s="1"/>
      <c r="G221" s="1"/>
    </row>
    <row r="222" spans="2:7" x14ac:dyDescent="0.45">
      <c r="C222" s="1"/>
      <c r="D222" s="1"/>
      <c r="E222" s="1"/>
      <c r="F222" s="1"/>
      <c r="G222" s="1"/>
    </row>
    <row r="223" spans="2:7" x14ac:dyDescent="0.45">
      <c r="C223" s="1"/>
      <c r="D223" s="1"/>
      <c r="E223" s="1"/>
      <c r="F223" s="1"/>
      <c r="G223" s="1"/>
    </row>
    <row r="224" spans="2:7" x14ac:dyDescent="0.45">
      <c r="C224" s="1"/>
      <c r="D224" s="1"/>
      <c r="E224" s="1"/>
      <c r="F224" s="1"/>
      <c r="G224" s="1"/>
    </row>
    <row r="225" spans="3:7" x14ac:dyDescent="0.45">
      <c r="C225" s="1"/>
      <c r="D225" s="1"/>
      <c r="E225" s="1"/>
      <c r="F225" s="1"/>
      <c r="G225" s="1"/>
    </row>
    <row r="226" spans="3:7" x14ac:dyDescent="0.45">
      <c r="C226" s="1"/>
      <c r="D226" s="1"/>
      <c r="E226" s="1"/>
      <c r="F226" s="1"/>
      <c r="G226" s="1"/>
    </row>
    <row r="227" spans="3:7" x14ac:dyDescent="0.45">
      <c r="C227" s="1"/>
      <c r="D227" s="1"/>
      <c r="E227" s="1"/>
      <c r="F227" s="1"/>
      <c r="G227" s="1"/>
    </row>
    <row r="228" spans="3:7" x14ac:dyDescent="0.45">
      <c r="C228" s="1"/>
      <c r="D228" s="1"/>
      <c r="E228" s="1"/>
      <c r="F228" s="1"/>
      <c r="G228" s="1"/>
    </row>
    <row r="229" spans="3:7" x14ac:dyDescent="0.45">
      <c r="C229" s="1"/>
      <c r="D229" s="1"/>
      <c r="E229" s="1"/>
      <c r="F229" s="1"/>
      <c r="G229" s="1"/>
    </row>
    <row r="230" spans="3:7" x14ac:dyDescent="0.45">
      <c r="C230" s="1"/>
      <c r="D230" s="1"/>
      <c r="E230" s="1"/>
      <c r="F230" s="1"/>
      <c r="G230" s="1"/>
    </row>
    <row r="231" spans="3:7" x14ac:dyDescent="0.45">
      <c r="C231" s="1"/>
      <c r="D231" s="1"/>
      <c r="E231" s="1"/>
      <c r="F231" s="1"/>
      <c r="G231" s="1"/>
    </row>
    <row r="232" spans="3:7" x14ac:dyDescent="0.45">
      <c r="C232" s="1"/>
      <c r="D232" s="1"/>
      <c r="E232" s="1"/>
      <c r="F232" s="1"/>
      <c r="G232" s="1"/>
    </row>
    <row r="233" spans="3:7" x14ac:dyDescent="0.45">
      <c r="C233" s="1"/>
      <c r="D233" s="1"/>
      <c r="E233" s="1"/>
      <c r="F233" s="1"/>
      <c r="G233" s="1"/>
    </row>
    <row r="234" spans="3:7" x14ac:dyDescent="0.45">
      <c r="C234" s="1"/>
      <c r="D234" s="1"/>
      <c r="E234" s="1"/>
      <c r="F234" s="1"/>
      <c r="G234" s="1"/>
    </row>
    <row r="235" spans="3:7" x14ac:dyDescent="0.45">
      <c r="C235" s="1"/>
      <c r="D235" s="1"/>
      <c r="E235" s="1"/>
      <c r="F235" s="1"/>
      <c r="G235" s="1"/>
    </row>
    <row r="236" spans="3:7" x14ac:dyDescent="0.45">
      <c r="C236" s="1"/>
      <c r="D236" s="1"/>
      <c r="E236" s="1"/>
      <c r="F236" s="1"/>
      <c r="G236" s="1"/>
    </row>
    <row r="237" spans="3:7" x14ac:dyDescent="0.45">
      <c r="C237" s="1"/>
      <c r="D237" s="1"/>
      <c r="E237" s="1"/>
      <c r="F237" s="1"/>
      <c r="G237" s="1"/>
    </row>
    <row r="238" spans="3:7" x14ac:dyDescent="0.45">
      <c r="C238" s="1"/>
      <c r="D238" s="1"/>
      <c r="E238" s="1"/>
      <c r="F238" s="1"/>
      <c r="G238" s="1"/>
    </row>
    <row r="239" spans="3:7" x14ac:dyDescent="0.45">
      <c r="C239" s="1"/>
      <c r="D239" s="1"/>
      <c r="E239" s="1"/>
      <c r="F239" s="1"/>
      <c r="G239" s="1"/>
    </row>
    <row r="240" spans="3:7" x14ac:dyDescent="0.45">
      <c r="C240" s="1"/>
      <c r="D240" s="1"/>
      <c r="E240" s="1"/>
      <c r="F240" s="1"/>
      <c r="G240" s="1"/>
    </row>
    <row r="241" spans="3:7" x14ac:dyDescent="0.45">
      <c r="C241" s="1"/>
      <c r="D241" s="1"/>
      <c r="E241" s="1"/>
      <c r="F241" s="1"/>
      <c r="G241" s="1"/>
    </row>
    <row r="242" spans="3:7" x14ac:dyDescent="0.45">
      <c r="C242" s="1"/>
      <c r="D242" s="1"/>
      <c r="E242" s="1"/>
      <c r="F242" s="1"/>
      <c r="G242" s="1"/>
    </row>
    <row r="243" spans="3:7" x14ac:dyDescent="0.45">
      <c r="C243" s="1"/>
      <c r="D243" s="1"/>
      <c r="E243" s="1"/>
      <c r="F243" s="1"/>
      <c r="G243" s="1"/>
    </row>
    <row r="244" spans="3:7" x14ac:dyDescent="0.45">
      <c r="C244" s="1"/>
      <c r="D244" s="1"/>
      <c r="E244" s="1"/>
      <c r="F244" s="1"/>
      <c r="G244" s="1"/>
    </row>
    <row r="245" spans="3:7" x14ac:dyDescent="0.45">
      <c r="C245" s="1"/>
      <c r="D245" s="1"/>
      <c r="E245" s="1"/>
      <c r="F245" s="1"/>
      <c r="G245" s="1"/>
    </row>
    <row r="246" spans="3:7" x14ac:dyDescent="0.45">
      <c r="C246" s="1"/>
      <c r="D246" s="1"/>
      <c r="E246" s="1"/>
      <c r="F246" s="1"/>
      <c r="G246" s="1"/>
    </row>
    <row r="247" spans="3:7" x14ac:dyDescent="0.45">
      <c r="C247" s="1"/>
      <c r="D247" s="1"/>
      <c r="E247" s="1"/>
      <c r="F247" s="1"/>
      <c r="G247" s="1"/>
    </row>
    <row r="248" spans="3:7" x14ac:dyDescent="0.45">
      <c r="C248" s="1"/>
      <c r="D248" s="1"/>
      <c r="E248" s="1"/>
      <c r="F248" s="1"/>
      <c r="G248" s="1"/>
    </row>
    <row r="249" spans="3:7" x14ac:dyDescent="0.45">
      <c r="C249" s="1"/>
      <c r="D249" s="1"/>
      <c r="E249" s="1"/>
      <c r="F249" s="1"/>
      <c r="G249" s="1"/>
    </row>
    <row r="250" spans="3:7" x14ac:dyDescent="0.45">
      <c r="C250" s="1"/>
      <c r="D250" s="1"/>
      <c r="E250" s="1"/>
      <c r="F250" s="1"/>
      <c r="G250" s="1"/>
    </row>
    <row r="251" spans="3:7" x14ac:dyDescent="0.45">
      <c r="C251" s="1"/>
      <c r="D251" s="1"/>
      <c r="E251" s="1"/>
      <c r="F251" s="1"/>
      <c r="G251" s="1"/>
    </row>
    <row r="252" spans="3:7" x14ac:dyDescent="0.45">
      <c r="C252" s="1"/>
      <c r="D252" s="1"/>
      <c r="E252" s="1"/>
      <c r="F252" s="1"/>
      <c r="G252" s="1"/>
    </row>
    <row r="253" spans="3:7" x14ac:dyDescent="0.45">
      <c r="C253" s="1"/>
      <c r="D253" s="1"/>
      <c r="E253" s="1"/>
      <c r="F253" s="1"/>
      <c r="G253" s="1"/>
    </row>
    <row r="254" spans="3:7" x14ac:dyDescent="0.45">
      <c r="C254" s="1"/>
      <c r="D254" s="1"/>
      <c r="E254" s="1"/>
      <c r="F254" s="1"/>
      <c r="G254" s="1"/>
    </row>
    <row r="255" spans="3:7" x14ac:dyDescent="0.45">
      <c r="C255" s="1"/>
      <c r="D255" s="1"/>
      <c r="E255" s="1"/>
      <c r="F255" s="1"/>
      <c r="G255" s="1"/>
    </row>
    <row r="256" spans="3:7" x14ac:dyDescent="0.45">
      <c r="C256" s="1"/>
      <c r="D256" s="1"/>
      <c r="E256" s="1"/>
      <c r="F256" s="1"/>
      <c r="G256" s="1"/>
    </row>
    <row r="257" spans="3:7" x14ac:dyDescent="0.45">
      <c r="C257" s="1"/>
      <c r="D257" s="1"/>
      <c r="E257" s="1"/>
      <c r="F257" s="1"/>
      <c r="G257" s="1"/>
    </row>
    <row r="258" spans="3:7" x14ac:dyDescent="0.45">
      <c r="C258" s="1"/>
      <c r="D258" s="1"/>
      <c r="E258" s="1"/>
      <c r="F258" s="1"/>
      <c r="G258" s="1"/>
    </row>
    <row r="259" spans="3:7" x14ac:dyDescent="0.45">
      <c r="C259" s="1"/>
      <c r="D259" s="1"/>
      <c r="E259" s="1"/>
      <c r="F259" s="1"/>
      <c r="G259" s="1"/>
    </row>
    <row r="260" spans="3:7" x14ac:dyDescent="0.45">
      <c r="C260" s="1"/>
      <c r="D260" s="1"/>
      <c r="E260" s="1"/>
      <c r="F260" s="1"/>
      <c r="G260" s="1"/>
    </row>
    <row r="261" spans="3:7" x14ac:dyDescent="0.45">
      <c r="C261" s="1"/>
      <c r="D261" s="1"/>
      <c r="E261" s="1"/>
      <c r="F261" s="1"/>
      <c r="G261" s="1"/>
    </row>
    <row r="262" spans="3:7" x14ac:dyDescent="0.45">
      <c r="C262" s="1"/>
      <c r="D262" s="1"/>
      <c r="E262" s="1"/>
      <c r="F262" s="1"/>
      <c r="G262" s="1"/>
    </row>
    <row r="263" spans="3:7" x14ac:dyDescent="0.45">
      <c r="C263" s="1"/>
      <c r="D263" s="1"/>
      <c r="E263" s="1"/>
      <c r="F263" s="1"/>
      <c r="G263" s="1"/>
    </row>
    <row r="264" spans="3:7" x14ac:dyDescent="0.45">
      <c r="C264" s="1"/>
      <c r="D264" s="1"/>
      <c r="E264" s="1"/>
      <c r="F264" s="1"/>
      <c r="G264" s="1"/>
    </row>
    <row r="265" spans="3:7" x14ac:dyDescent="0.45">
      <c r="C265" s="1"/>
      <c r="D265" s="1"/>
      <c r="E265" s="1"/>
      <c r="F265" s="1"/>
      <c r="G265" s="1"/>
    </row>
    <row r="266" spans="3:7" x14ac:dyDescent="0.45">
      <c r="C266" s="1"/>
      <c r="D266" s="1"/>
      <c r="E266" s="1"/>
      <c r="F266" s="1"/>
      <c r="G266" s="1"/>
    </row>
    <row r="267" spans="3:7" x14ac:dyDescent="0.45">
      <c r="C267" s="1"/>
      <c r="D267" s="1"/>
      <c r="E267" s="1"/>
      <c r="F267" s="1"/>
      <c r="G267" s="1"/>
    </row>
    <row r="268" spans="3:7" x14ac:dyDescent="0.45">
      <c r="C268" s="1"/>
      <c r="D268" s="1"/>
      <c r="E268" s="1"/>
      <c r="F268" s="1"/>
      <c r="G268" s="1"/>
    </row>
    <row r="269" spans="3:7" x14ac:dyDescent="0.45">
      <c r="C269" s="1"/>
      <c r="D269" s="1"/>
      <c r="E269" s="1"/>
      <c r="F269" s="1"/>
      <c r="G269" s="1"/>
    </row>
    <row r="270" spans="3:7" x14ac:dyDescent="0.45">
      <c r="C270" s="1"/>
      <c r="D270" s="1"/>
      <c r="E270" s="1"/>
      <c r="F270" s="1"/>
      <c r="G270" s="1"/>
    </row>
    <row r="271" spans="3:7" x14ac:dyDescent="0.45">
      <c r="C271" s="1"/>
      <c r="D271" s="1"/>
      <c r="E271" s="1"/>
      <c r="F271" s="1"/>
      <c r="G271" s="1"/>
    </row>
    <row r="272" spans="3:7" x14ac:dyDescent="0.45">
      <c r="C272" s="1"/>
      <c r="D272" s="1"/>
      <c r="E272" s="1"/>
      <c r="F272" s="1"/>
      <c r="G272" s="1"/>
    </row>
    <row r="273" spans="3:7" x14ac:dyDescent="0.45">
      <c r="C273" s="1"/>
      <c r="D273" s="1"/>
      <c r="E273" s="1"/>
      <c r="F273" s="1"/>
      <c r="G273" s="1"/>
    </row>
    <row r="274" spans="3:7" x14ac:dyDescent="0.45">
      <c r="C274" s="1"/>
      <c r="D274" s="1"/>
      <c r="E274" s="1"/>
      <c r="F274" s="1"/>
      <c r="G274" s="1"/>
    </row>
    <row r="275" spans="3:7" x14ac:dyDescent="0.45">
      <c r="C275" s="1"/>
      <c r="D275" s="1"/>
      <c r="E275" s="1"/>
      <c r="F275" s="1"/>
      <c r="G275" s="1"/>
    </row>
    <row r="276" spans="3:7" x14ac:dyDescent="0.45">
      <c r="C276" s="1"/>
      <c r="D276" s="1"/>
      <c r="E276" s="1"/>
      <c r="F276" s="1"/>
      <c r="G276" s="1"/>
    </row>
    <row r="277" spans="3:7" x14ac:dyDescent="0.45">
      <c r="C277" s="1"/>
      <c r="D277" s="1"/>
      <c r="E277" s="1"/>
      <c r="F277" s="1"/>
      <c r="G277" s="1"/>
    </row>
    <row r="278" spans="3:7" x14ac:dyDescent="0.45">
      <c r="C278" s="1"/>
      <c r="D278" s="1"/>
      <c r="E278" s="1"/>
      <c r="F278" s="1"/>
      <c r="G278" s="1"/>
    </row>
    <row r="279" spans="3:7" x14ac:dyDescent="0.45">
      <c r="C279" s="1"/>
      <c r="D279" s="1"/>
      <c r="E279" s="1"/>
      <c r="F279" s="1"/>
      <c r="G279" s="1"/>
    </row>
    <row r="280" spans="3:7" x14ac:dyDescent="0.45">
      <c r="C280" s="1"/>
      <c r="D280" s="1"/>
      <c r="E280" s="1"/>
      <c r="F280" s="1"/>
      <c r="G280" s="1"/>
    </row>
    <row r="281" spans="3:7" x14ac:dyDescent="0.45">
      <c r="C281" s="1"/>
      <c r="D281" s="1"/>
      <c r="E281" s="1"/>
      <c r="F281" s="1"/>
      <c r="G281" s="1"/>
    </row>
    <row r="282" spans="3:7" x14ac:dyDescent="0.45">
      <c r="C282" s="1"/>
      <c r="D282" s="1"/>
      <c r="E282" s="1"/>
      <c r="F282" s="1"/>
      <c r="G282" s="1"/>
    </row>
    <row r="283" spans="3:7" x14ac:dyDescent="0.45">
      <c r="C283" s="1"/>
      <c r="D283" s="1"/>
      <c r="E283" s="1"/>
      <c r="F283" s="1"/>
      <c r="G283" s="1"/>
    </row>
    <row r="284" spans="3:7" x14ac:dyDescent="0.45">
      <c r="C284" s="1"/>
      <c r="D284" s="1"/>
      <c r="E284" s="1"/>
      <c r="F284" s="1"/>
      <c r="G284" s="1"/>
    </row>
    <row r="285" spans="3:7" x14ac:dyDescent="0.45">
      <c r="C285" s="1"/>
      <c r="D285" s="1"/>
      <c r="E285" s="1"/>
      <c r="F285" s="1"/>
      <c r="G285" s="1"/>
    </row>
    <row r="286" spans="3:7" x14ac:dyDescent="0.45">
      <c r="C286" s="1"/>
      <c r="D286" s="1"/>
      <c r="E286" s="1"/>
      <c r="F286" s="1"/>
      <c r="G286" s="1"/>
    </row>
    <row r="287" spans="3:7" x14ac:dyDescent="0.45">
      <c r="C287" s="1"/>
      <c r="D287" s="1"/>
      <c r="E287" s="1"/>
      <c r="F287" s="1"/>
      <c r="G287" s="1"/>
    </row>
    <row r="288" spans="3:7" x14ac:dyDescent="0.45">
      <c r="C288" s="1"/>
      <c r="D288" s="1"/>
      <c r="E288" s="1"/>
      <c r="F288" s="1"/>
      <c r="G288" s="1"/>
    </row>
    <row r="289" spans="3:7" x14ac:dyDescent="0.45">
      <c r="C289" s="1"/>
      <c r="D289" s="1"/>
      <c r="E289" s="1"/>
      <c r="F289" s="1"/>
      <c r="G289" s="1"/>
    </row>
    <row r="290" spans="3:7" x14ac:dyDescent="0.45">
      <c r="C290" s="1"/>
      <c r="D290" s="1"/>
      <c r="E290" s="1"/>
      <c r="F290" s="1"/>
      <c r="G290" s="1"/>
    </row>
    <row r="291" spans="3:7" x14ac:dyDescent="0.45">
      <c r="C291" s="1"/>
      <c r="D291" s="1"/>
      <c r="E291" s="1"/>
      <c r="F291" s="1"/>
      <c r="G291" s="1"/>
    </row>
    <row r="292" spans="3:7" x14ac:dyDescent="0.45">
      <c r="C292" s="1"/>
      <c r="D292" s="1"/>
      <c r="E292" s="1"/>
      <c r="F292" s="1"/>
      <c r="G292" s="1"/>
    </row>
    <row r="293" spans="3:7" x14ac:dyDescent="0.45">
      <c r="C293" s="1"/>
      <c r="D293" s="1"/>
      <c r="E293" s="1"/>
      <c r="F293" s="1"/>
      <c r="G293" s="1"/>
    </row>
    <row r="294" spans="3:7" x14ac:dyDescent="0.45">
      <c r="C294" s="1"/>
      <c r="D294" s="1"/>
      <c r="E294" s="1"/>
      <c r="F294" s="1"/>
      <c r="G294" s="1"/>
    </row>
    <row r="295" spans="3:7" x14ac:dyDescent="0.45">
      <c r="C295" s="1"/>
      <c r="D295" s="1"/>
      <c r="E295" s="1"/>
      <c r="F295" s="1"/>
      <c r="G295" s="1"/>
    </row>
    <row r="296" spans="3:7" x14ac:dyDescent="0.45">
      <c r="C296" s="1"/>
      <c r="D296" s="1"/>
      <c r="E296" s="1"/>
      <c r="F296" s="1"/>
      <c r="G296" s="1"/>
    </row>
    <row r="297" spans="3:7" x14ac:dyDescent="0.45">
      <c r="C297" s="1"/>
      <c r="D297" s="1"/>
      <c r="E297" s="1"/>
      <c r="F297" s="1"/>
      <c r="G297" s="1"/>
    </row>
    <row r="298" spans="3:7" x14ac:dyDescent="0.45">
      <c r="C298" s="1"/>
      <c r="D298" s="1"/>
      <c r="E298" s="1"/>
      <c r="F298" s="1"/>
      <c r="G298" s="1"/>
    </row>
    <row r="299" spans="3:7" x14ac:dyDescent="0.45">
      <c r="C299" s="1"/>
      <c r="D299" s="1"/>
      <c r="E299" s="1"/>
      <c r="F299" s="1"/>
      <c r="G299" s="1"/>
    </row>
    <row r="300" spans="3:7" x14ac:dyDescent="0.45">
      <c r="C300" s="1"/>
      <c r="D300" s="1"/>
      <c r="E300" s="1"/>
      <c r="F300" s="1"/>
      <c r="G300" s="1"/>
    </row>
    <row r="301" spans="3:7" x14ac:dyDescent="0.45">
      <c r="C301" s="1"/>
      <c r="D301" s="1"/>
      <c r="E301" s="1"/>
      <c r="F301" s="1"/>
      <c r="G301" s="1"/>
    </row>
    <row r="302" spans="3:7" x14ac:dyDescent="0.45">
      <c r="C302" s="1"/>
      <c r="D302" s="1"/>
      <c r="E302" s="1"/>
      <c r="F302" s="1"/>
      <c r="G302" s="1"/>
    </row>
    <row r="303" spans="3:7" x14ac:dyDescent="0.45">
      <c r="C303" s="1"/>
      <c r="D303" s="1"/>
      <c r="E303" s="1"/>
      <c r="F303" s="1"/>
      <c r="G303" s="1"/>
    </row>
    <row r="304" spans="3:7" x14ac:dyDescent="0.45">
      <c r="C304" s="1"/>
      <c r="D304" s="1"/>
      <c r="E304" s="1"/>
      <c r="F304" s="1"/>
      <c r="G304" s="1"/>
    </row>
    <row r="305" spans="3:7" x14ac:dyDescent="0.45">
      <c r="C305" s="1"/>
      <c r="D305" s="1"/>
      <c r="E305" s="1"/>
      <c r="F305" s="1"/>
      <c r="G305" s="1"/>
    </row>
    <row r="306" spans="3:7" x14ac:dyDescent="0.45">
      <c r="C306" s="1"/>
      <c r="D306" s="1"/>
      <c r="E306" s="1"/>
      <c r="F306" s="1"/>
      <c r="G306" s="1"/>
    </row>
    <row r="307" spans="3:7" x14ac:dyDescent="0.45">
      <c r="C307" s="1"/>
      <c r="D307" s="1"/>
      <c r="E307" s="1"/>
      <c r="F307" s="1"/>
      <c r="G307" s="1"/>
    </row>
    <row r="308" spans="3:7" x14ac:dyDescent="0.45">
      <c r="C308" s="1"/>
      <c r="D308" s="1"/>
      <c r="E308" s="1"/>
      <c r="F308" s="1"/>
      <c r="G308" s="1"/>
    </row>
    <row r="309" spans="3:7" x14ac:dyDescent="0.45">
      <c r="C309" s="1"/>
      <c r="D309" s="1"/>
      <c r="E309" s="1"/>
      <c r="F309" s="1"/>
      <c r="G309" s="1"/>
    </row>
    <row r="310" spans="3:7" x14ac:dyDescent="0.45">
      <c r="C310" s="1"/>
      <c r="D310" s="1"/>
      <c r="E310" s="1"/>
      <c r="F310" s="1"/>
      <c r="G310" s="1"/>
    </row>
    <row r="311" spans="3:7" x14ac:dyDescent="0.45">
      <c r="C311" s="1"/>
      <c r="D311" s="1"/>
      <c r="E311" s="1"/>
      <c r="F311" s="1"/>
      <c r="G311" s="1"/>
    </row>
    <row r="312" spans="3:7" x14ac:dyDescent="0.45">
      <c r="C312" s="1"/>
      <c r="D312" s="1"/>
      <c r="E312" s="1"/>
      <c r="F312" s="1"/>
      <c r="G312" s="1"/>
    </row>
    <row r="313" spans="3:7" x14ac:dyDescent="0.45">
      <c r="C313" s="1"/>
      <c r="D313" s="1"/>
      <c r="E313" s="1"/>
      <c r="F313" s="1"/>
      <c r="G313" s="1"/>
    </row>
    <row r="314" spans="3:7" x14ac:dyDescent="0.45">
      <c r="C314" s="1"/>
      <c r="D314" s="1"/>
      <c r="E314" s="1"/>
      <c r="F314" s="1"/>
      <c r="G314" s="1"/>
    </row>
    <row r="315" spans="3:7" x14ac:dyDescent="0.45">
      <c r="C315" s="1"/>
      <c r="D315" s="1"/>
      <c r="E315" s="1"/>
      <c r="F315" s="1"/>
      <c r="G315" s="1"/>
    </row>
    <row r="316" spans="3:7" x14ac:dyDescent="0.45">
      <c r="C316" s="1"/>
      <c r="D316" s="1"/>
      <c r="E316" s="1"/>
      <c r="F316" s="1"/>
      <c r="G316" s="1"/>
    </row>
    <row r="317" spans="3:7" x14ac:dyDescent="0.45">
      <c r="C317" s="1"/>
      <c r="D317" s="1"/>
      <c r="E317" s="1"/>
      <c r="F317" s="1"/>
      <c r="G317" s="1"/>
    </row>
    <row r="318" spans="3:7" x14ac:dyDescent="0.45">
      <c r="C318" s="1"/>
      <c r="D318" s="1"/>
      <c r="E318" s="1"/>
      <c r="F318" s="1"/>
      <c r="G318" s="1"/>
    </row>
    <row r="319" spans="3:7" x14ac:dyDescent="0.45">
      <c r="C319" s="1"/>
      <c r="D319" s="1"/>
      <c r="E319" s="1"/>
      <c r="F319" s="1"/>
      <c r="G319" s="1"/>
    </row>
    <row r="320" spans="3:7" x14ac:dyDescent="0.45">
      <c r="C320" s="1"/>
      <c r="D320" s="1"/>
      <c r="E320" s="1"/>
      <c r="F320" s="1"/>
      <c r="G320" s="1"/>
    </row>
    <row r="321" spans="3:7" x14ac:dyDescent="0.45">
      <c r="C321" s="1"/>
      <c r="D321" s="1"/>
      <c r="E321" s="1"/>
      <c r="F321" s="1"/>
      <c r="G321" s="1"/>
    </row>
    <row r="322" spans="3:7" x14ac:dyDescent="0.45">
      <c r="C322" s="1"/>
      <c r="D322" s="1"/>
      <c r="E322" s="1"/>
      <c r="F322" s="1"/>
      <c r="G322" s="1"/>
    </row>
    <row r="323" spans="3:7" x14ac:dyDescent="0.45">
      <c r="C323" s="1"/>
      <c r="D323" s="1"/>
      <c r="E323" s="1"/>
      <c r="F323" s="1"/>
      <c r="G323" s="1"/>
    </row>
    <row r="324" spans="3:7" x14ac:dyDescent="0.45">
      <c r="C324" s="1"/>
      <c r="D324" s="1"/>
      <c r="E324" s="1"/>
      <c r="F324" s="1"/>
      <c r="G324" s="1"/>
    </row>
    <row r="325" spans="3:7" x14ac:dyDescent="0.45">
      <c r="C325" s="1"/>
      <c r="D325" s="1"/>
      <c r="E325" s="1"/>
      <c r="F325" s="1"/>
      <c r="G325" s="1"/>
    </row>
    <row r="326" spans="3:7" x14ac:dyDescent="0.45">
      <c r="C326" s="1"/>
      <c r="D326" s="1"/>
      <c r="E326" s="1"/>
      <c r="F326" s="1"/>
      <c r="G326" s="1"/>
    </row>
    <row r="327" spans="3:7" x14ac:dyDescent="0.45">
      <c r="C327" s="1"/>
      <c r="D327" s="1"/>
      <c r="E327" s="1"/>
      <c r="F327" s="1"/>
      <c r="G327" s="1"/>
    </row>
    <row r="328" spans="3:7" x14ac:dyDescent="0.45">
      <c r="C328" s="1"/>
      <c r="D328" s="1"/>
      <c r="E328" s="1"/>
      <c r="F328" s="1"/>
      <c r="G328" s="1"/>
    </row>
    <row r="329" spans="3:7" x14ac:dyDescent="0.45">
      <c r="C329" s="1"/>
      <c r="D329" s="1"/>
      <c r="E329" s="1"/>
      <c r="F329" s="1"/>
      <c r="G329" s="1"/>
    </row>
    <row r="330" spans="3:7" x14ac:dyDescent="0.45">
      <c r="C330" s="1"/>
      <c r="D330" s="1"/>
      <c r="E330" s="1"/>
      <c r="F330" s="1"/>
      <c r="G330" s="1"/>
    </row>
    <row r="331" spans="3:7" x14ac:dyDescent="0.45">
      <c r="C331" s="1"/>
      <c r="D331" s="1"/>
      <c r="E331" s="1"/>
      <c r="F331" s="1"/>
      <c r="G331" s="1"/>
    </row>
    <row r="332" spans="3:7" x14ac:dyDescent="0.45">
      <c r="C332" s="1"/>
      <c r="D332" s="1"/>
      <c r="E332" s="1"/>
      <c r="F332" s="1"/>
      <c r="G332" s="1"/>
    </row>
    <row r="333" spans="3:7" x14ac:dyDescent="0.45">
      <c r="C333" s="1"/>
      <c r="D333" s="1"/>
      <c r="E333" s="1"/>
      <c r="F333" s="1"/>
      <c r="G333" s="1"/>
    </row>
    <row r="334" spans="3:7" x14ac:dyDescent="0.45">
      <c r="C334" s="1"/>
      <c r="D334" s="1"/>
      <c r="E334" s="1"/>
      <c r="F334" s="1"/>
      <c r="G334" s="1"/>
    </row>
    <row r="335" spans="3:7" x14ac:dyDescent="0.45">
      <c r="C335" s="1"/>
      <c r="D335" s="1"/>
      <c r="E335" s="1"/>
      <c r="F335" s="1"/>
      <c r="G335" s="1"/>
    </row>
    <row r="336" spans="3:7" x14ac:dyDescent="0.45">
      <c r="C336" s="1"/>
      <c r="D336" s="1"/>
      <c r="E336" s="1"/>
      <c r="F336" s="1"/>
      <c r="G336" s="1"/>
    </row>
    <row r="337" spans="3:7" x14ac:dyDescent="0.45">
      <c r="C337" s="1"/>
      <c r="D337" s="1"/>
      <c r="E337" s="1"/>
      <c r="F337" s="1"/>
      <c r="G337" s="1"/>
    </row>
    <row r="338" spans="3:7" x14ac:dyDescent="0.45">
      <c r="C338" s="1"/>
      <c r="D338" s="1"/>
      <c r="E338" s="1"/>
      <c r="F338" s="1"/>
      <c r="G338" s="1"/>
    </row>
    <row r="339" spans="3:7" x14ac:dyDescent="0.45">
      <c r="C339" s="1"/>
      <c r="D339" s="1"/>
      <c r="E339" s="1"/>
      <c r="F339" s="1"/>
      <c r="G339" s="1"/>
    </row>
    <row r="340" spans="3:7" x14ac:dyDescent="0.45">
      <c r="C340" s="1"/>
      <c r="D340" s="1"/>
      <c r="E340" s="1"/>
      <c r="F340" s="1"/>
      <c r="G340" s="1"/>
    </row>
    <row r="341" spans="3:7" x14ac:dyDescent="0.45">
      <c r="C341" s="1"/>
      <c r="D341" s="1"/>
      <c r="E341" s="1"/>
      <c r="F341" s="1"/>
      <c r="G341" s="1"/>
    </row>
    <row r="342" spans="3:7" x14ac:dyDescent="0.45">
      <c r="C342" s="1"/>
      <c r="D342" s="1"/>
      <c r="E342" s="1"/>
      <c r="F342" s="1"/>
      <c r="G342" s="1"/>
    </row>
    <row r="343" spans="3:7" x14ac:dyDescent="0.45">
      <c r="C343" s="1"/>
      <c r="D343" s="1"/>
      <c r="E343" s="1"/>
      <c r="F343" s="1"/>
      <c r="G343" s="1"/>
    </row>
    <row r="344" spans="3:7" x14ac:dyDescent="0.45">
      <c r="C344" s="1"/>
      <c r="D344" s="1"/>
      <c r="E344" s="1"/>
      <c r="F344" s="1"/>
      <c r="G344" s="1"/>
    </row>
    <row r="345" spans="3:7" x14ac:dyDescent="0.45">
      <c r="C345" s="1"/>
      <c r="D345" s="1"/>
      <c r="E345" s="1"/>
      <c r="F345" s="1"/>
      <c r="G345" s="1"/>
    </row>
    <row r="346" spans="3:7" x14ac:dyDescent="0.45">
      <c r="C346" s="1"/>
      <c r="D346" s="1"/>
      <c r="E346" s="1"/>
      <c r="F346" s="1"/>
      <c r="G346" s="1"/>
    </row>
    <row r="347" spans="3:7" x14ac:dyDescent="0.45">
      <c r="C347" s="1"/>
      <c r="D347" s="1"/>
      <c r="E347" s="1"/>
      <c r="F347" s="1"/>
      <c r="G347" s="1"/>
    </row>
    <row r="348" spans="3:7" x14ac:dyDescent="0.45">
      <c r="C348" s="1"/>
      <c r="D348" s="1"/>
      <c r="E348" s="1"/>
      <c r="F348" s="1"/>
      <c r="G348" s="1"/>
    </row>
    <row r="349" spans="3:7" x14ac:dyDescent="0.45">
      <c r="C349" s="1"/>
      <c r="D349" s="1"/>
      <c r="E349" s="1"/>
      <c r="F349" s="1"/>
      <c r="G349" s="1"/>
    </row>
    <row r="350" spans="3:7" x14ac:dyDescent="0.45">
      <c r="C350" s="1"/>
      <c r="D350" s="1"/>
      <c r="E350" s="1"/>
      <c r="F350" s="1"/>
      <c r="G350" s="1"/>
    </row>
    <row r="351" spans="3:7" x14ac:dyDescent="0.45">
      <c r="C351" s="1"/>
      <c r="D351" s="1"/>
      <c r="E351" s="1"/>
      <c r="F351" s="1"/>
      <c r="G351" s="1"/>
    </row>
    <row r="352" spans="3:7" x14ac:dyDescent="0.45">
      <c r="C352" s="1"/>
      <c r="D352" s="1"/>
      <c r="E352" s="1"/>
      <c r="F352" s="1"/>
      <c r="G352" s="1"/>
    </row>
    <row r="353" spans="3:7" x14ac:dyDescent="0.45">
      <c r="C353" s="1"/>
      <c r="D353" s="1"/>
      <c r="E353" s="1"/>
      <c r="F353" s="1"/>
      <c r="G353" s="1"/>
    </row>
    <row r="354" spans="3:7" x14ac:dyDescent="0.45">
      <c r="C354" s="1"/>
      <c r="D354" s="1"/>
      <c r="E354" s="1"/>
      <c r="F354" s="1"/>
      <c r="G354" s="1"/>
    </row>
    <row r="355" spans="3:7" x14ac:dyDescent="0.45">
      <c r="C355" s="1"/>
      <c r="D355" s="1"/>
      <c r="E355" s="1"/>
      <c r="F355" s="1"/>
      <c r="G355" s="1"/>
    </row>
    <row r="356" spans="3:7" x14ac:dyDescent="0.45">
      <c r="C356" s="1"/>
      <c r="D356" s="1"/>
      <c r="E356" s="1"/>
      <c r="F356" s="1"/>
      <c r="G356" s="1"/>
    </row>
    <row r="357" spans="3:7" x14ac:dyDescent="0.45">
      <c r="C357" s="1"/>
      <c r="D357" s="1"/>
      <c r="E357" s="1"/>
      <c r="F357" s="1"/>
      <c r="G357" s="1"/>
    </row>
    <row r="358" spans="3:7" x14ac:dyDescent="0.45">
      <c r="C358" s="1"/>
      <c r="D358" s="1"/>
      <c r="E358" s="1"/>
      <c r="F358" s="1"/>
      <c r="G358" s="1"/>
    </row>
    <row r="359" spans="3:7" x14ac:dyDescent="0.45">
      <c r="C359" s="1"/>
      <c r="D359" s="1"/>
      <c r="E359" s="1"/>
      <c r="F359" s="1"/>
      <c r="G359" s="1"/>
    </row>
    <row r="360" spans="3:7" x14ac:dyDescent="0.45">
      <c r="C360" s="1"/>
      <c r="D360" s="1"/>
      <c r="E360" s="1"/>
      <c r="F360" s="1"/>
      <c r="G360" s="1"/>
    </row>
    <row r="361" spans="3:7" x14ac:dyDescent="0.45">
      <c r="C361" s="1"/>
      <c r="D361" s="1"/>
      <c r="E361" s="1"/>
      <c r="F361" s="1"/>
      <c r="G361" s="1"/>
    </row>
    <row r="362" spans="3:7" x14ac:dyDescent="0.45">
      <c r="C362" s="1"/>
      <c r="D362" s="1"/>
      <c r="E362" s="1"/>
      <c r="F362" s="1"/>
      <c r="G362" s="1"/>
    </row>
    <row r="363" spans="3:7" x14ac:dyDescent="0.45">
      <c r="C363" s="1"/>
      <c r="D363" s="1"/>
      <c r="E363" s="1"/>
      <c r="F363" s="1"/>
      <c r="G363" s="1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66"/>
  <sheetViews>
    <sheetView topLeftCell="A79" workbookViewId="0">
      <selection activeCell="B91" sqref="B91"/>
    </sheetView>
  </sheetViews>
  <sheetFormatPr baseColWidth="10" defaultRowHeight="14.25" x14ac:dyDescent="0.45"/>
  <cols>
    <col min="1" max="1" width="37" style="4" bestFit="1" customWidth="1"/>
  </cols>
  <sheetData>
    <row r="1" spans="1:5" x14ac:dyDescent="0.45">
      <c r="A1" t="s">
        <v>101</v>
      </c>
      <c r="B1" t="s">
        <v>102</v>
      </c>
      <c r="C1" t="s">
        <v>103</v>
      </c>
      <c r="D1" t="s">
        <v>104</v>
      </c>
      <c r="E1" t="s">
        <v>105</v>
      </c>
    </row>
    <row r="2" spans="1:5" x14ac:dyDescent="0.45">
      <c r="A2" t="s">
        <v>106</v>
      </c>
      <c r="B2" t="s">
        <v>107</v>
      </c>
      <c r="C2">
        <v>0</v>
      </c>
      <c r="D2">
        <v>0</v>
      </c>
      <c r="E2">
        <v>250</v>
      </c>
    </row>
    <row r="3" spans="1:5" x14ac:dyDescent="0.45">
      <c r="A3" t="s">
        <v>108</v>
      </c>
      <c r="B3" t="s">
        <v>107</v>
      </c>
      <c r="C3">
        <v>0</v>
      </c>
      <c r="D3">
        <v>0</v>
      </c>
      <c r="E3">
        <v>300</v>
      </c>
    </row>
    <row r="4" spans="1:5" x14ac:dyDescent="0.45">
      <c r="A4" t="s">
        <v>109</v>
      </c>
      <c r="B4" t="s">
        <v>107</v>
      </c>
      <c r="C4">
        <v>0</v>
      </c>
      <c r="D4">
        <v>0</v>
      </c>
      <c r="E4">
        <v>350</v>
      </c>
    </row>
    <row r="5" spans="1:5" x14ac:dyDescent="0.45">
      <c r="A5" t="s">
        <v>110</v>
      </c>
      <c r="B5" t="s">
        <v>107</v>
      </c>
      <c r="C5">
        <v>0</v>
      </c>
      <c r="D5">
        <v>0</v>
      </c>
      <c r="E5">
        <v>400</v>
      </c>
    </row>
    <row r="6" spans="1:5" x14ac:dyDescent="0.45">
      <c r="A6" t="s">
        <v>111</v>
      </c>
      <c r="B6" t="s">
        <v>107</v>
      </c>
      <c r="C6">
        <v>0</v>
      </c>
      <c r="D6">
        <v>0</v>
      </c>
      <c r="E6">
        <v>450</v>
      </c>
    </row>
    <row r="7" spans="1:5" x14ac:dyDescent="0.45">
      <c r="A7" t="s">
        <v>112</v>
      </c>
      <c r="B7" t="s">
        <v>107</v>
      </c>
      <c r="C7">
        <v>0</v>
      </c>
      <c r="D7">
        <v>0</v>
      </c>
      <c r="E7">
        <v>500</v>
      </c>
    </row>
    <row r="8" spans="1:5" x14ac:dyDescent="0.45">
      <c r="A8" t="s">
        <v>113</v>
      </c>
      <c r="B8" t="s">
        <v>107</v>
      </c>
      <c r="C8">
        <v>0</v>
      </c>
      <c r="D8">
        <v>0</v>
      </c>
      <c r="E8">
        <v>550</v>
      </c>
    </row>
    <row r="9" spans="1:5" x14ac:dyDescent="0.45">
      <c r="A9" t="s">
        <v>114</v>
      </c>
      <c r="B9" t="s">
        <v>107</v>
      </c>
      <c r="C9">
        <v>0</v>
      </c>
      <c r="D9">
        <v>0</v>
      </c>
      <c r="E9">
        <v>599</v>
      </c>
    </row>
    <row r="10" spans="1:5" x14ac:dyDescent="0.45">
      <c r="A10" t="s">
        <v>115</v>
      </c>
      <c r="B10" t="s">
        <v>107</v>
      </c>
      <c r="C10">
        <v>1</v>
      </c>
      <c r="D10">
        <v>0</v>
      </c>
      <c r="E10">
        <v>250</v>
      </c>
    </row>
    <row r="11" spans="1:5" x14ac:dyDescent="0.45">
      <c r="A11" t="s">
        <v>116</v>
      </c>
      <c r="B11" t="s">
        <v>107</v>
      </c>
      <c r="C11">
        <v>1</v>
      </c>
      <c r="D11">
        <v>0</v>
      </c>
      <c r="E11">
        <v>300</v>
      </c>
    </row>
    <row r="12" spans="1:5" x14ac:dyDescent="0.45">
      <c r="A12" t="s">
        <v>117</v>
      </c>
      <c r="B12" t="s">
        <v>107</v>
      </c>
      <c r="C12">
        <v>1</v>
      </c>
      <c r="D12">
        <v>0</v>
      </c>
      <c r="E12">
        <v>350</v>
      </c>
    </row>
    <row r="13" spans="1:5" x14ac:dyDescent="0.45">
      <c r="A13" t="s">
        <v>118</v>
      </c>
      <c r="B13" t="s">
        <v>107</v>
      </c>
      <c r="C13">
        <v>1</v>
      </c>
      <c r="D13">
        <v>0</v>
      </c>
      <c r="E13">
        <v>400</v>
      </c>
    </row>
    <row r="14" spans="1:5" x14ac:dyDescent="0.45">
      <c r="A14" t="s">
        <v>119</v>
      </c>
      <c r="B14" t="s">
        <v>107</v>
      </c>
      <c r="C14">
        <v>1</v>
      </c>
      <c r="D14">
        <v>0</v>
      </c>
      <c r="E14">
        <v>450</v>
      </c>
    </row>
    <row r="15" spans="1:5" x14ac:dyDescent="0.45">
      <c r="A15" t="s">
        <v>120</v>
      </c>
      <c r="B15" t="s">
        <v>107</v>
      </c>
      <c r="C15">
        <v>1</v>
      </c>
      <c r="D15">
        <v>0</v>
      </c>
      <c r="E15">
        <v>500</v>
      </c>
    </row>
    <row r="16" spans="1:5" x14ac:dyDescent="0.45">
      <c r="A16" t="s">
        <v>121</v>
      </c>
      <c r="B16" t="s">
        <v>107</v>
      </c>
      <c r="C16">
        <v>1</v>
      </c>
      <c r="D16">
        <v>0</v>
      </c>
      <c r="E16">
        <v>550</v>
      </c>
    </row>
    <row r="17" spans="1:5" x14ac:dyDescent="0.45">
      <c r="A17" t="s">
        <v>122</v>
      </c>
      <c r="B17" t="s">
        <v>107</v>
      </c>
      <c r="C17">
        <v>1</v>
      </c>
      <c r="D17">
        <v>0</v>
      </c>
      <c r="E17">
        <v>599</v>
      </c>
    </row>
    <row r="18" spans="1:5" x14ac:dyDescent="0.45">
      <c r="A18" t="s">
        <v>123</v>
      </c>
      <c r="B18" t="s">
        <v>107</v>
      </c>
      <c r="C18">
        <v>2</v>
      </c>
      <c r="D18">
        <v>0</v>
      </c>
      <c r="E18">
        <v>250</v>
      </c>
    </row>
    <row r="19" spans="1:5" x14ac:dyDescent="0.45">
      <c r="A19" t="s">
        <v>124</v>
      </c>
      <c r="B19" t="s">
        <v>107</v>
      </c>
      <c r="C19">
        <v>2</v>
      </c>
      <c r="D19">
        <v>0</v>
      </c>
      <c r="E19">
        <v>300</v>
      </c>
    </row>
    <row r="20" spans="1:5" x14ac:dyDescent="0.45">
      <c r="A20" t="s">
        <v>125</v>
      </c>
      <c r="B20" t="s">
        <v>107</v>
      </c>
      <c r="C20">
        <v>2</v>
      </c>
      <c r="D20">
        <v>0</v>
      </c>
      <c r="E20">
        <v>350</v>
      </c>
    </row>
    <row r="21" spans="1:5" x14ac:dyDescent="0.45">
      <c r="A21" t="s">
        <v>126</v>
      </c>
      <c r="B21" t="s">
        <v>107</v>
      </c>
      <c r="C21">
        <v>2</v>
      </c>
      <c r="D21">
        <v>0</v>
      </c>
      <c r="E21">
        <v>400</v>
      </c>
    </row>
    <row r="22" spans="1:5" x14ac:dyDescent="0.45">
      <c r="A22" t="s">
        <v>127</v>
      </c>
      <c r="B22" t="s">
        <v>107</v>
      </c>
      <c r="C22">
        <v>2</v>
      </c>
      <c r="D22">
        <v>0</v>
      </c>
      <c r="E22">
        <v>450</v>
      </c>
    </row>
    <row r="23" spans="1:5" x14ac:dyDescent="0.45">
      <c r="A23" t="s">
        <v>128</v>
      </c>
      <c r="B23" t="s">
        <v>107</v>
      </c>
      <c r="C23">
        <v>2</v>
      </c>
      <c r="D23">
        <v>0</v>
      </c>
      <c r="E23">
        <v>500</v>
      </c>
    </row>
    <row r="24" spans="1:5" x14ac:dyDescent="0.45">
      <c r="A24" t="s">
        <v>129</v>
      </c>
      <c r="B24" t="s">
        <v>107</v>
      </c>
      <c r="C24">
        <v>2</v>
      </c>
      <c r="D24">
        <v>0</v>
      </c>
      <c r="E24">
        <v>550</v>
      </c>
    </row>
    <row r="25" spans="1:5" x14ac:dyDescent="0.45">
      <c r="A25" t="s">
        <v>130</v>
      </c>
      <c r="B25" t="s">
        <v>107</v>
      </c>
      <c r="C25">
        <v>2</v>
      </c>
      <c r="D25">
        <v>0</v>
      </c>
      <c r="E25">
        <v>599</v>
      </c>
    </row>
    <row r="26" spans="1:5" x14ac:dyDescent="0.45">
      <c r="A26" t="s">
        <v>131</v>
      </c>
      <c r="B26" t="s">
        <v>107</v>
      </c>
      <c r="C26">
        <v>3</v>
      </c>
      <c r="D26">
        <v>0</v>
      </c>
      <c r="E26">
        <v>250</v>
      </c>
    </row>
    <row r="27" spans="1:5" x14ac:dyDescent="0.45">
      <c r="A27" t="s">
        <v>132</v>
      </c>
      <c r="B27" t="s">
        <v>107</v>
      </c>
      <c r="C27">
        <v>3</v>
      </c>
      <c r="D27">
        <v>0</v>
      </c>
      <c r="E27">
        <v>300</v>
      </c>
    </row>
    <row r="28" spans="1:5" x14ac:dyDescent="0.45">
      <c r="A28" t="s">
        <v>133</v>
      </c>
      <c r="B28" t="s">
        <v>107</v>
      </c>
      <c r="C28">
        <v>3</v>
      </c>
      <c r="D28">
        <v>0</v>
      </c>
      <c r="E28">
        <v>350</v>
      </c>
    </row>
    <row r="29" spans="1:5" x14ac:dyDescent="0.45">
      <c r="A29" t="s">
        <v>134</v>
      </c>
      <c r="B29" t="s">
        <v>107</v>
      </c>
      <c r="C29">
        <v>3</v>
      </c>
      <c r="D29">
        <v>0</v>
      </c>
      <c r="E29">
        <v>400</v>
      </c>
    </row>
    <row r="30" spans="1:5" x14ac:dyDescent="0.45">
      <c r="A30" t="s">
        <v>135</v>
      </c>
      <c r="B30" t="s">
        <v>107</v>
      </c>
      <c r="C30">
        <v>3</v>
      </c>
      <c r="D30">
        <v>0</v>
      </c>
      <c r="E30">
        <v>450</v>
      </c>
    </row>
    <row r="31" spans="1:5" x14ac:dyDescent="0.45">
      <c r="A31" t="s">
        <v>136</v>
      </c>
      <c r="B31" t="s">
        <v>107</v>
      </c>
      <c r="C31">
        <v>3</v>
      </c>
      <c r="D31">
        <v>0</v>
      </c>
      <c r="E31">
        <v>500</v>
      </c>
    </row>
    <row r="32" spans="1:5" x14ac:dyDescent="0.45">
      <c r="A32" t="s">
        <v>137</v>
      </c>
      <c r="B32" t="s">
        <v>107</v>
      </c>
      <c r="C32">
        <v>3</v>
      </c>
      <c r="D32">
        <v>0</v>
      </c>
      <c r="E32">
        <v>550</v>
      </c>
    </row>
    <row r="33" spans="1:5" x14ac:dyDescent="0.45">
      <c r="A33" t="s">
        <v>138</v>
      </c>
      <c r="B33" t="s">
        <v>107</v>
      </c>
      <c r="C33">
        <v>3</v>
      </c>
      <c r="D33">
        <v>0</v>
      </c>
      <c r="E33">
        <v>599</v>
      </c>
    </row>
    <row r="34" spans="1:5" x14ac:dyDescent="0.45">
      <c r="A34" t="s">
        <v>139</v>
      </c>
      <c r="B34" t="s">
        <v>107</v>
      </c>
      <c r="C34">
        <v>4</v>
      </c>
      <c r="D34">
        <v>0</v>
      </c>
      <c r="E34">
        <v>250</v>
      </c>
    </row>
    <row r="35" spans="1:5" x14ac:dyDescent="0.45">
      <c r="A35" t="s">
        <v>140</v>
      </c>
      <c r="B35" t="s">
        <v>107</v>
      </c>
      <c r="C35">
        <v>4</v>
      </c>
      <c r="D35">
        <v>0</v>
      </c>
      <c r="E35">
        <v>300</v>
      </c>
    </row>
    <row r="36" spans="1:5" x14ac:dyDescent="0.45">
      <c r="A36" t="s">
        <v>141</v>
      </c>
      <c r="B36" t="s">
        <v>107</v>
      </c>
      <c r="C36">
        <v>4</v>
      </c>
      <c r="D36">
        <v>0</v>
      </c>
      <c r="E36">
        <v>350</v>
      </c>
    </row>
    <row r="37" spans="1:5" x14ac:dyDescent="0.45">
      <c r="A37" t="s">
        <v>142</v>
      </c>
      <c r="B37" t="s">
        <v>107</v>
      </c>
      <c r="C37">
        <v>4</v>
      </c>
      <c r="D37">
        <v>0</v>
      </c>
      <c r="E37">
        <v>400</v>
      </c>
    </row>
    <row r="38" spans="1:5" x14ac:dyDescent="0.45">
      <c r="A38" t="s">
        <v>143</v>
      </c>
      <c r="B38" t="s">
        <v>107</v>
      </c>
      <c r="C38">
        <v>4</v>
      </c>
      <c r="D38">
        <v>0</v>
      </c>
      <c r="E38">
        <v>450</v>
      </c>
    </row>
    <row r="39" spans="1:5" x14ac:dyDescent="0.45">
      <c r="A39" t="s">
        <v>144</v>
      </c>
      <c r="B39" t="s">
        <v>107</v>
      </c>
      <c r="C39">
        <v>4</v>
      </c>
      <c r="D39">
        <v>0</v>
      </c>
      <c r="E39">
        <v>500</v>
      </c>
    </row>
    <row r="40" spans="1:5" x14ac:dyDescent="0.45">
      <c r="A40" t="s">
        <v>145</v>
      </c>
      <c r="B40" t="s">
        <v>107</v>
      </c>
      <c r="C40">
        <v>4</v>
      </c>
      <c r="D40">
        <v>0</v>
      </c>
      <c r="E40">
        <v>550</v>
      </c>
    </row>
    <row r="41" spans="1:5" x14ac:dyDescent="0.45">
      <c r="A41" t="s">
        <v>146</v>
      </c>
      <c r="B41" t="s">
        <v>107</v>
      </c>
      <c r="C41">
        <v>4</v>
      </c>
      <c r="D41">
        <v>0</v>
      </c>
      <c r="E41">
        <v>599</v>
      </c>
    </row>
    <row r="42" spans="1:5" x14ac:dyDescent="0.45">
      <c r="A42" t="s">
        <v>147</v>
      </c>
      <c r="B42" t="s">
        <v>107</v>
      </c>
      <c r="C42">
        <v>5</v>
      </c>
      <c r="D42">
        <v>0</v>
      </c>
      <c r="E42">
        <v>200</v>
      </c>
    </row>
    <row r="43" spans="1:5" x14ac:dyDescent="0.45">
      <c r="A43" t="s">
        <v>148</v>
      </c>
      <c r="B43" t="s">
        <v>107</v>
      </c>
      <c r="C43">
        <v>5</v>
      </c>
      <c r="D43">
        <v>0</v>
      </c>
      <c r="E43">
        <v>250</v>
      </c>
    </row>
    <row r="44" spans="1:5" x14ac:dyDescent="0.45">
      <c r="A44" t="s">
        <v>149</v>
      </c>
      <c r="B44" t="s">
        <v>107</v>
      </c>
      <c r="C44">
        <v>5</v>
      </c>
      <c r="D44">
        <v>0</v>
      </c>
      <c r="E44">
        <v>300</v>
      </c>
    </row>
    <row r="45" spans="1:5" x14ac:dyDescent="0.45">
      <c r="A45" t="s">
        <v>150</v>
      </c>
      <c r="B45" t="s">
        <v>107</v>
      </c>
      <c r="C45">
        <v>5</v>
      </c>
      <c r="D45">
        <v>0</v>
      </c>
      <c r="E45">
        <v>350</v>
      </c>
    </row>
    <row r="46" spans="1:5" x14ac:dyDescent="0.45">
      <c r="A46" t="s">
        <v>151</v>
      </c>
      <c r="B46" t="s">
        <v>107</v>
      </c>
      <c r="C46">
        <v>5</v>
      </c>
      <c r="D46">
        <v>0</v>
      </c>
      <c r="E46">
        <v>400</v>
      </c>
    </row>
    <row r="47" spans="1:5" x14ac:dyDescent="0.45">
      <c r="A47" t="s">
        <v>152</v>
      </c>
      <c r="B47" t="s">
        <v>107</v>
      </c>
      <c r="C47">
        <v>5</v>
      </c>
      <c r="D47">
        <v>0</v>
      </c>
      <c r="E47">
        <v>450</v>
      </c>
    </row>
    <row r="48" spans="1:5" x14ac:dyDescent="0.45">
      <c r="A48" t="s">
        <v>153</v>
      </c>
      <c r="B48" t="s">
        <v>107</v>
      </c>
      <c r="C48">
        <v>5</v>
      </c>
      <c r="D48">
        <v>0</v>
      </c>
      <c r="E48">
        <v>500</v>
      </c>
    </row>
    <row r="49" spans="1:5" x14ac:dyDescent="0.45">
      <c r="A49" t="s">
        <v>154</v>
      </c>
      <c r="B49" t="s">
        <v>107</v>
      </c>
      <c r="C49">
        <v>5</v>
      </c>
      <c r="D49">
        <v>0</v>
      </c>
      <c r="E49">
        <v>550</v>
      </c>
    </row>
    <row r="50" spans="1:5" x14ac:dyDescent="0.45">
      <c r="A50" t="s">
        <v>155</v>
      </c>
      <c r="B50" t="s">
        <v>107</v>
      </c>
      <c r="C50">
        <v>5</v>
      </c>
      <c r="D50">
        <v>0</v>
      </c>
      <c r="E50">
        <v>599</v>
      </c>
    </row>
    <row r="51" spans="1:5" x14ac:dyDescent="0.45">
      <c r="A51" t="s">
        <v>156</v>
      </c>
      <c r="B51" t="s">
        <v>107</v>
      </c>
      <c r="C51">
        <v>6</v>
      </c>
      <c r="D51">
        <v>0</v>
      </c>
      <c r="E51">
        <v>200</v>
      </c>
    </row>
    <row r="52" spans="1:5" x14ac:dyDescent="0.45">
      <c r="A52" t="s">
        <v>157</v>
      </c>
      <c r="B52" t="s">
        <v>107</v>
      </c>
      <c r="C52">
        <v>6</v>
      </c>
      <c r="D52">
        <v>0</v>
      </c>
      <c r="E52">
        <v>250</v>
      </c>
    </row>
    <row r="53" spans="1:5" x14ac:dyDescent="0.45">
      <c r="A53" t="s">
        <v>158</v>
      </c>
      <c r="B53" t="s">
        <v>107</v>
      </c>
      <c r="C53">
        <v>6</v>
      </c>
      <c r="D53">
        <v>0</v>
      </c>
      <c r="E53">
        <v>300</v>
      </c>
    </row>
    <row r="54" spans="1:5" x14ac:dyDescent="0.45">
      <c r="A54" t="s">
        <v>159</v>
      </c>
      <c r="B54" t="s">
        <v>107</v>
      </c>
      <c r="C54">
        <v>6</v>
      </c>
      <c r="D54">
        <v>0</v>
      </c>
      <c r="E54">
        <v>350</v>
      </c>
    </row>
    <row r="55" spans="1:5" x14ac:dyDescent="0.45">
      <c r="A55" t="s">
        <v>160</v>
      </c>
      <c r="B55" t="s">
        <v>107</v>
      </c>
      <c r="C55">
        <v>6</v>
      </c>
      <c r="D55">
        <v>0</v>
      </c>
      <c r="E55">
        <v>400</v>
      </c>
    </row>
    <row r="56" spans="1:5" x14ac:dyDescent="0.45">
      <c r="A56" t="s">
        <v>161</v>
      </c>
      <c r="B56" t="s">
        <v>107</v>
      </c>
      <c r="C56">
        <v>6</v>
      </c>
      <c r="D56">
        <v>0</v>
      </c>
      <c r="E56">
        <v>450</v>
      </c>
    </row>
    <row r="57" spans="1:5" x14ac:dyDescent="0.45">
      <c r="A57" t="s">
        <v>162</v>
      </c>
      <c r="B57" t="s">
        <v>107</v>
      </c>
      <c r="C57">
        <v>6</v>
      </c>
      <c r="D57">
        <v>0</v>
      </c>
      <c r="E57">
        <v>500</v>
      </c>
    </row>
    <row r="58" spans="1:5" x14ac:dyDescent="0.45">
      <c r="A58" t="s">
        <v>163</v>
      </c>
      <c r="B58" t="s">
        <v>107</v>
      </c>
      <c r="C58">
        <v>6</v>
      </c>
      <c r="D58">
        <v>0</v>
      </c>
      <c r="E58">
        <v>550</v>
      </c>
    </row>
    <row r="59" spans="1:5" x14ac:dyDescent="0.45">
      <c r="A59" t="s">
        <v>164</v>
      </c>
      <c r="B59" t="s">
        <v>107</v>
      </c>
      <c r="C59">
        <v>6</v>
      </c>
      <c r="D59">
        <v>0</v>
      </c>
      <c r="E59">
        <v>599</v>
      </c>
    </row>
    <row r="60" spans="1:5" x14ac:dyDescent="0.45">
      <c r="A60" t="s">
        <v>165</v>
      </c>
      <c r="B60" t="s">
        <v>107</v>
      </c>
      <c r="C60">
        <v>7</v>
      </c>
      <c r="D60">
        <v>0</v>
      </c>
      <c r="E60">
        <v>200</v>
      </c>
    </row>
    <row r="61" spans="1:5" x14ac:dyDescent="0.45">
      <c r="A61" t="s">
        <v>166</v>
      </c>
      <c r="B61" t="s">
        <v>107</v>
      </c>
      <c r="C61">
        <v>7</v>
      </c>
      <c r="D61">
        <v>0</v>
      </c>
      <c r="E61">
        <v>250</v>
      </c>
    </row>
    <row r="62" spans="1:5" x14ac:dyDescent="0.45">
      <c r="A62" t="s">
        <v>167</v>
      </c>
      <c r="B62" t="s">
        <v>107</v>
      </c>
      <c r="C62">
        <v>7</v>
      </c>
      <c r="D62">
        <v>0</v>
      </c>
      <c r="E62">
        <v>300</v>
      </c>
    </row>
    <row r="63" spans="1:5" x14ac:dyDescent="0.45">
      <c r="A63" t="s">
        <v>168</v>
      </c>
      <c r="B63" t="s">
        <v>107</v>
      </c>
      <c r="C63">
        <v>7</v>
      </c>
      <c r="D63">
        <v>0</v>
      </c>
      <c r="E63">
        <v>350</v>
      </c>
    </row>
    <row r="64" spans="1:5" x14ac:dyDescent="0.45">
      <c r="A64" t="s">
        <v>169</v>
      </c>
      <c r="B64" t="s">
        <v>107</v>
      </c>
      <c r="C64">
        <v>7</v>
      </c>
      <c r="D64">
        <v>0</v>
      </c>
      <c r="E64">
        <v>400</v>
      </c>
    </row>
    <row r="65" spans="1:5" x14ac:dyDescent="0.45">
      <c r="A65" t="s">
        <v>170</v>
      </c>
      <c r="B65" t="s">
        <v>107</v>
      </c>
      <c r="C65">
        <v>7</v>
      </c>
      <c r="D65">
        <v>0</v>
      </c>
      <c r="E65">
        <v>450</v>
      </c>
    </row>
    <row r="66" spans="1:5" x14ac:dyDescent="0.45">
      <c r="A66" t="s">
        <v>171</v>
      </c>
      <c r="B66" t="s">
        <v>107</v>
      </c>
      <c r="C66">
        <v>7</v>
      </c>
      <c r="D66">
        <v>0</v>
      </c>
      <c r="E66">
        <v>500</v>
      </c>
    </row>
    <row r="67" spans="1:5" x14ac:dyDescent="0.45">
      <c r="A67" t="s">
        <v>172</v>
      </c>
      <c r="B67" t="s">
        <v>107</v>
      </c>
      <c r="C67">
        <v>7</v>
      </c>
      <c r="D67">
        <v>0</v>
      </c>
      <c r="E67">
        <v>550</v>
      </c>
    </row>
    <row r="68" spans="1:5" x14ac:dyDescent="0.45">
      <c r="A68" t="s">
        <v>173</v>
      </c>
      <c r="B68" t="s">
        <v>107</v>
      </c>
      <c r="C68">
        <v>7</v>
      </c>
      <c r="D68">
        <v>0</v>
      </c>
      <c r="E68">
        <v>599</v>
      </c>
    </row>
    <row r="69" spans="1:5" x14ac:dyDescent="0.45">
      <c r="A69" t="s">
        <v>174</v>
      </c>
      <c r="B69" t="s">
        <v>107</v>
      </c>
      <c r="C69">
        <v>8</v>
      </c>
      <c r="D69">
        <v>0</v>
      </c>
      <c r="E69">
        <v>200</v>
      </c>
    </row>
    <row r="70" spans="1:5" x14ac:dyDescent="0.45">
      <c r="A70" t="s">
        <v>175</v>
      </c>
      <c r="B70" t="s">
        <v>107</v>
      </c>
      <c r="C70">
        <v>8</v>
      </c>
      <c r="D70">
        <v>0</v>
      </c>
      <c r="E70">
        <v>250</v>
      </c>
    </row>
    <row r="71" spans="1:5" x14ac:dyDescent="0.45">
      <c r="A71" t="s">
        <v>176</v>
      </c>
      <c r="B71" t="s">
        <v>107</v>
      </c>
      <c r="C71">
        <v>8</v>
      </c>
      <c r="D71">
        <v>0</v>
      </c>
      <c r="E71">
        <v>300</v>
      </c>
    </row>
    <row r="72" spans="1:5" x14ac:dyDescent="0.45">
      <c r="A72" t="s">
        <v>177</v>
      </c>
      <c r="B72" t="s">
        <v>107</v>
      </c>
      <c r="C72">
        <v>8</v>
      </c>
      <c r="D72">
        <v>0</v>
      </c>
      <c r="E72">
        <v>350</v>
      </c>
    </row>
    <row r="73" spans="1:5" x14ac:dyDescent="0.45">
      <c r="A73" t="s">
        <v>178</v>
      </c>
      <c r="B73" t="s">
        <v>107</v>
      </c>
      <c r="C73">
        <v>8</v>
      </c>
      <c r="D73">
        <v>0</v>
      </c>
      <c r="E73">
        <v>400</v>
      </c>
    </row>
    <row r="74" spans="1:5" x14ac:dyDescent="0.45">
      <c r="A74" t="s">
        <v>179</v>
      </c>
      <c r="B74" t="s">
        <v>107</v>
      </c>
      <c r="C74">
        <v>8</v>
      </c>
      <c r="D74">
        <v>0</v>
      </c>
      <c r="E74">
        <v>450</v>
      </c>
    </row>
    <row r="75" spans="1:5" x14ac:dyDescent="0.45">
      <c r="A75" t="s">
        <v>180</v>
      </c>
      <c r="B75" t="s">
        <v>107</v>
      </c>
      <c r="C75">
        <v>8</v>
      </c>
      <c r="D75">
        <v>0</v>
      </c>
      <c r="E75">
        <v>500</v>
      </c>
    </row>
    <row r="76" spans="1:5" x14ac:dyDescent="0.45">
      <c r="A76" t="s">
        <v>181</v>
      </c>
      <c r="B76" t="s">
        <v>107</v>
      </c>
      <c r="C76">
        <v>8</v>
      </c>
      <c r="D76">
        <v>0</v>
      </c>
      <c r="E76">
        <v>550</v>
      </c>
    </row>
    <row r="77" spans="1:5" x14ac:dyDescent="0.45">
      <c r="A77" t="s">
        <v>182</v>
      </c>
      <c r="B77" t="s">
        <v>107</v>
      </c>
      <c r="C77">
        <v>8</v>
      </c>
      <c r="D77">
        <v>0</v>
      </c>
      <c r="E77">
        <v>599</v>
      </c>
    </row>
    <row r="78" spans="1:5" x14ac:dyDescent="0.45">
      <c r="A78" t="s">
        <v>183</v>
      </c>
      <c r="B78" t="s">
        <v>107</v>
      </c>
      <c r="C78">
        <v>9</v>
      </c>
      <c r="D78">
        <v>0</v>
      </c>
      <c r="E78">
        <v>200</v>
      </c>
    </row>
    <row r="79" spans="1:5" x14ac:dyDescent="0.45">
      <c r="A79" t="s">
        <v>184</v>
      </c>
      <c r="B79" t="s">
        <v>107</v>
      </c>
      <c r="C79">
        <v>9</v>
      </c>
      <c r="D79">
        <v>0</v>
      </c>
      <c r="E79">
        <v>250</v>
      </c>
    </row>
    <row r="80" spans="1:5" x14ac:dyDescent="0.45">
      <c r="A80" t="s">
        <v>185</v>
      </c>
      <c r="B80" t="s">
        <v>107</v>
      </c>
      <c r="C80">
        <v>9</v>
      </c>
      <c r="D80">
        <v>0</v>
      </c>
      <c r="E80">
        <v>300</v>
      </c>
    </row>
    <row r="81" spans="1:5" x14ac:dyDescent="0.45">
      <c r="A81" t="s">
        <v>186</v>
      </c>
      <c r="B81" t="s">
        <v>107</v>
      </c>
      <c r="C81">
        <v>9</v>
      </c>
      <c r="D81">
        <v>0</v>
      </c>
      <c r="E81">
        <v>350</v>
      </c>
    </row>
    <row r="82" spans="1:5" x14ac:dyDescent="0.45">
      <c r="A82" t="s">
        <v>187</v>
      </c>
      <c r="B82" t="s">
        <v>107</v>
      </c>
      <c r="C82">
        <v>9</v>
      </c>
      <c r="D82">
        <v>0</v>
      </c>
      <c r="E82">
        <v>400</v>
      </c>
    </row>
    <row r="83" spans="1:5" x14ac:dyDescent="0.45">
      <c r="A83" t="s">
        <v>188</v>
      </c>
      <c r="B83" t="s">
        <v>107</v>
      </c>
      <c r="C83">
        <v>9</v>
      </c>
      <c r="D83">
        <v>0</v>
      </c>
      <c r="E83">
        <v>450</v>
      </c>
    </row>
    <row r="84" spans="1:5" x14ac:dyDescent="0.45">
      <c r="A84" t="s">
        <v>189</v>
      </c>
      <c r="B84" t="s">
        <v>107</v>
      </c>
      <c r="C84">
        <v>9</v>
      </c>
      <c r="D84">
        <v>0</v>
      </c>
      <c r="E84">
        <v>500</v>
      </c>
    </row>
    <row r="85" spans="1:5" x14ac:dyDescent="0.45">
      <c r="A85" t="s">
        <v>190</v>
      </c>
      <c r="B85" t="s">
        <v>107</v>
      </c>
      <c r="C85">
        <v>9</v>
      </c>
      <c r="D85">
        <v>0</v>
      </c>
      <c r="E85">
        <v>550</v>
      </c>
    </row>
    <row r="86" spans="1:5" x14ac:dyDescent="0.45">
      <c r="A86" t="s">
        <v>191</v>
      </c>
      <c r="B86" t="s">
        <v>107</v>
      </c>
      <c r="C86">
        <v>9</v>
      </c>
      <c r="D86">
        <v>0</v>
      </c>
      <c r="E86">
        <v>599</v>
      </c>
    </row>
    <row r="87" spans="1:5" x14ac:dyDescent="0.45">
      <c r="A87" t="s">
        <v>192</v>
      </c>
      <c r="B87" t="s">
        <v>107</v>
      </c>
      <c r="C87">
        <v>10</v>
      </c>
      <c r="D87">
        <v>0</v>
      </c>
      <c r="E87">
        <v>100</v>
      </c>
    </row>
    <row r="88" spans="1:5" x14ac:dyDescent="0.45">
      <c r="A88" t="s">
        <v>193</v>
      </c>
      <c r="B88" t="s">
        <v>107</v>
      </c>
      <c r="C88">
        <v>10</v>
      </c>
      <c r="D88">
        <v>0</v>
      </c>
      <c r="E88">
        <v>150</v>
      </c>
    </row>
    <row r="89" spans="1:5" x14ac:dyDescent="0.45">
      <c r="A89" t="s">
        <v>194</v>
      </c>
      <c r="B89" t="s">
        <v>107</v>
      </c>
      <c r="C89">
        <v>10</v>
      </c>
      <c r="D89">
        <v>0</v>
      </c>
      <c r="E89">
        <v>200</v>
      </c>
    </row>
    <row r="90" spans="1:5" x14ac:dyDescent="0.45">
      <c r="A90" t="s">
        <v>195</v>
      </c>
      <c r="B90" t="s">
        <v>107</v>
      </c>
      <c r="C90">
        <v>10</v>
      </c>
      <c r="D90">
        <v>0</v>
      </c>
      <c r="E90">
        <v>250</v>
      </c>
    </row>
    <row r="91" spans="1:5" x14ac:dyDescent="0.45">
      <c r="A91" t="s">
        <v>196</v>
      </c>
      <c r="B91" t="s">
        <v>107</v>
      </c>
      <c r="C91">
        <v>10</v>
      </c>
      <c r="D91">
        <v>0</v>
      </c>
      <c r="E91">
        <v>300</v>
      </c>
    </row>
    <row r="92" spans="1:5" x14ac:dyDescent="0.45">
      <c r="A92" t="s">
        <v>197</v>
      </c>
      <c r="B92" t="s">
        <v>107</v>
      </c>
      <c r="C92">
        <v>10</v>
      </c>
      <c r="D92">
        <v>0</v>
      </c>
      <c r="E92">
        <v>350</v>
      </c>
    </row>
    <row r="93" spans="1:5" x14ac:dyDescent="0.45">
      <c r="A93" t="s">
        <v>198</v>
      </c>
      <c r="B93" t="s">
        <v>107</v>
      </c>
      <c r="C93">
        <v>10</v>
      </c>
      <c r="D93">
        <v>0</v>
      </c>
      <c r="E93">
        <v>400</v>
      </c>
    </row>
    <row r="94" spans="1:5" x14ac:dyDescent="0.45">
      <c r="A94" t="s">
        <v>199</v>
      </c>
      <c r="B94" t="s">
        <v>107</v>
      </c>
      <c r="C94">
        <v>10</v>
      </c>
      <c r="D94">
        <v>0</v>
      </c>
      <c r="E94">
        <v>450</v>
      </c>
    </row>
    <row r="95" spans="1:5" x14ac:dyDescent="0.45">
      <c r="A95" t="s">
        <v>200</v>
      </c>
      <c r="B95" t="s">
        <v>107</v>
      </c>
      <c r="C95">
        <v>10</v>
      </c>
      <c r="D95">
        <v>0</v>
      </c>
      <c r="E95">
        <v>500</v>
      </c>
    </row>
    <row r="96" spans="1:5" x14ac:dyDescent="0.45">
      <c r="A96" t="s">
        <v>201</v>
      </c>
      <c r="B96" t="s">
        <v>107</v>
      </c>
      <c r="C96">
        <v>10</v>
      </c>
      <c r="D96">
        <v>0</v>
      </c>
      <c r="E96">
        <v>550</v>
      </c>
    </row>
    <row r="97" spans="1:5" x14ac:dyDescent="0.45">
      <c r="A97" t="s">
        <v>202</v>
      </c>
      <c r="B97" t="s">
        <v>107</v>
      </c>
      <c r="C97">
        <v>10</v>
      </c>
      <c r="D97">
        <v>0</v>
      </c>
      <c r="E97">
        <v>599</v>
      </c>
    </row>
    <row r="98" spans="1:5" x14ac:dyDescent="0.45">
      <c r="A98" t="s">
        <v>203</v>
      </c>
      <c r="B98" t="s">
        <v>107</v>
      </c>
      <c r="C98">
        <v>11</v>
      </c>
      <c r="D98">
        <v>0</v>
      </c>
      <c r="E98">
        <v>100</v>
      </c>
    </row>
    <row r="99" spans="1:5" x14ac:dyDescent="0.45">
      <c r="A99" t="s">
        <v>204</v>
      </c>
      <c r="B99" t="s">
        <v>107</v>
      </c>
      <c r="C99">
        <v>11</v>
      </c>
      <c r="D99">
        <v>0</v>
      </c>
      <c r="E99">
        <v>150</v>
      </c>
    </row>
    <row r="100" spans="1:5" x14ac:dyDescent="0.45">
      <c r="A100" t="s">
        <v>205</v>
      </c>
      <c r="B100" t="s">
        <v>107</v>
      </c>
      <c r="C100">
        <v>11</v>
      </c>
      <c r="D100">
        <v>0</v>
      </c>
      <c r="E100">
        <v>200</v>
      </c>
    </row>
    <row r="101" spans="1:5" x14ac:dyDescent="0.45">
      <c r="A101" t="s">
        <v>206</v>
      </c>
      <c r="B101" t="s">
        <v>107</v>
      </c>
      <c r="C101">
        <v>11</v>
      </c>
      <c r="D101">
        <v>0</v>
      </c>
      <c r="E101">
        <v>250</v>
      </c>
    </row>
    <row r="102" spans="1:5" x14ac:dyDescent="0.45">
      <c r="A102" t="s">
        <v>207</v>
      </c>
      <c r="B102" t="s">
        <v>107</v>
      </c>
      <c r="C102">
        <v>11</v>
      </c>
      <c r="D102">
        <v>0</v>
      </c>
      <c r="E102">
        <v>300</v>
      </c>
    </row>
    <row r="103" spans="1:5" x14ac:dyDescent="0.45">
      <c r="A103" t="s">
        <v>208</v>
      </c>
      <c r="B103" t="s">
        <v>107</v>
      </c>
      <c r="C103">
        <v>11</v>
      </c>
      <c r="D103">
        <v>0</v>
      </c>
      <c r="E103">
        <v>350</v>
      </c>
    </row>
    <row r="104" spans="1:5" x14ac:dyDescent="0.45">
      <c r="A104" t="s">
        <v>209</v>
      </c>
      <c r="B104" t="s">
        <v>107</v>
      </c>
      <c r="C104">
        <v>11</v>
      </c>
      <c r="D104">
        <v>0</v>
      </c>
      <c r="E104">
        <v>400</v>
      </c>
    </row>
    <row r="105" spans="1:5" x14ac:dyDescent="0.45">
      <c r="A105" t="s">
        <v>210</v>
      </c>
      <c r="B105" t="s">
        <v>107</v>
      </c>
      <c r="C105">
        <v>11</v>
      </c>
      <c r="D105">
        <v>0</v>
      </c>
      <c r="E105">
        <v>450</v>
      </c>
    </row>
    <row r="106" spans="1:5" x14ac:dyDescent="0.45">
      <c r="A106" t="s">
        <v>211</v>
      </c>
      <c r="B106" t="s">
        <v>107</v>
      </c>
      <c r="C106">
        <v>11</v>
      </c>
      <c r="D106">
        <v>0</v>
      </c>
      <c r="E106">
        <v>500</v>
      </c>
    </row>
    <row r="107" spans="1:5" x14ac:dyDescent="0.45">
      <c r="A107" t="s">
        <v>212</v>
      </c>
      <c r="B107" t="s">
        <v>107</v>
      </c>
      <c r="C107">
        <v>11</v>
      </c>
      <c r="D107">
        <v>0</v>
      </c>
      <c r="E107">
        <v>550</v>
      </c>
    </row>
    <row r="108" spans="1:5" x14ac:dyDescent="0.45">
      <c r="A108" t="s">
        <v>213</v>
      </c>
      <c r="B108" t="s">
        <v>107</v>
      </c>
      <c r="C108">
        <v>11</v>
      </c>
      <c r="D108">
        <v>0</v>
      </c>
      <c r="E108">
        <v>599</v>
      </c>
    </row>
    <row r="109" spans="1:5" x14ac:dyDescent="0.45">
      <c r="A109" t="s">
        <v>214</v>
      </c>
      <c r="B109" t="s">
        <v>107</v>
      </c>
      <c r="C109">
        <v>12</v>
      </c>
      <c r="D109">
        <v>0</v>
      </c>
      <c r="E109">
        <v>100</v>
      </c>
    </row>
    <row r="110" spans="1:5" x14ac:dyDescent="0.45">
      <c r="A110" t="s">
        <v>215</v>
      </c>
      <c r="B110" t="s">
        <v>107</v>
      </c>
      <c r="C110">
        <v>12</v>
      </c>
      <c r="D110">
        <v>0</v>
      </c>
      <c r="E110">
        <v>150</v>
      </c>
    </row>
    <row r="111" spans="1:5" x14ac:dyDescent="0.45">
      <c r="A111" t="s">
        <v>216</v>
      </c>
      <c r="B111" t="s">
        <v>107</v>
      </c>
      <c r="C111">
        <v>12</v>
      </c>
      <c r="D111">
        <v>0</v>
      </c>
      <c r="E111">
        <v>200</v>
      </c>
    </row>
    <row r="112" spans="1:5" x14ac:dyDescent="0.45">
      <c r="A112" t="s">
        <v>217</v>
      </c>
      <c r="B112" t="s">
        <v>107</v>
      </c>
      <c r="C112">
        <v>12</v>
      </c>
      <c r="D112">
        <v>0</v>
      </c>
      <c r="E112">
        <v>250</v>
      </c>
    </row>
    <row r="113" spans="1:5" x14ac:dyDescent="0.45">
      <c r="A113" t="s">
        <v>218</v>
      </c>
      <c r="B113" t="s">
        <v>107</v>
      </c>
      <c r="C113">
        <v>12</v>
      </c>
      <c r="D113">
        <v>0</v>
      </c>
      <c r="E113">
        <v>300</v>
      </c>
    </row>
    <row r="114" spans="1:5" x14ac:dyDescent="0.45">
      <c r="A114" t="s">
        <v>219</v>
      </c>
      <c r="B114" t="s">
        <v>107</v>
      </c>
      <c r="C114">
        <v>12</v>
      </c>
      <c r="D114">
        <v>0</v>
      </c>
      <c r="E114">
        <v>350</v>
      </c>
    </row>
    <row r="115" spans="1:5" x14ac:dyDescent="0.45">
      <c r="A115" t="s">
        <v>220</v>
      </c>
      <c r="B115" t="s">
        <v>107</v>
      </c>
      <c r="C115">
        <v>12</v>
      </c>
      <c r="D115">
        <v>0</v>
      </c>
      <c r="E115">
        <v>400</v>
      </c>
    </row>
    <row r="116" spans="1:5" x14ac:dyDescent="0.45">
      <c r="A116" t="s">
        <v>221</v>
      </c>
      <c r="B116" t="s">
        <v>107</v>
      </c>
      <c r="C116">
        <v>12</v>
      </c>
      <c r="D116">
        <v>0</v>
      </c>
      <c r="E116">
        <v>450</v>
      </c>
    </row>
    <row r="117" spans="1:5" x14ac:dyDescent="0.45">
      <c r="A117" t="s">
        <v>222</v>
      </c>
      <c r="B117" t="s">
        <v>107</v>
      </c>
      <c r="C117">
        <v>12</v>
      </c>
      <c r="D117">
        <v>0</v>
      </c>
      <c r="E117">
        <v>500</v>
      </c>
    </row>
    <row r="118" spans="1:5" x14ac:dyDescent="0.45">
      <c r="A118" t="s">
        <v>223</v>
      </c>
      <c r="B118" t="s">
        <v>107</v>
      </c>
      <c r="C118">
        <v>12</v>
      </c>
      <c r="D118">
        <v>0</v>
      </c>
      <c r="E118">
        <v>550</v>
      </c>
    </row>
    <row r="119" spans="1:5" x14ac:dyDescent="0.45">
      <c r="A119" t="s">
        <v>224</v>
      </c>
      <c r="B119" t="s">
        <v>107</v>
      </c>
      <c r="C119">
        <v>12</v>
      </c>
      <c r="D119">
        <v>0</v>
      </c>
      <c r="E119">
        <v>599</v>
      </c>
    </row>
    <row r="120" spans="1:5" x14ac:dyDescent="0.45">
      <c r="A120" t="s">
        <v>225</v>
      </c>
      <c r="B120" t="s">
        <v>107</v>
      </c>
      <c r="C120">
        <v>13</v>
      </c>
      <c r="D120">
        <v>0</v>
      </c>
      <c r="E120">
        <v>100</v>
      </c>
    </row>
    <row r="121" spans="1:5" x14ac:dyDescent="0.45">
      <c r="A121" t="s">
        <v>226</v>
      </c>
      <c r="B121" t="s">
        <v>107</v>
      </c>
      <c r="C121">
        <v>13</v>
      </c>
      <c r="D121">
        <v>0</v>
      </c>
      <c r="E121">
        <v>150</v>
      </c>
    </row>
    <row r="122" spans="1:5" x14ac:dyDescent="0.45">
      <c r="A122" t="s">
        <v>227</v>
      </c>
      <c r="B122" t="s">
        <v>107</v>
      </c>
      <c r="C122">
        <v>13</v>
      </c>
      <c r="D122">
        <v>0</v>
      </c>
      <c r="E122">
        <v>200</v>
      </c>
    </row>
    <row r="123" spans="1:5" x14ac:dyDescent="0.45">
      <c r="A123" t="s">
        <v>228</v>
      </c>
      <c r="B123" t="s">
        <v>107</v>
      </c>
      <c r="C123">
        <v>13</v>
      </c>
      <c r="D123">
        <v>0</v>
      </c>
      <c r="E123">
        <v>250</v>
      </c>
    </row>
    <row r="124" spans="1:5" x14ac:dyDescent="0.45">
      <c r="A124" t="s">
        <v>229</v>
      </c>
      <c r="B124" t="s">
        <v>107</v>
      </c>
      <c r="C124">
        <v>13</v>
      </c>
      <c r="D124">
        <v>0</v>
      </c>
      <c r="E124">
        <v>300</v>
      </c>
    </row>
    <row r="125" spans="1:5" x14ac:dyDescent="0.45">
      <c r="A125" t="s">
        <v>230</v>
      </c>
      <c r="B125" t="s">
        <v>107</v>
      </c>
      <c r="C125">
        <v>13</v>
      </c>
      <c r="D125">
        <v>0</v>
      </c>
      <c r="E125">
        <v>350</v>
      </c>
    </row>
    <row r="126" spans="1:5" x14ac:dyDescent="0.45">
      <c r="A126" t="s">
        <v>231</v>
      </c>
      <c r="B126" t="s">
        <v>107</v>
      </c>
      <c r="C126">
        <v>13</v>
      </c>
      <c r="D126">
        <v>0</v>
      </c>
      <c r="E126">
        <v>400</v>
      </c>
    </row>
    <row r="127" spans="1:5" x14ac:dyDescent="0.45">
      <c r="A127" t="s">
        <v>232</v>
      </c>
      <c r="B127" t="s">
        <v>107</v>
      </c>
      <c r="C127">
        <v>13</v>
      </c>
      <c r="D127">
        <v>0</v>
      </c>
      <c r="E127">
        <v>450</v>
      </c>
    </row>
    <row r="128" spans="1:5" x14ac:dyDescent="0.45">
      <c r="A128" t="s">
        <v>233</v>
      </c>
      <c r="B128" t="s">
        <v>107</v>
      </c>
      <c r="C128">
        <v>13</v>
      </c>
      <c r="D128">
        <v>0</v>
      </c>
      <c r="E128">
        <v>500</v>
      </c>
    </row>
    <row r="129" spans="1:5" x14ac:dyDescent="0.45">
      <c r="A129" t="s">
        <v>234</v>
      </c>
      <c r="B129" t="s">
        <v>107</v>
      </c>
      <c r="C129">
        <v>13</v>
      </c>
      <c r="D129">
        <v>0</v>
      </c>
      <c r="E129">
        <v>550</v>
      </c>
    </row>
    <row r="130" spans="1:5" x14ac:dyDescent="0.45">
      <c r="A130" t="s">
        <v>235</v>
      </c>
      <c r="B130" t="s">
        <v>107</v>
      </c>
      <c r="C130">
        <v>13</v>
      </c>
      <c r="D130">
        <v>0</v>
      </c>
      <c r="E130">
        <v>599</v>
      </c>
    </row>
    <row r="131" spans="1:5" x14ac:dyDescent="0.45">
      <c r="A131" t="s">
        <v>236</v>
      </c>
      <c r="B131" t="s">
        <v>107</v>
      </c>
      <c r="C131">
        <v>14</v>
      </c>
      <c r="D131">
        <v>0</v>
      </c>
      <c r="E131">
        <v>100</v>
      </c>
    </row>
    <row r="132" spans="1:5" x14ac:dyDescent="0.45">
      <c r="A132" t="s">
        <v>237</v>
      </c>
      <c r="B132" t="s">
        <v>107</v>
      </c>
      <c r="C132">
        <v>14</v>
      </c>
      <c r="D132">
        <v>0</v>
      </c>
      <c r="E132">
        <v>150</v>
      </c>
    </row>
    <row r="133" spans="1:5" x14ac:dyDescent="0.45">
      <c r="A133" t="s">
        <v>238</v>
      </c>
      <c r="B133" t="s">
        <v>107</v>
      </c>
      <c r="C133">
        <v>14</v>
      </c>
      <c r="D133">
        <v>0</v>
      </c>
      <c r="E133">
        <v>200</v>
      </c>
    </row>
    <row r="134" spans="1:5" x14ac:dyDescent="0.45">
      <c r="A134" t="s">
        <v>239</v>
      </c>
      <c r="B134" t="s">
        <v>107</v>
      </c>
      <c r="C134">
        <v>14</v>
      </c>
      <c r="D134">
        <v>0</v>
      </c>
      <c r="E134">
        <v>250</v>
      </c>
    </row>
    <row r="135" spans="1:5" x14ac:dyDescent="0.45">
      <c r="A135" t="s">
        <v>240</v>
      </c>
      <c r="B135" t="s">
        <v>107</v>
      </c>
      <c r="C135">
        <v>14</v>
      </c>
      <c r="D135">
        <v>0</v>
      </c>
      <c r="E135">
        <v>300</v>
      </c>
    </row>
    <row r="136" spans="1:5" x14ac:dyDescent="0.45">
      <c r="A136" t="s">
        <v>241</v>
      </c>
      <c r="B136" t="s">
        <v>107</v>
      </c>
      <c r="C136">
        <v>14</v>
      </c>
      <c r="D136">
        <v>0</v>
      </c>
      <c r="E136">
        <v>350</v>
      </c>
    </row>
    <row r="137" spans="1:5" x14ac:dyDescent="0.45">
      <c r="A137" t="s">
        <v>242</v>
      </c>
      <c r="B137" t="s">
        <v>107</v>
      </c>
      <c r="C137">
        <v>14</v>
      </c>
      <c r="D137">
        <v>0</v>
      </c>
      <c r="E137">
        <v>400</v>
      </c>
    </row>
    <row r="138" spans="1:5" x14ac:dyDescent="0.45">
      <c r="A138" t="s">
        <v>243</v>
      </c>
      <c r="B138" t="s">
        <v>107</v>
      </c>
      <c r="C138">
        <v>14</v>
      </c>
      <c r="D138">
        <v>0</v>
      </c>
      <c r="E138">
        <v>450</v>
      </c>
    </row>
    <row r="139" spans="1:5" x14ac:dyDescent="0.45">
      <c r="A139" t="s">
        <v>244</v>
      </c>
      <c r="B139" t="s">
        <v>107</v>
      </c>
      <c r="C139">
        <v>14</v>
      </c>
      <c r="D139">
        <v>0</v>
      </c>
      <c r="E139">
        <v>500</v>
      </c>
    </row>
    <row r="140" spans="1:5" x14ac:dyDescent="0.45">
      <c r="A140" t="s">
        <v>245</v>
      </c>
      <c r="B140" t="s">
        <v>107</v>
      </c>
      <c r="C140">
        <v>14</v>
      </c>
      <c r="D140">
        <v>0</v>
      </c>
      <c r="E140">
        <v>550</v>
      </c>
    </row>
    <row r="141" spans="1:5" x14ac:dyDescent="0.45">
      <c r="A141" t="s">
        <v>246</v>
      </c>
      <c r="B141" t="s">
        <v>107</v>
      </c>
      <c r="C141">
        <v>14</v>
      </c>
      <c r="D141">
        <v>0</v>
      </c>
      <c r="E141">
        <v>599</v>
      </c>
    </row>
    <row r="142" spans="1:5" x14ac:dyDescent="0.45">
      <c r="A142" t="s">
        <v>247</v>
      </c>
      <c r="B142" t="s">
        <v>107</v>
      </c>
      <c r="C142">
        <v>15</v>
      </c>
      <c r="D142">
        <v>0</v>
      </c>
      <c r="E142">
        <v>75</v>
      </c>
    </row>
    <row r="143" spans="1:5" x14ac:dyDescent="0.45">
      <c r="A143" t="s">
        <v>248</v>
      </c>
      <c r="B143" t="s">
        <v>107</v>
      </c>
      <c r="C143">
        <v>15</v>
      </c>
      <c r="D143">
        <v>0</v>
      </c>
      <c r="E143">
        <v>100</v>
      </c>
    </row>
    <row r="144" spans="1:5" x14ac:dyDescent="0.45">
      <c r="A144" t="s">
        <v>249</v>
      </c>
      <c r="B144" t="s">
        <v>107</v>
      </c>
      <c r="C144">
        <v>15</v>
      </c>
      <c r="D144">
        <v>0</v>
      </c>
      <c r="E144">
        <v>150</v>
      </c>
    </row>
    <row r="145" spans="1:5" x14ac:dyDescent="0.45">
      <c r="A145" t="s">
        <v>250</v>
      </c>
      <c r="B145" t="s">
        <v>107</v>
      </c>
      <c r="C145">
        <v>15</v>
      </c>
      <c r="D145">
        <v>0</v>
      </c>
      <c r="E145">
        <v>200</v>
      </c>
    </row>
    <row r="146" spans="1:5" x14ac:dyDescent="0.45">
      <c r="A146" t="s">
        <v>251</v>
      </c>
      <c r="B146" t="s">
        <v>107</v>
      </c>
      <c r="C146">
        <v>15</v>
      </c>
      <c r="D146">
        <v>0</v>
      </c>
      <c r="E146">
        <v>250</v>
      </c>
    </row>
    <row r="147" spans="1:5" x14ac:dyDescent="0.45">
      <c r="A147" t="s">
        <v>252</v>
      </c>
      <c r="B147" t="s">
        <v>107</v>
      </c>
      <c r="C147">
        <v>15</v>
      </c>
      <c r="D147">
        <v>0</v>
      </c>
      <c r="E147">
        <v>300</v>
      </c>
    </row>
    <row r="148" spans="1:5" x14ac:dyDescent="0.45">
      <c r="A148" t="s">
        <v>253</v>
      </c>
      <c r="B148" t="s">
        <v>107</v>
      </c>
      <c r="C148">
        <v>15</v>
      </c>
      <c r="D148">
        <v>0</v>
      </c>
      <c r="E148">
        <v>350</v>
      </c>
    </row>
    <row r="149" spans="1:5" x14ac:dyDescent="0.45">
      <c r="A149" t="s">
        <v>254</v>
      </c>
      <c r="B149" t="s">
        <v>107</v>
      </c>
      <c r="C149">
        <v>15</v>
      </c>
      <c r="D149">
        <v>0</v>
      </c>
      <c r="E149">
        <v>400</v>
      </c>
    </row>
    <row r="150" spans="1:5" x14ac:dyDescent="0.45">
      <c r="A150" t="s">
        <v>255</v>
      </c>
      <c r="B150" t="s">
        <v>107</v>
      </c>
      <c r="C150">
        <v>15</v>
      </c>
      <c r="D150">
        <v>0</v>
      </c>
      <c r="E150">
        <v>450</v>
      </c>
    </row>
    <row r="151" spans="1:5" x14ac:dyDescent="0.45">
      <c r="A151" t="s">
        <v>256</v>
      </c>
      <c r="B151" t="s">
        <v>107</v>
      </c>
      <c r="C151">
        <v>15</v>
      </c>
      <c r="D151">
        <v>0</v>
      </c>
      <c r="E151">
        <v>500</v>
      </c>
    </row>
    <row r="152" spans="1:5" x14ac:dyDescent="0.45">
      <c r="A152" t="s">
        <v>257</v>
      </c>
      <c r="B152" t="s">
        <v>107</v>
      </c>
      <c r="C152">
        <v>15</v>
      </c>
      <c r="D152">
        <v>0</v>
      </c>
      <c r="E152">
        <v>550</v>
      </c>
    </row>
    <row r="153" spans="1:5" x14ac:dyDescent="0.45">
      <c r="A153" t="s">
        <v>258</v>
      </c>
      <c r="B153" t="s">
        <v>107</v>
      </c>
      <c r="C153">
        <v>15</v>
      </c>
      <c r="D153">
        <v>0</v>
      </c>
      <c r="E153">
        <v>599</v>
      </c>
    </row>
    <row r="154" spans="1:5" x14ac:dyDescent="0.45">
      <c r="A154" t="s">
        <v>259</v>
      </c>
      <c r="B154" t="s">
        <v>107</v>
      </c>
      <c r="C154">
        <v>16</v>
      </c>
      <c r="D154">
        <v>0</v>
      </c>
      <c r="E154">
        <v>75</v>
      </c>
    </row>
    <row r="155" spans="1:5" x14ac:dyDescent="0.45">
      <c r="A155" t="s">
        <v>260</v>
      </c>
      <c r="B155" t="s">
        <v>107</v>
      </c>
      <c r="C155">
        <v>16</v>
      </c>
      <c r="D155">
        <v>0</v>
      </c>
      <c r="E155">
        <v>100</v>
      </c>
    </row>
    <row r="156" spans="1:5" x14ac:dyDescent="0.45">
      <c r="A156" t="s">
        <v>261</v>
      </c>
      <c r="B156" t="s">
        <v>107</v>
      </c>
      <c r="C156">
        <v>16</v>
      </c>
      <c r="D156">
        <v>0</v>
      </c>
      <c r="E156">
        <v>150</v>
      </c>
    </row>
    <row r="157" spans="1:5" x14ac:dyDescent="0.45">
      <c r="A157" t="s">
        <v>262</v>
      </c>
      <c r="B157" t="s">
        <v>107</v>
      </c>
      <c r="C157">
        <v>16</v>
      </c>
      <c r="D157">
        <v>0</v>
      </c>
      <c r="E157">
        <v>200</v>
      </c>
    </row>
    <row r="158" spans="1:5" x14ac:dyDescent="0.45">
      <c r="A158" t="s">
        <v>263</v>
      </c>
      <c r="B158" t="s">
        <v>107</v>
      </c>
      <c r="C158">
        <v>16</v>
      </c>
      <c r="D158">
        <v>0</v>
      </c>
      <c r="E158">
        <v>250</v>
      </c>
    </row>
    <row r="159" spans="1:5" x14ac:dyDescent="0.45">
      <c r="A159" t="s">
        <v>264</v>
      </c>
      <c r="B159" t="s">
        <v>107</v>
      </c>
      <c r="C159">
        <v>16</v>
      </c>
      <c r="D159">
        <v>0</v>
      </c>
      <c r="E159">
        <v>300</v>
      </c>
    </row>
    <row r="160" spans="1:5" x14ac:dyDescent="0.45">
      <c r="A160" t="s">
        <v>265</v>
      </c>
      <c r="B160" t="s">
        <v>107</v>
      </c>
      <c r="C160">
        <v>16</v>
      </c>
      <c r="D160">
        <v>0</v>
      </c>
      <c r="E160">
        <v>350</v>
      </c>
    </row>
    <row r="161" spans="1:5" x14ac:dyDescent="0.45">
      <c r="A161" t="s">
        <v>266</v>
      </c>
      <c r="B161" t="s">
        <v>107</v>
      </c>
      <c r="C161">
        <v>16</v>
      </c>
      <c r="D161">
        <v>0</v>
      </c>
      <c r="E161">
        <v>400</v>
      </c>
    </row>
    <row r="162" spans="1:5" x14ac:dyDescent="0.45">
      <c r="A162" t="s">
        <v>267</v>
      </c>
      <c r="B162" t="s">
        <v>107</v>
      </c>
      <c r="C162">
        <v>16</v>
      </c>
      <c r="D162">
        <v>0</v>
      </c>
      <c r="E162">
        <v>450</v>
      </c>
    </row>
    <row r="163" spans="1:5" x14ac:dyDescent="0.45">
      <c r="A163" t="s">
        <v>268</v>
      </c>
      <c r="B163" t="s">
        <v>107</v>
      </c>
      <c r="C163">
        <v>16</v>
      </c>
      <c r="D163">
        <v>0</v>
      </c>
      <c r="E163">
        <v>500</v>
      </c>
    </row>
    <row r="164" spans="1:5" x14ac:dyDescent="0.45">
      <c r="A164" t="s">
        <v>269</v>
      </c>
      <c r="B164" t="s">
        <v>107</v>
      </c>
      <c r="C164">
        <v>16</v>
      </c>
      <c r="D164">
        <v>0</v>
      </c>
      <c r="E164">
        <v>550</v>
      </c>
    </row>
    <row r="165" spans="1:5" x14ac:dyDescent="0.45">
      <c r="A165" t="s">
        <v>270</v>
      </c>
      <c r="B165" t="s">
        <v>107</v>
      </c>
      <c r="C165">
        <v>16</v>
      </c>
      <c r="D165">
        <v>0</v>
      </c>
      <c r="E165">
        <v>599</v>
      </c>
    </row>
    <row r="166" spans="1:5" x14ac:dyDescent="0.45">
      <c r="A166" t="s">
        <v>271</v>
      </c>
      <c r="B166" t="s">
        <v>107</v>
      </c>
      <c r="C166">
        <v>17</v>
      </c>
      <c r="D166">
        <v>0</v>
      </c>
      <c r="E166">
        <v>75</v>
      </c>
    </row>
    <row r="167" spans="1:5" x14ac:dyDescent="0.45">
      <c r="A167" t="s">
        <v>272</v>
      </c>
      <c r="B167" t="s">
        <v>107</v>
      </c>
      <c r="C167">
        <v>17</v>
      </c>
      <c r="D167">
        <v>0</v>
      </c>
      <c r="E167">
        <v>100</v>
      </c>
    </row>
    <row r="168" spans="1:5" x14ac:dyDescent="0.45">
      <c r="A168" t="s">
        <v>273</v>
      </c>
      <c r="B168" t="s">
        <v>107</v>
      </c>
      <c r="C168">
        <v>17</v>
      </c>
      <c r="D168">
        <v>0</v>
      </c>
      <c r="E168">
        <v>150</v>
      </c>
    </row>
    <row r="169" spans="1:5" x14ac:dyDescent="0.45">
      <c r="A169" t="s">
        <v>274</v>
      </c>
      <c r="B169" t="s">
        <v>107</v>
      </c>
      <c r="C169">
        <v>17</v>
      </c>
      <c r="D169">
        <v>0</v>
      </c>
      <c r="E169">
        <v>200</v>
      </c>
    </row>
    <row r="170" spans="1:5" x14ac:dyDescent="0.45">
      <c r="A170" t="s">
        <v>275</v>
      </c>
      <c r="B170" t="s">
        <v>107</v>
      </c>
      <c r="C170">
        <v>17</v>
      </c>
      <c r="D170">
        <v>0</v>
      </c>
      <c r="E170">
        <v>250</v>
      </c>
    </row>
    <row r="171" spans="1:5" x14ac:dyDescent="0.45">
      <c r="A171" t="s">
        <v>276</v>
      </c>
      <c r="B171" t="s">
        <v>107</v>
      </c>
      <c r="C171">
        <v>17</v>
      </c>
      <c r="D171">
        <v>0</v>
      </c>
      <c r="E171">
        <v>300</v>
      </c>
    </row>
    <row r="172" spans="1:5" x14ac:dyDescent="0.45">
      <c r="A172" t="s">
        <v>277</v>
      </c>
      <c r="B172" t="s">
        <v>107</v>
      </c>
      <c r="C172">
        <v>17</v>
      </c>
      <c r="D172">
        <v>0</v>
      </c>
      <c r="E172">
        <v>350</v>
      </c>
    </row>
    <row r="173" spans="1:5" x14ac:dyDescent="0.45">
      <c r="A173" t="s">
        <v>278</v>
      </c>
      <c r="B173" t="s">
        <v>107</v>
      </c>
      <c r="C173">
        <v>17</v>
      </c>
      <c r="D173">
        <v>0</v>
      </c>
      <c r="E173">
        <v>400</v>
      </c>
    </row>
    <row r="174" spans="1:5" x14ac:dyDescent="0.45">
      <c r="A174" t="s">
        <v>279</v>
      </c>
      <c r="B174" t="s">
        <v>107</v>
      </c>
      <c r="C174">
        <v>17</v>
      </c>
      <c r="D174">
        <v>0</v>
      </c>
      <c r="E174">
        <v>450</v>
      </c>
    </row>
    <row r="175" spans="1:5" x14ac:dyDescent="0.45">
      <c r="A175" t="s">
        <v>280</v>
      </c>
      <c r="B175" t="s">
        <v>107</v>
      </c>
      <c r="C175">
        <v>17</v>
      </c>
      <c r="D175">
        <v>0</v>
      </c>
      <c r="E175">
        <v>500</v>
      </c>
    </row>
    <row r="176" spans="1:5" x14ac:dyDescent="0.45">
      <c r="A176" t="s">
        <v>281</v>
      </c>
      <c r="B176" t="s">
        <v>107</v>
      </c>
      <c r="C176">
        <v>17</v>
      </c>
      <c r="D176">
        <v>0</v>
      </c>
      <c r="E176">
        <v>550</v>
      </c>
    </row>
    <row r="177" spans="1:5" x14ac:dyDescent="0.45">
      <c r="A177" t="s">
        <v>282</v>
      </c>
      <c r="B177" t="s">
        <v>107</v>
      </c>
      <c r="C177">
        <v>17</v>
      </c>
      <c r="D177">
        <v>0</v>
      </c>
      <c r="E177">
        <v>599</v>
      </c>
    </row>
    <row r="178" spans="1:5" x14ac:dyDescent="0.45">
      <c r="A178" t="s">
        <v>283</v>
      </c>
      <c r="B178" t="s">
        <v>107</v>
      </c>
      <c r="C178">
        <v>18</v>
      </c>
      <c r="D178">
        <v>0</v>
      </c>
      <c r="E178">
        <v>75</v>
      </c>
    </row>
    <row r="179" spans="1:5" x14ac:dyDescent="0.45">
      <c r="A179" t="s">
        <v>284</v>
      </c>
      <c r="B179" t="s">
        <v>107</v>
      </c>
      <c r="C179">
        <v>18</v>
      </c>
      <c r="D179">
        <v>0</v>
      </c>
      <c r="E179">
        <v>100</v>
      </c>
    </row>
    <row r="180" spans="1:5" x14ac:dyDescent="0.45">
      <c r="A180" t="s">
        <v>285</v>
      </c>
      <c r="B180" t="s">
        <v>107</v>
      </c>
      <c r="C180">
        <v>18</v>
      </c>
      <c r="D180">
        <v>0</v>
      </c>
      <c r="E180">
        <v>150</v>
      </c>
    </row>
    <row r="181" spans="1:5" x14ac:dyDescent="0.45">
      <c r="A181" t="s">
        <v>286</v>
      </c>
      <c r="B181" t="s">
        <v>107</v>
      </c>
      <c r="C181">
        <v>18</v>
      </c>
      <c r="D181">
        <v>0</v>
      </c>
      <c r="E181">
        <v>200</v>
      </c>
    </row>
    <row r="182" spans="1:5" x14ac:dyDescent="0.45">
      <c r="A182" t="s">
        <v>287</v>
      </c>
      <c r="B182" t="s">
        <v>107</v>
      </c>
      <c r="C182">
        <v>18</v>
      </c>
      <c r="D182">
        <v>0</v>
      </c>
      <c r="E182">
        <v>250</v>
      </c>
    </row>
    <row r="183" spans="1:5" x14ac:dyDescent="0.45">
      <c r="A183" t="s">
        <v>288</v>
      </c>
      <c r="B183" t="s">
        <v>107</v>
      </c>
      <c r="C183">
        <v>18</v>
      </c>
      <c r="D183">
        <v>0</v>
      </c>
      <c r="E183">
        <v>300</v>
      </c>
    </row>
    <row r="184" spans="1:5" x14ac:dyDescent="0.45">
      <c r="A184" t="s">
        <v>289</v>
      </c>
      <c r="B184" t="s">
        <v>107</v>
      </c>
      <c r="C184">
        <v>18</v>
      </c>
      <c r="D184">
        <v>0</v>
      </c>
      <c r="E184">
        <v>350</v>
      </c>
    </row>
    <row r="185" spans="1:5" x14ac:dyDescent="0.45">
      <c r="A185" t="s">
        <v>290</v>
      </c>
      <c r="B185" t="s">
        <v>107</v>
      </c>
      <c r="C185">
        <v>18</v>
      </c>
      <c r="D185">
        <v>0</v>
      </c>
      <c r="E185">
        <v>400</v>
      </c>
    </row>
    <row r="186" spans="1:5" x14ac:dyDescent="0.45">
      <c r="A186" t="s">
        <v>291</v>
      </c>
      <c r="B186" t="s">
        <v>107</v>
      </c>
      <c r="C186">
        <v>18</v>
      </c>
      <c r="D186">
        <v>0</v>
      </c>
      <c r="E186">
        <v>450</v>
      </c>
    </row>
    <row r="187" spans="1:5" x14ac:dyDescent="0.45">
      <c r="A187" t="s">
        <v>292</v>
      </c>
      <c r="B187" t="s">
        <v>107</v>
      </c>
      <c r="C187">
        <v>18</v>
      </c>
      <c r="D187">
        <v>0</v>
      </c>
      <c r="E187">
        <v>500</v>
      </c>
    </row>
    <row r="188" spans="1:5" x14ac:dyDescent="0.45">
      <c r="A188" t="s">
        <v>293</v>
      </c>
      <c r="B188" t="s">
        <v>107</v>
      </c>
      <c r="C188">
        <v>18</v>
      </c>
      <c r="D188">
        <v>0</v>
      </c>
      <c r="E188">
        <v>550</v>
      </c>
    </row>
    <row r="189" spans="1:5" x14ac:dyDescent="0.45">
      <c r="A189" t="s">
        <v>294</v>
      </c>
      <c r="B189" t="s">
        <v>107</v>
      </c>
      <c r="C189">
        <v>18</v>
      </c>
      <c r="D189">
        <v>0</v>
      </c>
      <c r="E189">
        <v>599</v>
      </c>
    </row>
    <row r="190" spans="1:5" x14ac:dyDescent="0.45">
      <c r="A190" t="s">
        <v>295</v>
      </c>
      <c r="B190" t="s">
        <v>107</v>
      </c>
      <c r="C190">
        <v>19</v>
      </c>
      <c r="D190">
        <v>0</v>
      </c>
      <c r="E190">
        <v>75</v>
      </c>
    </row>
    <row r="191" spans="1:5" x14ac:dyDescent="0.45">
      <c r="A191" t="s">
        <v>296</v>
      </c>
      <c r="B191" t="s">
        <v>107</v>
      </c>
      <c r="C191">
        <v>19</v>
      </c>
      <c r="D191">
        <v>0</v>
      </c>
      <c r="E191">
        <v>100</v>
      </c>
    </row>
    <row r="192" spans="1:5" x14ac:dyDescent="0.45">
      <c r="A192" t="s">
        <v>297</v>
      </c>
      <c r="B192" t="s">
        <v>107</v>
      </c>
      <c r="C192">
        <v>19</v>
      </c>
      <c r="D192">
        <v>0</v>
      </c>
      <c r="E192">
        <v>150</v>
      </c>
    </row>
    <row r="193" spans="1:5" x14ac:dyDescent="0.45">
      <c r="A193" t="s">
        <v>298</v>
      </c>
      <c r="B193" t="s">
        <v>107</v>
      </c>
      <c r="C193">
        <v>19</v>
      </c>
      <c r="D193">
        <v>0</v>
      </c>
      <c r="E193">
        <v>200</v>
      </c>
    </row>
    <row r="194" spans="1:5" x14ac:dyDescent="0.45">
      <c r="A194" t="s">
        <v>299</v>
      </c>
      <c r="B194" t="s">
        <v>107</v>
      </c>
      <c r="C194">
        <v>19</v>
      </c>
      <c r="D194">
        <v>0</v>
      </c>
      <c r="E194">
        <v>250</v>
      </c>
    </row>
    <row r="195" spans="1:5" x14ac:dyDescent="0.45">
      <c r="A195" t="s">
        <v>300</v>
      </c>
      <c r="B195" t="s">
        <v>107</v>
      </c>
      <c r="C195">
        <v>19</v>
      </c>
      <c r="D195">
        <v>0</v>
      </c>
      <c r="E195">
        <v>300</v>
      </c>
    </row>
    <row r="196" spans="1:5" x14ac:dyDescent="0.45">
      <c r="A196" t="s">
        <v>301</v>
      </c>
      <c r="B196" t="s">
        <v>107</v>
      </c>
      <c r="C196">
        <v>19</v>
      </c>
      <c r="D196">
        <v>0</v>
      </c>
      <c r="E196">
        <v>350</v>
      </c>
    </row>
    <row r="197" spans="1:5" x14ac:dyDescent="0.45">
      <c r="A197" t="s">
        <v>302</v>
      </c>
      <c r="B197" t="s">
        <v>107</v>
      </c>
      <c r="C197">
        <v>19</v>
      </c>
      <c r="D197">
        <v>0</v>
      </c>
      <c r="E197">
        <v>400</v>
      </c>
    </row>
    <row r="198" spans="1:5" x14ac:dyDescent="0.45">
      <c r="A198" t="s">
        <v>303</v>
      </c>
      <c r="B198" t="s">
        <v>107</v>
      </c>
      <c r="C198">
        <v>19</v>
      </c>
      <c r="D198">
        <v>0</v>
      </c>
      <c r="E198">
        <v>450</v>
      </c>
    </row>
    <row r="199" spans="1:5" x14ac:dyDescent="0.45">
      <c r="A199" t="s">
        <v>304</v>
      </c>
      <c r="B199" t="s">
        <v>107</v>
      </c>
      <c r="C199">
        <v>19</v>
      </c>
      <c r="D199">
        <v>0</v>
      </c>
      <c r="E199">
        <v>500</v>
      </c>
    </row>
    <row r="200" spans="1:5" x14ac:dyDescent="0.45">
      <c r="A200" t="s">
        <v>305</v>
      </c>
      <c r="B200" t="s">
        <v>107</v>
      </c>
      <c r="C200">
        <v>19</v>
      </c>
      <c r="D200">
        <v>0</v>
      </c>
      <c r="E200">
        <v>550</v>
      </c>
    </row>
    <row r="201" spans="1:5" x14ac:dyDescent="0.45">
      <c r="A201" t="s">
        <v>306</v>
      </c>
      <c r="B201" t="s">
        <v>107</v>
      </c>
      <c r="C201">
        <v>19</v>
      </c>
      <c r="D201">
        <v>0</v>
      </c>
      <c r="E201">
        <v>599</v>
      </c>
    </row>
    <row r="202" spans="1:5" x14ac:dyDescent="0.45">
      <c r="A202" t="s">
        <v>307</v>
      </c>
      <c r="B202" t="s">
        <v>107</v>
      </c>
      <c r="C202">
        <v>20</v>
      </c>
      <c r="D202">
        <v>0</v>
      </c>
      <c r="E202">
        <v>25</v>
      </c>
    </row>
    <row r="203" spans="1:5" x14ac:dyDescent="0.45">
      <c r="A203" t="s">
        <v>308</v>
      </c>
      <c r="B203" t="s">
        <v>107</v>
      </c>
      <c r="C203">
        <v>20</v>
      </c>
      <c r="D203">
        <v>0</v>
      </c>
      <c r="E203">
        <v>75</v>
      </c>
    </row>
    <row r="204" spans="1:5" x14ac:dyDescent="0.45">
      <c r="A204" t="s">
        <v>309</v>
      </c>
      <c r="B204" t="s">
        <v>107</v>
      </c>
      <c r="C204">
        <v>20</v>
      </c>
      <c r="D204">
        <v>0</v>
      </c>
      <c r="E204">
        <v>100</v>
      </c>
    </row>
    <row r="205" spans="1:5" x14ac:dyDescent="0.45">
      <c r="A205" t="s">
        <v>310</v>
      </c>
      <c r="B205" t="s">
        <v>107</v>
      </c>
      <c r="C205">
        <v>20</v>
      </c>
      <c r="D205">
        <v>0</v>
      </c>
      <c r="E205">
        <v>150</v>
      </c>
    </row>
    <row r="206" spans="1:5" x14ac:dyDescent="0.45">
      <c r="A206" t="s">
        <v>311</v>
      </c>
      <c r="B206" t="s">
        <v>107</v>
      </c>
      <c r="C206">
        <v>20</v>
      </c>
      <c r="D206">
        <v>0</v>
      </c>
      <c r="E206">
        <v>200</v>
      </c>
    </row>
    <row r="207" spans="1:5" x14ac:dyDescent="0.45">
      <c r="A207" t="s">
        <v>312</v>
      </c>
      <c r="B207" t="s">
        <v>107</v>
      </c>
      <c r="C207">
        <v>20</v>
      </c>
      <c r="D207">
        <v>0</v>
      </c>
      <c r="E207">
        <v>250</v>
      </c>
    </row>
    <row r="208" spans="1:5" x14ac:dyDescent="0.45">
      <c r="A208" t="s">
        <v>313</v>
      </c>
      <c r="B208" t="s">
        <v>107</v>
      </c>
      <c r="C208">
        <v>20</v>
      </c>
      <c r="D208">
        <v>0</v>
      </c>
      <c r="E208">
        <v>300</v>
      </c>
    </row>
    <row r="209" spans="1:5" x14ac:dyDescent="0.45">
      <c r="A209" t="s">
        <v>314</v>
      </c>
      <c r="B209" t="s">
        <v>107</v>
      </c>
      <c r="C209">
        <v>20</v>
      </c>
      <c r="D209">
        <v>0</v>
      </c>
      <c r="E209">
        <v>350</v>
      </c>
    </row>
    <row r="210" spans="1:5" x14ac:dyDescent="0.45">
      <c r="A210" t="s">
        <v>315</v>
      </c>
      <c r="B210" t="s">
        <v>107</v>
      </c>
      <c r="C210">
        <v>20</v>
      </c>
      <c r="D210">
        <v>0</v>
      </c>
      <c r="E210">
        <v>400</v>
      </c>
    </row>
    <row r="211" spans="1:5" x14ac:dyDescent="0.45">
      <c r="A211" t="s">
        <v>316</v>
      </c>
      <c r="B211" t="s">
        <v>107</v>
      </c>
      <c r="C211">
        <v>20</v>
      </c>
      <c r="D211">
        <v>0</v>
      </c>
      <c r="E211">
        <v>450</v>
      </c>
    </row>
    <row r="212" spans="1:5" x14ac:dyDescent="0.45">
      <c r="A212" t="s">
        <v>317</v>
      </c>
      <c r="B212" t="s">
        <v>107</v>
      </c>
      <c r="C212">
        <v>20</v>
      </c>
      <c r="D212">
        <v>0</v>
      </c>
      <c r="E212">
        <v>500</v>
      </c>
    </row>
    <row r="213" spans="1:5" x14ac:dyDescent="0.45">
      <c r="A213" t="s">
        <v>318</v>
      </c>
      <c r="B213" t="s">
        <v>107</v>
      </c>
      <c r="C213">
        <v>20</v>
      </c>
      <c r="D213">
        <v>0</v>
      </c>
      <c r="E213">
        <v>550</v>
      </c>
    </row>
    <row r="214" spans="1:5" x14ac:dyDescent="0.45">
      <c r="A214" t="s">
        <v>319</v>
      </c>
      <c r="B214" t="s">
        <v>107</v>
      </c>
      <c r="C214">
        <v>20</v>
      </c>
      <c r="D214">
        <v>0</v>
      </c>
      <c r="E214">
        <v>599</v>
      </c>
    </row>
    <row r="215" spans="1:5" x14ac:dyDescent="0.45">
      <c r="A215" t="s">
        <v>320</v>
      </c>
      <c r="B215" t="s">
        <v>107</v>
      </c>
      <c r="C215">
        <v>21</v>
      </c>
      <c r="D215">
        <v>0</v>
      </c>
      <c r="E215">
        <v>25</v>
      </c>
    </row>
    <row r="216" spans="1:5" x14ac:dyDescent="0.45">
      <c r="A216" t="s">
        <v>321</v>
      </c>
      <c r="B216" t="s">
        <v>107</v>
      </c>
      <c r="C216">
        <v>21</v>
      </c>
      <c r="D216">
        <v>0</v>
      </c>
      <c r="E216">
        <v>75</v>
      </c>
    </row>
    <row r="217" spans="1:5" x14ac:dyDescent="0.45">
      <c r="A217" t="s">
        <v>322</v>
      </c>
      <c r="B217" t="s">
        <v>107</v>
      </c>
      <c r="C217">
        <v>21</v>
      </c>
      <c r="D217">
        <v>0</v>
      </c>
      <c r="E217">
        <v>100</v>
      </c>
    </row>
    <row r="218" spans="1:5" x14ac:dyDescent="0.45">
      <c r="A218" t="s">
        <v>323</v>
      </c>
      <c r="B218" t="s">
        <v>107</v>
      </c>
      <c r="C218">
        <v>21</v>
      </c>
      <c r="D218">
        <v>0</v>
      </c>
      <c r="E218">
        <v>150</v>
      </c>
    </row>
    <row r="219" spans="1:5" x14ac:dyDescent="0.45">
      <c r="A219" t="s">
        <v>324</v>
      </c>
      <c r="B219" t="s">
        <v>107</v>
      </c>
      <c r="C219">
        <v>21</v>
      </c>
      <c r="D219">
        <v>0</v>
      </c>
      <c r="E219">
        <v>200</v>
      </c>
    </row>
    <row r="220" spans="1:5" x14ac:dyDescent="0.45">
      <c r="A220" t="s">
        <v>325</v>
      </c>
      <c r="B220" t="s">
        <v>107</v>
      </c>
      <c r="C220">
        <v>21</v>
      </c>
      <c r="D220">
        <v>0</v>
      </c>
      <c r="E220">
        <v>250</v>
      </c>
    </row>
    <row r="221" spans="1:5" x14ac:dyDescent="0.45">
      <c r="A221" t="s">
        <v>326</v>
      </c>
      <c r="B221" t="s">
        <v>107</v>
      </c>
      <c r="C221">
        <v>21</v>
      </c>
      <c r="D221">
        <v>0</v>
      </c>
      <c r="E221">
        <v>300</v>
      </c>
    </row>
    <row r="222" spans="1:5" x14ac:dyDescent="0.45">
      <c r="A222" t="s">
        <v>327</v>
      </c>
      <c r="B222" t="s">
        <v>107</v>
      </c>
      <c r="C222">
        <v>21</v>
      </c>
      <c r="D222">
        <v>0</v>
      </c>
      <c r="E222">
        <v>350</v>
      </c>
    </row>
    <row r="223" spans="1:5" x14ac:dyDescent="0.45">
      <c r="A223" t="s">
        <v>328</v>
      </c>
      <c r="B223" t="s">
        <v>107</v>
      </c>
      <c r="C223">
        <v>21</v>
      </c>
      <c r="D223">
        <v>0</v>
      </c>
      <c r="E223">
        <v>400</v>
      </c>
    </row>
    <row r="224" spans="1:5" x14ac:dyDescent="0.45">
      <c r="A224" t="s">
        <v>329</v>
      </c>
      <c r="B224" t="s">
        <v>107</v>
      </c>
      <c r="C224">
        <v>21</v>
      </c>
      <c r="D224">
        <v>0</v>
      </c>
      <c r="E224">
        <v>450</v>
      </c>
    </row>
    <row r="225" spans="1:5" x14ac:dyDescent="0.45">
      <c r="A225" t="s">
        <v>330</v>
      </c>
      <c r="B225" t="s">
        <v>107</v>
      </c>
      <c r="C225">
        <v>21</v>
      </c>
      <c r="D225">
        <v>0</v>
      </c>
      <c r="E225">
        <v>500</v>
      </c>
    </row>
    <row r="226" spans="1:5" x14ac:dyDescent="0.45">
      <c r="A226" t="s">
        <v>331</v>
      </c>
      <c r="B226" t="s">
        <v>107</v>
      </c>
      <c r="C226">
        <v>21</v>
      </c>
      <c r="D226">
        <v>0</v>
      </c>
      <c r="E226">
        <v>550</v>
      </c>
    </row>
    <row r="227" spans="1:5" x14ac:dyDescent="0.45">
      <c r="A227" t="s">
        <v>332</v>
      </c>
      <c r="B227" t="s">
        <v>107</v>
      </c>
      <c r="C227">
        <v>21</v>
      </c>
      <c r="D227">
        <v>0</v>
      </c>
      <c r="E227">
        <v>599</v>
      </c>
    </row>
    <row r="228" spans="1:5" x14ac:dyDescent="0.45">
      <c r="A228" t="s">
        <v>333</v>
      </c>
      <c r="B228" t="s">
        <v>107</v>
      </c>
      <c r="C228">
        <v>22</v>
      </c>
      <c r="D228">
        <v>0</v>
      </c>
      <c r="E228">
        <v>25</v>
      </c>
    </row>
    <row r="229" spans="1:5" x14ac:dyDescent="0.45">
      <c r="A229" t="s">
        <v>334</v>
      </c>
      <c r="B229" t="s">
        <v>107</v>
      </c>
      <c r="C229">
        <v>22</v>
      </c>
      <c r="D229">
        <v>0</v>
      </c>
      <c r="E229">
        <v>75</v>
      </c>
    </row>
    <row r="230" spans="1:5" x14ac:dyDescent="0.45">
      <c r="A230" t="s">
        <v>335</v>
      </c>
      <c r="B230" t="s">
        <v>107</v>
      </c>
      <c r="C230">
        <v>22</v>
      </c>
      <c r="D230">
        <v>0</v>
      </c>
      <c r="E230">
        <v>100</v>
      </c>
    </row>
    <row r="231" spans="1:5" x14ac:dyDescent="0.45">
      <c r="A231" t="s">
        <v>336</v>
      </c>
      <c r="B231" t="s">
        <v>107</v>
      </c>
      <c r="C231">
        <v>22</v>
      </c>
      <c r="D231">
        <v>0</v>
      </c>
      <c r="E231">
        <v>150</v>
      </c>
    </row>
    <row r="232" spans="1:5" x14ac:dyDescent="0.45">
      <c r="A232" t="s">
        <v>337</v>
      </c>
      <c r="B232" t="s">
        <v>107</v>
      </c>
      <c r="C232">
        <v>22</v>
      </c>
      <c r="D232">
        <v>0</v>
      </c>
      <c r="E232">
        <v>200</v>
      </c>
    </row>
    <row r="233" spans="1:5" x14ac:dyDescent="0.45">
      <c r="A233" t="s">
        <v>338</v>
      </c>
      <c r="B233" t="s">
        <v>107</v>
      </c>
      <c r="C233">
        <v>22</v>
      </c>
      <c r="D233">
        <v>0</v>
      </c>
      <c r="E233">
        <v>250</v>
      </c>
    </row>
    <row r="234" spans="1:5" x14ac:dyDescent="0.45">
      <c r="A234" t="s">
        <v>339</v>
      </c>
      <c r="B234" t="s">
        <v>107</v>
      </c>
      <c r="C234">
        <v>22</v>
      </c>
      <c r="D234">
        <v>0</v>
      </c>
      <c r="E234">
        <v>300</v>
      </c>
    </row>
    <row r="235" spans="1:5" x14ac:dyDescent="0.45">
      <c r="A235" t="s">
        <v>340</v>
      </c>
      <c r="B235" t="s">
        <v>107</v>
      </c>
      <c r="C235">
        <v>22</v>
      </c>
      <c r="D235">
        <v>0</v>
      </c>
      <c r="E235">
        <v>350</v>
      </c>
    </row>
    <row r="236" spans="1:5" x14ac:dyDescent="0.45">
      <c r="A236" t="s">
        <v>341</v>
      </c>
      <c r="B236" t="s">
        <v>107</v>
      </c>
      <c r="C236">
        <v>22</v>
      </c>
      <c r="D236">
        <v>0</v>
      </c>
      <c r="E236">
        <v>400</v>
      </c>
    </row>
    <row r="237" spans="1:5" x14ac:dyDescent="0.45">
      <c r="A237" t="s">
        <v>342</v>
      </c>
      <c r="B237" t="s">
        <v>107</v>
      </c>
      <c r="C237">
        <v>22</v>
      </c>
      <c r="D237">
        <v>0</v>
      </c>
      <c r="E237">
        <v>450</v>
      </c>
    </row>
    <row r="238" spans="1:5" x14ac:dyDescent="0.45">
      <c r="A238" t="s">
        <v>343</v>
      </c>
      <c r="B238" t="s">
        <v>107</v>
      </c>
      <c r="C238">
        <v>22</v>
      </c>
      <c r="D238">
        <v>0</v>
      </c>
      <c r="E238">
        <v>500</v>
      </c>
    </row>
    <row r="239" spans="1:5" x14ac:dyDescent="0.45">
      <c r="A239" t="s">
        <v>344</v>
      </c>
      <c r="B239" t="s">
        <v>107</v>
      </c>
      <c r="C239">
        <v>22</v>
      </c>
      <c r="D239">
        <v>0</v>
      </c>
      <c r="E239">
        <v>550</v>
      </c>
    </row>
    <row r="240" spans="1:5" x14ac:dyDescent="0.45">
      <c r="A240" t="s">
        <v>345</v>
      </c>
      <c r="B240" t="s">
        <v>107</v>
      </c>
      <c r="C240">
        <v>22</v>
      </c>
      <c r="D240">
        <v>0</v>
      </c>
      <c r="E240">
        <v>599</v>
      </c>
    </row>
    <row r="241" spans="1:5" x14ac:dyDescent="0.45">
      <c r="A241" t="s">
        <v>346</v>
      </c>
      <c r="B241" t="s">
        <v>107</v>
      </c>
      <c r="C241">
        <v>23</v>
      </c>
      <c r="D241">
        <v>0</v>
      </c>
      <c r="E241">
        <v>25</v>
      </c>
    </row>
    <row r="242" spans="1:5" x14ac:dyDescent="0.45">
      <c r="A242" t="s">
        <v>347</v>
      </c>
      <c r="B242" t="s">
        <v>107</v>
      </c>
      <c r="C242">
        <v>23</v>
      </c>
      <c r="D242">
        <v>0</v>
      </c>
      <c r="E242">
        <v>75</v>
      </c>
    </row>
    <row r="243" spans="1:5" x14ac:dyDescent="0.45">
      <c r="A243" t="s">
        <v>348</v>
      </c>
      <c r="B243" t="s">
        <v>107</v>
      </c>
      <c r="C243">
        <v>23</v>
      </c>
      <c r="D243">
        <v>0</v>
      </c>
      <c r="E243">
        <v>100</v>
      </c>
    </row>
    <row r="244" spans="1:5" x14ac:dyDescent="0.45">
      <c r="A244" t="s">
        <v>349</v>
      </c>
      <c r="B244" t="s">
        <v>107</v>
      </c>
      <c r="C244">
        <v>23</v>
      </c>
      <c r="D244">
        <v>0</v>
      </c>
      <c r="E244">
        <v>150</v>
      </c>
    </row>
    <row r="245" spans="1:5" x14ac:dyDescent="0.45">
      <c r="A245" t="s">
        <v>350</v>
      </c>
      <c r="B245" t="s">
        <v>107</v>
      </c>
      <c r="C245">
        <v>23</v>
      </c>
      <c r="D245">
        <v>0</v>
      </c>
      <c r="E245">
        <v>200</v>
      </c>
    </row>
    <row r="246" spans="1:5" x14ac:dyDescent="0.45">
      <c r="A246" t="s">
        <v>351</v>
      </c>
      <c r="B246" t="s">
        <v>107</v>
      </c>
      <c r="C246">
        <v>23</v>
      </c>
      <c r="D246">
        <v>0</v>
      </c>
      <c r="E246">
        <v>250</v>
      </c>
    </row>
    <row r="247" spans="1:5" x14ac:dyDescent="0.45">
      <c r="A247" t="s">
        <v>352</v>
      </c>
      <c r="B247" t="s">
        <v>107</v>
      </c>
      <c r="C247">
        <v>23</v>
      </c>
      <c r="D247">
        <v>0</v>
      </c>
      <c r="E247">
        <v>300</v>
      </c>
    </row>
    <row r="248" spans="1:5" x14ac:dyDescent="0.45">
      <c r="A248" t="s">
        <v>353</v>
      </c>
      <c r="B248" t="s">
        <v>107</v>
      </c>
      <c r="C248">
        <v>23</v>
      </c>
      <c r="D248">
        <v>0</v>
      </c>
      <c r="E248">
        <v>350</v>
      </c>
    </row>
    <row r="249" spans="1:5" x14ac:dyDescent="0.45">
      <c r="A249" t="s">
        <v>354</v>
      </c>
      <c r="B249" t="s">
        <v>107</v>
      </c>
      <c r="C249">
        <v>23</v>
      </c>
      <c r="D249">
        <v>0</v>
      </c>
      <c r="E249">
        <v>400</v>
      </c>
    </row>
    <row r="250" spans="1:5" x14ac:dyDescent="0.45">
      <c r="A250" t="s">
        <v>355</v>
      </c>
      <c r="B250" t="s">
        <v>107</v>
      </c>
      <c r="C250">
        <v>23</v>
      </c>
      <c r="D250">
        <v>0</v>
      </c>
      <c r="E250">
        <v>450</v>
      </c>
    </row>
    <row r="251" spans="1:5" x14ac:dyDescent="0.45">
      <c r="A251" t="s">
        <v>356</v>
      </c>
      <c r="B251" t="s">
        <v>107</v>
      </c>
      <c r="C251">
        <v>23</v>
      </c>
      <c r="D251">
        <v>0</v>
      </c>
      <c r="E251">
        <v>500</v>
      </c>
    </row>
    <row r="252" spans="1:5" x14ac:dyDescent="0.45">
      <c r="A252" t="s">
        <v>357</v>
      </c>
      <c r="B252" t="s">
        <v>107</v>
      </c>
      <c r="C252">
        <v>23</v>
      </c>
      <c r="D252">
        <v>0</v>
      </c>
      <c r="E252">
        <v>550</v>
      </c>
    </row>
    <row r="253" spans="1:5" x14ac:dyDescent="0.45">
      <c r="A253" t="s">
        <v>358</v>
      </c>
      <c r="B253" t="s">
        <v>107</v>
      </c>
      <c r="C253">
        <v>23</v>
      </c>
      <c r="D253">
        <v>0</v>
      </c>
      <c r="E253">
        <v>599</v>
      </c>
    </row>
    <row r="254" spans="1:5" x14ac:dyDescent="0.45">
      <c r="A254" t="s">
        <v>359</v>
      </c>
      <c r="B254" t="s">
        <v>107</v>
      </c>
      <c r="C254">
        <v>24</v>
      </c>
      <c r="D254">
        <v>0</v>
      </c>
      <c r="E254">
        <v>25</v>
      </c>
    </row>
    <row r="255" spans="1:5" x14ac:dyDescent="0.45">
      <c r="A255" t="s">
        <v>360</v>
      </c>
      <c r="B255" t="s">
        <v>107</v>
      </c>
      <c r="C255">
        <v>24</v>
      </c>
      <c r="D255">
        <v>0</v>
      </c>
      <c r="E255">
        <v>75</v>
      </c>
    </row>
    <row r="256" spans="1:5" x14ac:dyDescent="0.45">
      <c r="A256" t="s">
        <v>361</v>
      </c>
      <c r="B256" t="s">
        <v>107</v>
      </c>
      <c r="C256">
        <v>24</v>
      </c>
      <c r="D256">
        <v>0</v>
      </c>
      <c r="E256">
        <v>100</v>
      </c>
    </row>
    <row r="257" spans="1:5" x14ac:dyDescent="0.45">
      <c r="A257" t="s">
        <v>362</v>
      </c>
      <c r="B257" t="s">
        <v>107</v>
      </c>
      <c r="C257">
        <v>24</v>
      </c>
      <c r="D257">
        <v>0</v>
      </c>
      <c r="E257">
        <v>150</v>
      </c>
    </row>
    <row r="258" spans="1:5" x14ac:dyDescent="0.45">
      <c r="A258" t="s">
        <v>363</v>
      </c>
      <c r="B258" t="s">
        <v>107</v>
      </c>
      <c r="C258">
        <v>24</v>
      </c>
      <c r="D258">
        <v>0</v>
      </c>
      <c r="E258">
        <v>200</v>
      </c>
    </row>
    <row r="259" spans="1:5" x14ac:dyDescent="0.45">
      <c r="A259" t="s">
        <v>364</v>
      </c>
      <c r="B259" t="s">
        <v>107</v>
      </c>
      <c r="C259">
        <v>24</v>
      </c>
      <c r="D259">
        <v>0</v>
      </c>
      <c r="E259">
        <v>250</v>
      </c>
    </row>
    <row r="260" spans="1:5" x14ac:dyDescent="0.45">
      <c r="A260" t="s">
        <v>365</v>
      </c>
      <c r="B260" t="s">
        <v>107</v>
      </c>
      <c r="C260">
        <v>24</v>
      </c>
      <c r="D260">
        <v>0</v>
      </c>
      <c r="E260">
        <v>300</v>
      </c>
    </row>
    <row r="261" spans="1:5" x14ac:dyDescent="0.45">
      <c r="A261" t="s">
        <v>366</v>
      </c>
      <c r="B261" t="s">
        <v>107</v>
      </c>
      <c r="C261">
        <v>24</v>
      </c>
      <c r="D261">
        <v>0</v>
      </c>
      <c r="E261">
        <v>350</v>
      </c>
    </row>
    <row r="262" spans="1:5" x14ac:dyDescent="0.45">
      <c r="A262" t="s">
        <v>367</v>
      </c>
      <c r="B262" t="s">
        <v>107</v>
      </c>
      <c r="C262">
        <v>24</v>
      </c>
      <c r="D262">
        <v>0</v>
      </c>
      <c r="E262">
        <v>400</v>
      </c>
    </row>
    <row r="263" spans="1:5" x14ac:dyDescent="0.45">
      <c r="A263" t="s">
        <v>368</v>
      </c>
      <c r="B263" t="s">
        <v>107</v>
      </c>
      <c r="C263">
        <v>24</v>
      </c>
      <c r="D263">
        <v>0</v>
      </c>
      <c r="E263">
        <v>450</v>
      </c>
    </row>
    <row r="264" spans="1:5" x14ac:dyDescent="0.45">
      <c r="A264" t="s">
        <v>369</v>
      </c>
      <c r="B264" t="s">
        <v>107</v>
      </c>
      <c r="C264">
        <v>24</v>
      </c>
      <c r="D264">
        <v>0</v>
      </c>
      <c r="E264">
        <v>500</v>
      </c>
    </row>
    <row r="265" spans="1:5" x14ac:dyDescent="0.45">
      <c r="A265" t="s">
        <v>370</v>
      </c>
      <c r="B265" t="s">
        <v>107</v>
      </c>
      <c r="C265">
        <v>24</v>
      </c>
      <c r="D265">
        <v>0</v>
      </c>
      <c r="E265">
        <v>550</v>
      </c>
    </row>
    <row r="266" spans="1:5" x14ac:dyDescent="0.45">
      <c r="A266" t="s">
        <v>371</v>
      </c>
      <c r="B266" t="s">
        <v>107</v>
      </c>
      <c r="C266">
        <v>24</v>
      </c>
      <c r="D266">
        <v>0</v>
      </c>
      <c r="E266">
        <v>599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workbookViewId="0">
      <selection activeCell="F9" sqref="F9"/>
    </sheetView>
  </sheetViews>
  <sheetFormatPr baseColWidth="10" defaultRowHeight="14.25" x14ac:dyDescent="0.45"/>
  <sheetData>
    <row r="1" spans="1:5" x14ac:dyDescent="0.45">
      <c r="A1" s="14" t="s">
        <v>372</v>
      </c>
      <c r="B1" s="14" t="s">
        <v>103</v>
      </c>
      <c r="C1" s="14" t="s">
        <v>104</v>
      </c>
      <c r="D1" s="14" t="s">
        <v>105</v>
      </c>
      <c r="E1" s="14" t="s">
        <v>373</v>
      </c>
    </row>
    <row r="2" spans="1:5" x14ac:dyDescent="0.45">
      <c r="A2" t="s">
        <v>374</v>
      </c>
      <c r="B2">
        <v>12</v>
      </c>
      <c r="C2">
        <v>0</v>
      </c>
      <c r="D2">
        <v>400</v>
      </c>
      <c r="E2">
        <v>0</v>
      </c>
    </row>
    <row r="3" spans="1:5" x14ac:dyDescent="0.45">
      <c r="A3" t="s">
        <v>375</v>
      </c>
      <c r="B3">
        <v>12</v>
      </c>
      <c r="C3">
        <v>0</v>
      </c>
      <c r="D3">
        <v>399</v>
      </c>
      <c r="E3">
        <v>0</v>
      </c>
    </row>
    <row r="4" spans="1:5" x14ac:dyDescent="0.45">
      <c r="A4" t="s">
        <v>376</v>
      </c>
      <c r="B4">
        <v>12</v>
      </c>
      <c r="C4">
        <v>0</v>
      </c>
      <c r="D4">
        <v>401</v>
      </c>
      <c r="E4">
        <v>0</v>
      </c>
    </row>
    <row r="5" spans="1:5" x14ac:dyDescent="0.45">
      <c r="A5" t="s">
        <v>377</v>
      </c>
      <c r="B5">
        <v>12</v>
      </c>
      <c r="C5">
        <v>0</v>
      </c>
      <c r="D5">
        <v>402</v>
      </c>
      <c r="E5">
        <v>0</v>
      </c>
    </row>
    <row r="6" spans="1:5" x14ac:dyDescent="0.45">
      <c r="A6" t="s">
        <v>378</v>
      </c>
      <c r="B6">
        <v>12</v>
      </c>
      <c r="C6">
        <v>0</v>
      </c>
      <c r="D6">
        <v>398</v>
      </c>
      <c r="E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6"/>
  <sheetViews>
    <sheetView workbookViewId="0">
      <selection activeCell="D17" sqref="D17"/>
    </sheetView>
  </sheetViews>
  <sheetFormatPr baseColWidth="10" defaultColWidth="9.06640625" defaultRowHeight="14.25" x14ac:dyDescent="0.45"/>
  <sheetData>
    <row r="1" spans="1:6" x14ac:dyDescent="0.45">
      <c r="A1" s="7" t="s">
        <v>372</v>
      </c>
      <c r="B1" s="7" t="s">
        <v>100</v>
      </c>
      <c r="C1" s="7" t="s">
        <v>103</v>
      </c>
      <c r="D1" s="7" t="s">
        <v>104</v>
      </c>
      <c r="E1" s="7" t="s">
        <v>105</v>
      </c>
      <c r="F1" s="7" t="s">
        <v>373</v>
      </c>
    </row>
    <row r="2" spans="1:6" x14ac:dyDescent="0.45">
      <c r="A2" t="s">
        <v>374</v>
      </c>
      <c r="B2">
        <v>0</v>
      </c>
      <c r="C2">
        <v>12</v>
      </c>
      <c r="D2">
        <v>0</v>
      </c>
      <c r="E2">
        <v>400</v>
      </c>
      <c r="F2">
        <v>0</v>
      </c>
    </row>
    <row r="3" spans="1:6" x14ac:dyDescent="0.45">
      <c r="A3" t="s">
        <v>374</v>
      </c>
      <c r="B3">
        <v>3600000</v>
      </c>
      <c r="C3">
        <v>12</v>
      </c>
      <c r="D3">
        <v>0</v>
      </c>
      <c r="E3">
        <v>400</v>
      </c>
      <c r="F3">
        <v>0</v>
      </c>
    </row>
    <row r="4" spans="1:6" x14ac:dyDescent="0.45">
      <c r="A4" t="s">
        <v>374</v>
      </c>
      <c r="B4">
        <v>800000000</v>
      </c>
      <c r="C4">
        <v>12</v>
      </c>
      <c r="D4">
        <v>0</v>
      </c>
      <c r="E4">
        <v>400</v>
      </c>
      <c r="F4">
        <v>0</v>
      </c>
    </row>
    <row r="5" spans="1:6" x14ac:dyDescent="0.45">
      <c r="A5" t="s">
        <v>375</v>
      </c>
      <c r="B5">
        <v>0</v>
      </c>
      <c r="C5">
        <v>12</v>
      </c>
      <c r="D5">
        <v>0</v>
      </c>
      <c r="E5">
        <v>399</v>
      </c>
      <c r="F5">
        <v>0</v>
      </c>
    </row>
    <row r="6" spans="1:6" x14ac:dyDescent="0.45">
      <c r="A6" t="s">
        <v>375</v>
      </c>
      <c r="B6">
        <v>3600000</v>
      </c>
      <c r="C6">
        <v>12</v>
      </c>
      <c r="D6">
        <v>0</v>
      </c>
      <c r="E6">
        <v>399</v>
      </c>
      <c r="F6">
        <v>0</v>
      </c>
    </row>
    <row r="7" spans="1:6" x14ac:dyDescent="0.45">
      <c r="A7" t="s">
        <v>375</v>
      </c>
      <c r="B7">
        <v>800000000</v>
      </c>
      <c r="C7">
        <v>12</v>
      </c>
      <c r="D7">
        <v>0</v>
      </c>
      <c r="E7">
        <v>399</v>
      </c>
      <c r="F7">
        <v>0</v>
      </c>
    </row>
    <row r="8" spans="1:6" x14ac:dyDescent="0.45">
      <c r="A8" t="s">
        <v>376</v>
      </c>
      <c r="B8">
        <v>0</v>
      </c>
      <c r="C8">
        <v>12</v>
      </c>
      <c r="D8">
        <v>0</v>
      </c>
      <c r="E8">
        <v>401</v>
      </c>
      <c r="F8">
        <v>0</v>
      </c>
    </row>
    <row r="9" spans="1:6" x14ac:dyDescent="0.45">
      <c r="A9" t="s">
        <v>376</v>
      </c>
      <c r="B9">
        <v>3600000</v>
      </c>
      <c r="C9">
        <v>12</v>
      </c>
      <c r="D9">
        <v>0</v>
      </c>
      <c r="E9">
        <v>401</v>
      </c>
      <c r="F9">
        <v>0</v>
      </c>
    </row>
    <row r="10" spans="1:6" x14ac:dyDescent="0.45">
      <c r="A10" t="s">
        <v>376</v>
      </c>
      <c r="B10">
        <v>800000000</v>
      </c>
      <c r="C10">
        <v>12</v>
      </c>
      <c r="D10">
        <v>0</v>
      </c>
      <c r="E10">
        <v>401</v>
      </c>
      <c r="F10">
        <v>0</v>
      </c>
    </row>
    <row r="11" spans="1:6" x14ac:dyDescent="0.45">
      <c r="A11" t="s">
        <v>377</v>
      </c>
      <c r="B11">
        <v>0</v>
      </c>
      <c r="C11">
        <v>12</v>
      </c>
      <c r="D11">
        <v>0</v>
      </c>
      <c r="E11">
        <v>402</v>
      </c>
      <c r="F11">
        <v>0</v>
      </c>
    </row>
    <row r="12" spans="1:6" x14ac:dyDescent="0.45">
      <c r="A12" t="s">
        <v>377</v>
      </c>
      <c r="B12">
        <v>3600000</v>
      </c>
      <c r="C12">
        <v>12</v>
      </c>
      <c r="D12">
        <v>0</v>
      </c>
      <c r="E12">
        <v>402</v>
      </c>
      <c r="F12">
        <v>0</v>
      </c>
    </row>
    <row r="13" spans="1:6" x14ac:dyDescent="0.45">
      <c r="A13" t="s">
        <v>377</v>
      </c>
      <c r="B13">
        <v>800000000</v>
      </c>
      <c r="C13">
        <v>12</v>
      </c>
      <c r="D13">
        <v>0</v>
      </c>
      <c r="E13">
        <v>402</v>
      </c>
      <c r="F13">
        <v>0</v>
      </c>
    </row>
    <row r="14" spans="1:6" x14ac:dyDescent="0.45">
      <c r="A14" t="s">
        <v>378</v>
      </c>
      <c r="B14">
        <v>0</v>
      </c>
      <c r="C14">
        <v>12</v>
      </c>
      <c r="D14">
        <v>0</v>
      </c>
      <c r="E14">
        <v>398</v>
      </c>
      <c r="F14">
        <v>0</v>
      </c>
    </row>
    <row r="15" spans="1:6" x14ac:dyDescent="0.45">
      <c r="A15" t="s">
        <v>378</v>
      </c>
      <c r="B15">
        <v>3600000</v>
      </c>
      <c r="C15">
        <v>12</v>
      </c>
      <c r="D15">
        <v>0</v>
      </c>
      <c r="E15">
        <v>398</v>
      </c>
      <c r="F15">
        <v>0</v>
      </c>
    </row>
    <row r="16" spans="1:6" x14ac:dyDescent="0.45">
      <c r="A16" t="s">
        <v>378</v>
      </c>
      <c r="B16">
        <v>800000000</v>
      </c>
      <c r="C16">
        <v>12</v>
      </c>
      <c r="D16">
        <v>0</v>
      </c>
      <c r="E16">
        <v>398</v>
      </c>
      <c r="F16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"/>
  <sheetViews>
    <sheetView workbookViewId="0">
      <selection activeCell="D7" sqref="D7"/>
    </sheetView>
  </sheetViews>
  <sheetFormatPr baseColWidth="10" defaultRowHeight="14.25" x14ac:dyDescent="0.45"/>
  <cols>
    <col min="1" max="1" width="16.3984375" style="4" bestFit="1" customWidth="1"/>
  </cols>
  <sheetData>
    <row r="1" spans="1:3" x14ac:dyDescent="0.45">
      <c r="A1" t="s">
        <v>379</v>
      </c>
      <c r="B1" t="s">
        <v>40</v>
      </c>
      <c r="C1" t="s">
        <v>36</v>
      </c>
    </row>
    <row r="2" spans="1:3" x14ac:dyDescent="0.45">
      <c r="A2" t="s">
        <v>380</v>
      </c>
      <c r="B2">
        <v>5.0000000000000002E-5</v>
      </c>
      <c r="C2" t="s">
        <v>381</v>
      </c>
    </row>
    <row r="3" spans="1:3" x14ac:dyDescent="0.45">
      <c r="A3" t="s">
        <v>382</v>
      </c>
      <c r="B3">
        <v>3600000</v>
      </c>
      <c r="C3" t="s">
        <v>383</v>
      </c>
    </row>
    <row r="4" spans="1:3" x14ac:dyDescent="0.45">
      <c r="A4" t="s">
        <v>384</v>
      </c>
      <c r="B4">
        <v>1</v>
      </c>
      <c r="C4" t="s">
        <v>385</v>
      </c>
    </row>
    <row r="5" spans="1:3" x14ac:dyDescent="0.45">
      <c r="A5" t="s">
        <v>386</v>
      </c>
      <c r="B5">
        <v>0.01</v>
      </c>
      <c r="C5" t="s">
        <v>387</v>
      </c>
    </row>
    <row r="6" spans="1:3" x14ac:dyDescent="0.45">
      <c r="A6" t="s">
        <v>388</v>
      </c>
      <c r="B6">
        <v>5</v>
      </c>
      <c r="C6" t="s">
        <v>389</v>
      </c>
    </row>
    <row r="7" spans="1:3" x14ac:dyDescent="0.45">
      <c r="A7" t="s">
        <v>390</v>
      </c>
      <c r="C7" t="s">
        <v>391</v>
      </c>
    </row>
    <row r="8" spans="1:3" x14ac:dyDescent="0.45">
      <c r="A8" t="s">
        <v>392</v>
      </c>
      <c r="B8">
        <v>100</v>
      </c>
      <c r="C8" t="s">
        <v>393</v>
      </c>
    </row>
    <row r="9" spans="1:3" x14ac:dyDescent="0.45">
      <c r="A9" t="s">
        <v>394</v>
      </c>
      <c r="B9">
        <v>100</v>
      </c>
      <c r="C9" t="s">
        <v>395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6"/>
  <sheetViews>
    <sheetView workbookViewId="0">
      <selection activeCell="I26" sqref="I26"/>
    </sheetView>
  </sheetViews>
  <sheetFormatPr baseColWidth="10" defaultRowHeight="14.25" x14ac:dyDescent="0.45"/>
  <sheetData>
    <row r="1" spans="1:7" x14ac:dyDescent="0.45">
      <c r="A1" t="s">
        <v>372</v>
      </c>
      <c r="B1" t="s">
        <v>396</v>
      </c>
      <c r="C1" t="s">
        <v>397</v>
      </c>
      <c r="D1" t="s">
        <v>398</v>
      </c>
      <c r="E1" t="s">
        <v>399</v>
      </c>
      <c r="F1" t="s">
        <v>400</v>
      </c>
      <c r="G1" t="s">
        <v>401</v>
      </c>
    </row>
    <row r="2" spans="1:7" x14ac:dyDescent="0.45">
      <c r="A2" t="s">
        <v>374</v>
      </c>
      <c r="B2">
        <v>0</v>
      </c>
      <c r="C2">
        <v>-0.02</v>
      </c>
      <c r="D2">
        <v>-0.2</v>
      </c>
      <c r="E2">
        <v>-1</v>
      </c>
      <c r="F2">
        <v>-2</v>
      </c>
      <c r="G2">
        <v>-3</v>
      </c>
    </row>
    <row r="3" spans="1:7" x14ac:dyDescent="0.45">
      <c r="A3" t="s">
        <v>375</v>
      </c>
      <c r="B3">
        <v>0</v>
      </c>
      <c r="C3">
        <v>-0.02</v>
      </c>
      <c r="D3">
        <v>-0.2</v>
      </c>
      <c r="E3">
        <v>-1</v>
      </c>
      <c r="F3">
        <v>-2</v>
      </c>
      <c r="G3">
        <v>-3</v>
      </c>
    </row>
    <row r="4" spans="1:7" x14ac:dyDescent="0.45">
      <c r="A4" t="s">
        <v>376</v>
      </c>
      <c r="B4">
        <v>0</v>
      </c>
      <c r="C4">
        <v>-0.02</v>
      </c>
      <c r="D4">
        <v>-0.2</v>
      </c>
      <c r="E4">
        <v>-1</v>
      </c>
      <c r="F4">
        <v>-2</v>
      </c>
      <c r="G4">
        <v>-3</v>
      </c>
    </row>
    <row r="5" spans="1:7" x14ac:dyDescent="0.45">
      <c r="A5" t="s">
        <v>377</v>
      </c>
      <c r="B5">
        <v>0</v>
      </c>
      <c r="C5">
        <v>-0.02</v>
      </c>
      <c r="D5">
        <v>-0.2</v>
      </c>
      <c r="E5">
        <v>-1</v>
      </c>
      <c r="F5">
        <v>-2</v>
      </c>
      <c r="G5">
        <v>-3</v>
      </c>
    </row>
    <row r="6" spans="1:7" x14ac:dyDescent="0.45">
      <c r="A6" t="s">
        <v>378</v>
      </c>
      <c r="B6">
        <v>0</v>
      </c>
      <c r="C6">
        <v>-0.02</v>
      </c>
      <c r="D6">
        <v>-0.2</v>
      </c>
      <c r="E6">
        <v>-1</v>
      </c>
      <c r="F6">
        <v>-2</v>
      </c>
      <c r="G6">
        <v>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7"/>
  <sheetViews>
    <sheetView workbookViewId="0">
      <selection activeCell="F12" sqref="F12"/>
    </sheetView>
  </sheetViews>
  <sheetFormatPr baseColWidth="10" defaultRowHeight="14.25" x14ac:dyDescent="0.45"/>
  <cols>
    <col min="3" max="3" width="10.9296875" style="4" customWidth="1"/>
    <col min="8" max="8" width="10.9296875" style="4" customWidth="1"/>
  </cols>
  <sheetData>
    <row r="1" spans="1:3" x14ac:dyDescent="0.45">
      <c r="A1" t="s">
        <v>372</v>
      </c>
      <c r="B1" t="s">
        <v>100</v>
      </c>
      <c r="C1" t="s">
        <v>402</v>
      </c>
    </row>
    <row r="2" spans="1:3" x14ac:dyDescent="0.45">
      <c r="A2" t="s">
        <v>374</v>
      </c>
      <c r="B2">
        <v>0</v>
      </c>
      <c r="C2">
        <v>0</v>
      </c>
    </row>
    <row r="3" spans="1:3" x14ac:dyDescent="0.45">
      <c r="A3" t="s">
        <v>374</v>
      </c>
      <c r="B3">
        <v>3600000</v>
      </c>
      <c r="C3">
        <v>0</v>
      </c>
    </row>
    <row r="4" spans="1:3" x14ac:dyDescent="0.45">
      <c r="A4" t="s">
        <v>374</v>
      </c>
      <c r="B4">
        <v>800000000</v>
      </c>
      <c r="C4">
        <v>0</v>
      </c>
    </row>
    <row r="5" spans="1:3" x14ac:dyDescent="0.45">
      <c r="A5" t="s">
        <v>375</v>
      </c>
      <c r="B5">
        <v>0</v>
      </c>
      <c r="C5">
        <v>0</v>
      </c>
    </row>
    <row r="6" spans="1:3" x14ac:dyDescent="0.45">
      <c r="A6" t="s">
        <v>375</v>
      </c>
      <c r="B6">
        <v>3600000</v>
      </c>
      <c r="C6">
        <v>0</v>
      </c>
    </row>
    <row r="7" spans="1:3" x14ac:dyDescent="0.45">
      <c r="A7" t="s">
        <v>375</v>
      </c>
      <c r="B7">
        <v>800000000</v>
      </c>
      <c r="C7">
        <v>0</v>
      </c>
    </row>
    <row r="8" spans="1:3" x14ac:dyDescent="0.45">
      <c r="A8" t="s">
        <v>376</v>
      </c>
      <c r="B8">
        <v>0</v>
      </c>
      <c r="C8">
        <v>0</v>
      </c>
    </row>
    <row r="9" spans="1:3" x14ac:dyDescent="0.45">
      <c r="A9" t="s">
        <v>376</v>
      </c>
      <c r="B9">
        <v>3600000</v>
      </c>
      <c r="C9">
        <v>0</v>
      </c>
    </row>
    <row r="10" spans="1:3" x14ac:dyDescent="0.45">
      <c r="A10" t="s">
        <v>376</v>
      </c>
      <c r="B10">
        <v>800000000</v>
      </c>
      <c r="C10">
        <v>0</v>
      </c>
    </row>
    <row r="11" spans="1:3" x14ac:dyDescent="0.45">
      <c r="A11" t="s">
        <v>377</v>
      </c>
      <c r="B11">
        <v>0</v>
      </c>
      <c r="C11">
        <v>0</v>
      </c>
    </row>
    <row r="12" spans="1:3" x14ac:dyDescent="0.45">
      <c r="A12" t="s">
        <v>377</v>
      </c>
      <c r="B12">
        <v>3600000</v>
      </c>
      <c r="C12">
        <v>0</v>
      </c>
    </row>
    <row r="13" spans="1:3" x14ac:dyDescent="0.45">
      <c r="A13" t="s">
        <v>377</v>
      </c>
      <c r="B13">
        <v>800000000</v>
      </c>
      <c r="C13">
        <v>0</v>
      </c>
    </row>
    <row r="14" spans="1:3" x14ac:dyDescent="0.45">
      <c r="A14" t="s">
        <v>378</v>
      </c>
      <c r="B14">
        <v>0</v>
      </c>
      <c r="C14">
        <v>0</v>
      </c>
    </row>
    <row r="15" spans="1:3" x14ac:dyDescent="0.45">
      <c r="A15" t="s">
        <v>378</v>
      </c>
      <c r="B15">
        <v>3600000</v>
      </c>
      <c r="C15">
        <v>0</v>
      </c>
    </row>
    <row r="16" spans="1:3" x14ac:dyDescent="0.45">
      <c r="A16" t="s">
        <v>378</v>
      </c>
      <c r="B16">
        <v>800000000</v>
      </c>
      <c r="C16">
        <v>0</v>
      </c>
    </row>
    <row r="18" spans="2:16" x14ac:dyDescent="0.4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21" spans="2:16" x14ac:dyDescent="0.45">
      <c r="B21" s="3"/>
      <c r="C21" s="3"/>
    </row>
    <row r="24" spans="2:16" x14ac:dyDescent="0.45">
      <c r="B24" s="3"/>
      <c r="C24" s="3"/>
    </row>
    <row r="27" spans="2:16" x14ac:dyDescent="0.45">
      <c r="B27" s="3"/>
      <c r="C27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U27"/>
  <sheetViews>
    <sheetView tabSelected="1" workbookViewId="0">
      <selection activeCell="DO1" sqref="A1:DO1"/>
    </sheetView>
  </sheetViews>
  <sheetFormatPr baseColWidth="10" defaultRowHeight="14.25" x14ac:dyDescent="0.45"/>
  <cols>
    <col min="2" max="2" width="12.19921875" style="4" customWidth="1"/>
    <col min="5" max="5" width="10.9296875" style="4" customWidth="1"/>
    <col min="7" max="7" width="10.9296875" style="4" customWidth="1"/>
    <col min="9" max="10" width="17" style="4" bestFit="1" customWidth="1"/>
  </cols>
  <sheetData>
    <row r="1" spans="1:151" x14ac:dyDescent="0.45">
      <c r="A1" t="s">
        <v>39</v>
      </c>
      <c r="B1" t="s">
        <v>403</v>
      </c>
      <c r="C1" t="s">
        <v>404</v>
      </c>
      <c r="D1" t="s">
        <v>405</v>
      </c>
      <c r="E1" t="s">
        <v>406</v>
      </c>
      <c r="F1" t="s">
        <v>407</v>
      </c>
      <c r="G1" t="s">
        <v>408</v>
      </c>
      <c r="H1" t="s">
        <v>409</v>
      </c>
      <c r="I1" t="s">
        <v>410</v>
      </c>
      <c r="J1" t="s">
        <v>411</v>
      </c>
      <c r="K1" t="s">
        <v>412</v>
      </c>
      <c r="L1" t="s">
        <v>413</v>
      </c>
      <c r="M1" t="s">
        <v>414</v>
      </c>
      <c r="N1" t="s">
        <v>415</v>
      </c>
      <c r="O1" t="s">
        <v>416</v>
      </c>
      <c r="P1" t="s">
        <v>417</v>
      </c>
      <c r="Q1" t="s">
        <v>418</v>
      </c>
      <c r="R1" t="s">
        <v>419</v>
      </c>
      <c r="S1" t="s">
        <v>420</v>
      </c>
      <c r="T1" t="s">
        <v>421</v>
      </c>
      <c r="U1" t="s">
        <v>422</v>
      </c>
      <c r="V1" t="s">
        <v>423</v>
      </c>
      <c r="W1" t="s">
        <v>424</v>
      </c>
      <c r="X1" t="s">
        <v>425</v>
      </c>
      <c r="Y1" t="s">
        <v>426</v>
      </c>
      <c r="Z1" t="s">
        <v>427</v>
      </c>
      <c r="AA1" t="s">
        <v>428</v>
      </c>
      <c r="AB1" t="s">
        <v>429</v>
      </c>
      <c r="AC1" t="s">
        <v>430</v>
      </c>
      <c r="AD1" t="s">
        <v>431</v>
      </c>
      <c r="AE1" t="s">
        <v>432</v>
      </c>
      <c r="AF1" t="s">
        <v>433</v>
      </c>
      <c r="AG1" t="s">
        <v>434</v>
      </c>
      <c r="AH1" t="s">
        <v>435</v>
      </c>
      <c r="AI1" t="s">
        <v>436</v>
      </c>
      <c r="AJ1" t="s">
        <v>437</v>
      </c>
      <c r="AK1" t="s">
        <v>438</v>
      </c>
      <c r="AL1" t="s">
        <v>439</v>
      </c>
      <c r="AM1" t="s">
        <v>440</v>
      </c>
      <c r="AN1" t="s">
        <v>441</v>
      </c>
      <c r="AO1" t="s">
        <v>442</v>
      </c>
      <c r="AP1" t="s">
        <v>443</v>
      </c>
      <c r="AQ1" t="s">
        <v>444</v>
      </c>
      <c r="AR1" t="s">
        <v>445</v>
      </c>
      <c r="AS1" t="s">
        <v>446</v>
      </c>
      <c r="AT1" t="s">
        <v>447</v>
      </c>
      <c r="AU1" t="s">
        <v>448</v>
      </c>
      <c r="AV1" t="s">
        <v>449</v>
      </c>
      <c r="AW1" t="s">
        <v>450</v>
      </c>
      <c r="AX1" t="s">
        <v>451</v>
      </c>
      <c r="AY1" t="s">
        <v>452</v>
      </c>
      <c r="AZ1" t="s">
        <v>453</v>
      </c>
      <c r="BA1" t="s">
        <v>454</v>
      </c>
      <c r="BB1" t="s">
        <v>455</v>
      </c>
      <c r="BC1" t="s">
        <v>456</v>
      </c>
      <c r="BD1" t="s">
        <v>457</v>
      </c>
      <c r="BE1" t="s">
        <v>458</v>
      </c>
      <c r="BF1" t="s">
        <v>459</v>
      </c>
      <c r="BG1" t="s">
        <v>460</v>
      </c>
      <c r="BH1" t="s">
        <v>461</v>
      </c>
      <c r="BI1" t="s">
        <v>462</v>
      </c>
      <c r="BJ1" t="s">
        <v>463</v>
      </c>
      <c r="BK1" t="s">
        <v>464</v>
      </c>
      <c r="BL1" t="s">
        <v>465</v>
      </c>
      <c r="BM1" t="s">
        <v>466</v>
      </c>
      <c r="BN1" t="s">
        <v>467</v>
      </c>
      <c r="BO1" t="s">
        <v>468</v>
      </c>
      <c r="BP1" t="s">
        <v>469</v>
      </c>
      <c r="BQ1" t="s">
        <v>470</v>
      </c>
      <c r="BR1" t="s">
        <v>471</v>
      </c>
      <c r="BS1" t="s">
        <v>472</v>
      </c>
      <c r="BT1" t="s">
        <v>473</v>
      </c>
      <c r="BU1" t="s">
        <v>474</v>
      </c>
      <c r="BV1" t="s">
        <v>475</v>
      </c>
      <c r="BW1" t="s">
        <v>476</v>
      </c>
      <c r="BX1" t="s">
        <v>477</v>
      </c>
      <c r="BY1" t="s">
        <v>478</v>
      </c>
      <c r="BZ1" t="s">
        <v>479</v>
      </c>
      <c r="CA1" t="s">
        <v>480</v>
      </c>
      <c r="CB1" t="s">
        <v>481</v>
      </c>
      <c r="CC1" t="s">
        <v>482</v>
      </c>
      <c r="CD1" t="s">
        <v>483</v>
      </c>
      <c r="CE1" t="s">
        <v>484</v>
      </c>
      <c r="CF1" t="s">
        <v>485</v>
      </c>
      <c r="CG1" t="s">
        <v>486</v>
      </c>
      <c r="CH1" t="s">
        <v>487</v>
      </c>
      <c r="CI1" t="s">
        <v>488</v>
      </c>
      <c r="CJ1" t="s">
        <v>489</v>
      </c>
      <c r="CK1" t="s">
        <v>490</v>
      </c>
      <c r="CL1" t="s">
        <v>491</v>
      </c>
      <c r="CM1" t="s">
        <v>492</v>
      </c>
      <c r="CN1" t="s">
        <v>493</v>
      </c>
      <c r="CO1" t="s">
        <v>494</v>
      </c>
      <c r="CP1" t="s">
        <v>495</v>
      </c>
      <c r="CQ1" t="s">
        <v>496</v>
      </c>
      <c r="CR1" t="s">
        <v>497</v>
      </c>
      <c r="CS1" t="s">
        <v>498</v>
      </c>
      <c r="CT1" t="s">
        <v>499</v>
      </c>
      <c r="CU1" t="s">
        <v>500</v>
      </c>
      <c r="CV1" t="s">
        <v>501</v>
      </c>
      <c r="CW1" t="s">
        <v>502</v>
      </c>
      <c r="CX1" t="s">
        <v>503</v>
      </c>
      <c r="CY1" t="s">
        <v>504</v>
      </c>
      <c r="CZ1" t="s">
        <v>505</v>
      </c>
      <c r="DA1" t="s">
        <v>506</v>
      </c>
      <c r="DB1" t="s">
        <v>507</v>
      </c>
      <c r="DC1" t="s">
        <v>508</v>
      </c>
      <c r="DD1" t="s">
        <v>509</v>
      </c>
      <c r="DE1" t="s">
        <v>510</v>
      </c>
      <c r="DF1" t="s">
        <v>511</v>
      </c>
      <c r="DG1" t="s">
        <v>512</v>
      </c>
      <c r="DH1" t="s">
        <v>513</v>
      </c>
      <c r="DI1" t="s">
        <v>514</v>
      </c>
      <c r="DJ1" t="s">
        <v>515</v>
      </c>
      <c r="DK1" t="s">
        <v>516</v>
      </c>
      <c r="DL1" t="s">
        <v>517</v>
      </c>
      <c r="DM1" t="s">
        <v>518</v>
      </c>
      <c r="DN1" t="s">
        <v>519</v>
      </c>
    </row>
    <row r="2" spans="1:151" x14ac:dyDescent="0.45">
      <c r="A2" s="8" t="s">
        <v>46</v>
      </c>
      <c r="B2" s="1">
        <v>8.6400000000000001E-3</v>
      </c>
      <c r="C2" s="1">
        <v>2.5919999999999999E-2</v>
      </c>
      <c r="D2" s="1">
        <v>8.6400000000000005E-2</v>
      </c>
      <c r="E2" s="1">
        <v>0.25919999999999999</v>
      </c>
      <c r="F2" s="1">
        <v>0.86399999999999999</v>
      </c>
      <c r="G2" s="1">
        <v>2.5920000000000001</v>
      </c>
      <c r="H2" s="1">
        <v>8.64</v>
      </c>
      <c r="I2" s="1">
        <v>25.92</v>
      </c>
      <c r="J2" s="1">
        <v>86.4</v>
      </c>
      <c r="K2" s="1">
        <v>8.6400000000000001E-3</v>
      </c>
      <c r="L2" s="1">
        <v>2.5919999999999999E-2</v>
      </c>
      <c r="M2" s="1">
        <v>8.6400000000000005E-2</v>
      </c>
      <c r="N2" s="1">
        <v>0.25919999999999999</v>
      </c>
      <c r="O2" s="1">
        <v>0.86399999999999999</v>
      </c>
      <c r="P2" s="1">
        <v>2.5920000000000001</v>
      </c>
      <c r="Q2" s="1">
        <v>8.64</v>
      </c>
      <c r="R2" s="1">
        <v>25.92</v>
      </c>
      <c r="S2" s="1">
        <v>86.4</v>
      </c>
      <c r="T2" s="1">
        <v>8.6400000000000001E-3</v>
      </c>
      <c r="U2" s="1">
        <v>2.5919999999999999E-2</v>
      </c>
      <c r="V2" s="1">
        <v>8.6400000000000005E-2</v>
      </c>
      <c r="W2" s="1">
        <v>0.25919999999999999</v>
      </c>
      <c r="X2" s="1">
        <v>0.86399999999999999</v>
      </c>
      <c r="Y2" s="1">
        <v>2.5920000000000001</v>
      </c>
      <c r="Z2" s="1">
        <v>8.64</v>
      </c>
      <c r="AA2" s="1">
        <v>25.92</v>
      </c>
      <c r="AB2" s="1">
        <v>86.4</v>
      </c>
      <c r="AC2" s="1">
        <v>8.6400000000000001E-3</v>
      </c>
      <c r="AD2" s="1">
        <v>2.5919999999999999E-2</v>
      </c>
      <c r="AE2" s="1">
        <v>8.6400000000000005E-2</v>
      </c>
      <c r="AF2" s="1">
        <v>0.25919999999999999</v>
      </c>
      <c r="AG2" s="1">
        <v>0.86399999999999999</v>
      </c>
      <c r="AH2" s="1">
        <v>2.5920000000000001</v>
      </c>
      <c r="AI2" s="1">
        <v>8.64</v>
      </c>
      <c r="AJ2" s="1">
        <v>25.92</v>
      </c>
      <c r="AK2" s="1">
        <v>86.4</v>
      </c>
      <c r="AL2" s="1">
        <v>8.6400000000000001E-3</v>
      </c>
      <c r="AM2" s="1">
        <v>2.5919999999999999E-2</v>
      </c>
      <c r="AN2" s="1">
        <v>8.6400000000000005E-2</v>
      </c>
      <c r="AO2" s="1">
        <v>0.25919999999999999</v>
      </c>
      <c r="AP2" s="1">
        <v>0.86399999999999999</v>
      </c>
      <c r="AQ2" s="1">
        <v>2.5920000000000001</v>
      </c>
      <c r="AR2" s="1">
        <v>8.64</v>
      </c>
      <c r="AS2" s="1">
        <v>25.92</v>
      </c>
      <c r="AT2" s="1">
        <v>86.4</v>
      </c>
      <c r="AU2" s="1">
        <v>8.6400000000000001E-3</v>
      </c>
      <c r="AV2" s="1">
        <v>2.5919999999999999E-2</v>
      </c>
      <c r="AW2" s="1">
        <v>8.6400000000000005E-2</v>
      </c>
      <c r="AX2" s="1">
        <v>0.25919999999999999</v>
      </c>
      <c r="AY2" s="1">
        <v>0.86399999999999999</v>
      </c>
      <c r="AZ2" s="1">
        <v>2.5920000000000001</v>
      </c>
      <c r="BA2" s="1">
        <v>8.64</v>
      </c>
      <c r="BB2" s="1">
        <v>25.92</v>
      </c>
      <c r="BC2" s="1">
        <v>86.4</v>
      </c>
      <c r="BD2" s="1">
        <v>8.6400000000000001E-3</v>
      </c>
      <c r="BE2" s="1">
        <v>2.5919999999999999E-2</v>
      </c>
      <c r="BF2" s="1">
        <v>8.6400000000000005E-2</v>
      </c>
      <c r="BG2" s="1">
        <v>0.25919999999999999</v>
      </c>
      <c r="BH2" s="1">
        <v>0.86399999999999999</v>
      </c>
      <c r="BI2" s="1">
        <v>2.5920000000000001</v>
      </c>
      <c r="BJ2" s="1">
        <v>8.64</v>
      </c>
      <c r="BK2" s="1">
        <v>25.92</v>
      </c>
      <c r="BL2" s="1">
        <v>86.4</v>
      </c>
      <c r="BM2" s="1">
        <v>8.6400000000000001E-3</v>
      </c>
      <c r="BN2" s="1">
        <v>2.5919999999999999E-2</v>
      </c>
      <c r="BO2" s="1">
        <v>8.6400000000000005E-2</v>
      </c>
      <c r="BP2" s="1">
        <v>0.25919999999999999</v>
      </c>
      <c r="BQ2" s="1">
        <v>0.86399999999999999</v>
      </c>
      <c r="BR2" s="1">
        <v>2.5920000000000001</v>
      </c>
      <c r="BS2" s="1">
        <v>8.64</v>
      </c>
      <c r="BT2" s="1">
        <v>25.92</v>
      </c>
      <c r="BU2" s="1">
        <v>86.4</v>
      </c>
      <c r="BV2" s="1">
        <v>8.6400000000000001E-3</v>
      </c>
      <c r="BW2" s="1">
        <v>2.5919999999999999E-2</v>
      </c>
      <c r="BX2" s="1">
        <v>8.6400000000000005E-2</v>
      </c>
      <c r="BY2" s="1">
        <v>0.25919999999999999</v>
      </c>
      <c r="BZ2" s="1">
        <v>0.86399999999999999</v>
      </c>
      <c r="CA2" s="1">
        <v>2.5920000000000001</v>
      </c>
      <c r="CB2" s="1">
        <v>8.64</v>
      </c>
      <c r="CC2" s="1">
        <v>25.92</v>
      </c>
      <c r="CD2" s="1">
        <v>86.4</v>
      </c>
      <c r="CE2" s="1">
        <v>8.6400000000000001E-3</v>
      </c>
      <c r="CF2" s="1">
        <v>2.5919999999999999E-2</v>
      </c>
      <c r="CG2" s="1">
        <v>8.6400000000000005E-2</v>
      </c>
      <c r="CH2" s="1">
        <v>0.25919999999999999</v>
      </c>
      <c r="CI2" s="1">
        <v>0.86399999999999999</v>
      </c>
      <c r="CJ2" s="1">
        <v>2.5920000000000001</v>
      </c>
      <c r="CK2" s="1">
        <v>8.64</v>
      </c>
      <c r="CL2" s="1">
        <v>25.92</v>
      </c>
      <c r="CM2" s="1">
        <v>86.4</v>
      </c>
      <c r="CN2" s="1">
        <v>8.6400000000000001E-3</v>
      </c>
      <c r="CO2" s="1">
        <v>2.5919999999999999E-2</v>
      </c>
      <c r="CP2" s="1">
        <v>8.6400000000000005E-2</v>
      </c>
      <c r="CQ2" s="1">
        <v>0.25919999999999999</v>
      </c>
      <c r="CR2" s="1">
        <v>0.86399999999999999</v>
      </c>
      <c r="CS2" s="1">
        <v>2.5920000000000001</v>
      </c>
      <c r="CT2" s="1">
        <v>8.64</v>
      </c>
      <c r="CU2" s="1">
        <v>25.92</v>
      </c>
      <c r="CV2" s="1">
        <v>86.4</v>
      </c>
      <c r="CW2" s="1">
        <v>8.6400000000000001E-3</v>
      </c>
      <c r="CX2" s="1">
        <v>2.5919999999999999E-2</v>
      </c>
      <c r="CY2" s="1">
        <v>8.6400000000000005E-2</v>
      </c>
      <c r="CZ2" s="1">
        <v>0.25919999999999999</v>
      </c>
      <c r="DA2" s="1">
        <v>0.86399999999999999</v>
      </c>
      <c r="DB2" s="1">
        <v>2.5920000000000001</v>
      </c>
      <c r="DC2" s="1">
        <v>8.64</v>
      </c>
      <c r="DD2" s="1">
        <v>25.92</v>
      </c>
      <c r="DE2" s="1">
        <v>86.4</v>
      </c>
      <c r="DF2" s="1">
        <v>8.6400000000000001E-3</v>
      </c>
      <c r="DG2" s="1">
        <v>2.5919999999999999E-2</v>
      </c>
      <c r="DH2" s="1">
        <v>8.6400000000000005E-2</v>
      </c>
      <c r="DI2" s="1">
        <v>0.25919999999999999</v>
      </c>
      <c r="DJ2" s="1">
        <v>0.86399999999999999</v>
      </c>
      <c r="DK2" s="1">
        <v>2.5920000000000001</v>
      </c>
      <c r="DL2" s="1">
        <v>8.64</v>
      </c>
      <c r="DM2" s="1">
        <v>25.92</v>
      </c>
      <c r="DN2" s="1">
        <v>86.4</v>
      </c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</row>
    <row r="3" spans="1:151" x14ac:dyDescent="0.45">
      <c r="A3" s="9" t="s">
        <v>50</v>
      </c>
      <c r="B3" s="10">
        <v>8.6399999999999999E-9</v>
      </c>
      <c r="C3" s="10">
        <v>8.6399999999999999E-9</v>
      </c>
      <c r="D3" s="10">
        <v>8.6399999999999999E-9</v>
      </c>
      <c r="E3" s="10">
        <v>8.6399999999999999E-9</v>
      </c>
      <c r="F3" s="10">
        <v>8.6399999999999999E-9</v>
      </c>
      <c r="G3" s="10">
        <v>8.6399999999999999E-9</v>
      </c>
      <c r="H3" s="10">
        <v>8.6399999999999999E-9</v>
      </c>
      <c r="I3" s="10">
        <v>8.6399999999999999E-9</v>
      </c>
      <c r="J3" s="10">
        <v>8.6399999999999999E-9</v>
      </c>
      <c r="K3" s="10">
        <v>2.592E-8</v>
      </c>
      <c r="L3" s="10">
        <v>2.592E-8</v>
      </c>
      <c r="M3" s="10">
        <v>2.592E-8</v>
      </c>
      <c r="N3" s="10">
        <v>2.592E-8</v>
      </c>
      <c r="O3" s="10">
        <v>2.592E-8</v>
      </c>
      <c r="P3" s="10">
        <v>2.592E-8</v>
      </c>
      <c r="Q3" s="10">
        <v>2.592E-8</v>
      </c>
      <c r="R3" s="10">
        <v>2.592E-8</v>
      </c>
      <c r="S3" s="10">
        <v>2.592E-8</v>
      </c>
      <c r="T3" s="10">
        <v>8.6400000000000006E-8</v>
      </c>
      <c r="U3" s="10">
        <v>8.6400000000000006E-8</v>
      </c>
      <c r="V3" s="10">
        <v>8.6400000000000006E-8</v>
      </c>
      <c r="W3" s="10">
        <v>8.6400000000000006E-8</v>
      </c>
      <c r="X3" s="10">
        <v>8.6400000000000006E-8</v>
      </c>
      <c r="Y3" s="10">
        <v>8.6400000000000006E-8</v>
      </c>
      <c r="Z3" s="10">
        <v>8.6400000000000006E-8</v>
      </c>
      <c r="AA3" s="10">
        <v>8.6400000000000006E-8</v>
      </c>
      <c r="AB3" s="10">
        <v>8.6400000000000006E-8</v>
      </c>
      <c r="AC3" s="10">
        <v>2.5919999999999999E-7</v>
      </c>
      <c r="AD3" s="10">
        <v>2.5919999999999999E-7</v>
      </c>
      <c r="AE3" s="10">
        <v>2.5919999999999999E-7</v>
      </c>
      <c r="AF3" s="10">
        <v>2.5919999999999999E-7</v>
      </c>
      <c r="AG3" s="10">
        <v>2.5919999999999999E-7</v>
      </c>
      <c r="AH3" s="10">
        <v>2.5919999999999999E-7</v>
      </c>
      <c r="AI3" s="10">
        <v>2.5919999999999999E-7</v>
      </c>
      <c r="AJ3" s="10">
        <v>2.5919999999999999E-7</v>
      </c>
      <c r="AK3" s="10">
        <v>2.5919999999999999E-7</v>
      </c>
      <c r="AL3" s="10">
        <v>8.6400000000000001E-7</v>
      </c>
      <c r="AM3" s="10">
        <v>8.6400000000000001E-7</v>
      </c>
      <c r="AN3" s="10">
        <v>8.6400000000000001E-7</v>
      </c>
      <c r="AO3" s="10">
        <v>8.6400000000000001E-7</v>
      </c>
      <c r="AP3" s="10">
        <v>8.6400000000000001E-7</v>
      </c>
      <c r="AQ3" s="10">
        <v>8.6400000000000001E-7</v>
      </c>
      <c r="AR3" s="10">
        <v>8.6400000000000001E-7</v>
      </c>
      <c r="AS3" s="10">
        <v>8.6400000000000001E-7</v>
      </c>
      <c r="AT3" s="10">
        <v>8.6400000000000001E-7</v>
      </c>
      <c r="AU3" s="10">
        <v>2.5919999999999999E-6</v>
      </c>
      <c r="AV3" s="10">
        <v>2.5919999999999999E-6</v>
      </c>
      <c r="AW3" s="10">
        <v>2.5919999999999999E-6</v>
      </c>
      <c r="AX3" s="10">
        <v>2.5919999999999999E-6</v>
      </c>
      <c r="AY3" s="10">
        <v>2.5919999999999999E-6</v>
      </c>
      <c r="AZ3" s="10">
        <v>2.5919999999999999E-6</v>
      </c>
      <c r="BA3" s="10">
        <v>2.5919999999999999E-6</v>
      </c>
      <c r="BB3" s="10">
        <v>2.5919999999999999E-6</v>
      </c>
      <c r="BC3" s="10">
        <v>2.5919999999999999E-6</v>
      </c>
      <c r="BD3" s="10">
        <v>8.6400000000000003E-6</v>
      </c>
      <c r="BE3" s="10">
        <v>8.6400000000000003E-6</v>
      </c>
      <c r="BF3" s="10">
        <v>8.6400000000000003E-6</v>
      </c>
      <c r="BG3" s="10">
        <v>8.6400000000000003E-6</v>
      </c>
      <c r="BH3" s="10">
        <v>8.6400000000000003E-6</v>
      </c>
      <c r="BI3" s="10">
        <v>8.6400000000000003E-6</v>
      </c>
      <c r="BJ3" s="10">
        <v>8.6400000000000003E-6</v>
      </c>
      <c r="BK3" s="10">
        <v>8.6400000000000003E-6</v>
      </c>
      <c r="BL3" s="10">
        <v>8.6400000000000003E-6</v>
      </c>
      <c r="BM3" s="10">
        <v>2.5919999999999999E-5</v>
      </c>
      <c r="BN3" s="10">
        <v>2.5919999999999999E-5</v>
      </c>
      <c r="BO3" s="10">
        <v>2.5919999999999999E-5</v>
      </c>
      <c r="BP3" s="10">
        <v>2.5919999999999999E-5</v>
      </c>
      <c r="BQ3" s="10">
        <v>2.5919999999999999E-5</v>
      </c>
      <c r="BR3" s="10">
        <v>2.5919999999999999E-5</v>
      </c>
      <c r="BS3" s="10">
        <v>2.5919999999999999E-5</v>
      </c>
      <c r="BT3" s="10">
        <v>2.5919999999999999E-5</v>
      </c>
      <c r="BU3" s="10">
        <v>2.5919999999999999E-5</v>
      </c>
      <c r="BV3" s="10">
        <v>8.6399999999999999E-5</v>
      </c>
      <c r="BW3" s="10">
        <v>8.6399999999999999E-5</v>
      </c>
      <c r="BX3" s="10">
        <v>8.6399999999999999E-5</v>
      </c>
      <c r="BY3" s="10">
        <v>8.6399999999999999E-5</v>
      </c>
      <c r="BZ3" s="10">
        <v>8.6399999999999999E-5</v>
      </c>
      <c r="CA3" s="10">
        <v>8.6399999999999999E-5</v>
      </c>
      <c r="CB3" s="10">
        <v>8.6399999999999999E-5</v>
      </c>
      <c r="CC3" s="10">
        <v>8.6399999999999999E-5</v>
      </c>
      <c r="CD3" s="10">
        <v>8.6399999999999999E-5</v>
      </c>
      <c r="CE3" s="10">
        <v>2.5920000000000001E-4</v>
      </c>
      <c r="CF3" s="10">
        <v>2.5920000000000001E-4</v>
      </c>
      <c r="CG3" s="10">
        <v>2.5920000000000001E-4</v>
      </c>
      <c r="CH3" s="10">
        <v>2.5920000000000001E-4</v>
      </c>
      <c r="CI3" s="10">
        <v>2.5920000000000001E-4</v>
      </c>
      <c r="CJ3" s="10">
        <v>2.5920000000000001E-4</v>
      </c>
      <c r="CK3" s="10">
        <v>2.5920000000000001E-4</v>
      </c>
      <c r="CL3" s="10">
        <v>2.5920000000000001E-4</v>
      </c>
      <c r="CM3" s="10">
        <v>2.5920000000000001E-4</v>
      </c>
      <c r="CN3" s="10">
        <v>8.6399999999999997E-4</v>
      </c>
      <c r="CO3" s="10">
        <v>8.6399999999999997E-4</v>
      </c>
      <c r="CP3" s="10">
        <v>8.6399999999999997E-4</v>
      </c>
      <c r="CQ3" s="10">
        <v>8.6399999999999997E-4</v>
      </c>
      <c r="CR3" s="10">
        <v>8.6399999999999997E-4</v>
      </c>
      <c r="CS3" s="10">
        <v>8.6399999999999997E-4</v>
      </c>
      <c r="CT3" s="10">
        <v>8.6399999999999997E-4</v>
      </c>
      <c r="CU3" s="10">
        <v>8.6399999999999997E-4</v>
      </c>
      <c r="CV3" s="10">
        <v>8.6399999999999997E-4</v>
      </c>
      <c r="CW3" s="10">
        <v>2.5920000000000001E-3</v>
      </c>
      <c r="CX3" s="10">
        <v>2.5920000000000001E-3</v>
      </c>
      <c r="CY3" s="10">
        <v>2.5920000000000001E-3</v>
      </c>
      <c r="CZ3" s="10">
        <v>2.5920000000000001E-3</v>
      </c>
      <c r="DA3" s="10">
        <v>2.5920000000000001E-3</v>
      </c>
      <c r="DB3" s="10">
        <v>2.5920000000000001E-3</v>
      </c>
      <c r="DC3" s="10">
        <v>2.5920000000000001E-3</v>
      </c>
      <c r="DD3" s="10">
        <v>2.5920000000000001E-3</v>
      </c>
      <c r="DE3" s="10">
        <v>2.5920000000000001E-3</v>
      </c>
      <c r="DF3" s="10">
        <v>8.6400000000000001E-3</v>
      </c>
      <c r="DG3" s="10">
        <v>8.6400000000000001E-3</v>
      </c>
      <c r="DH3" s="10">
        <v>8.6400000000000001E-3</v>
      </c>
      <c r="DI3" s="10">
        <v>8.6400000000000001E-3</v>
      </c>
      <c r="DJ3" s="10">
        <v>8.6400000000000001E-3</v>
      </c>
      <c r="DK3" s="10">
        <v>8.6400000000000001E-3</v>
      </c>
      <c r="DL3" s="10">
        <v>8.6400000000000001E-3</v>
      </c>
      <c r="DM3" s="10">
        <v>8.6400000000000001E-3</v>
      </c>
      <c r="DN3" s="10">
        <v>8.6400000000000001E-3</v>
      </c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</row>
    <row r="4" spans="1:151" x14ac:dyDescent="0.45">
      <c r="A4" s="8" t="s">
        <v>52</v>
      </c>
      <c r="B4" s="1">
        <v>8.6400000000000001E-3</v>
      </c>
      <c r="C4" s="1">
        <v>2.5919999999999999E-2</v>
      </c>
      <c r="D4" s="1">
        <v>8.6400000000000005E-2</v>
      </c>
      <c r="E4" s="1">
        <v>0.25919999999999999</v>
      </c>
      <c r="F4" s="1">
        <v>0.86399999999999999</v>
      </c>
      <c r="G4" s="1">
        <v>2.5920000000000001</v>
      </c>
      <c r="H4" s="1">
        <v>8.64</v>
      </c>
      <c r="I4" s="1">
        <v>25.92</v>
      </c>
      <c r="J4" s="1">
        <v>86.4</v>
      </c>
      <c r="K4" s="1">
        <v>8.6400000000000001E-3</v>
      </c>
      <c r="L4" s="1">
        <v>2.5919999999999999E-2</v>
      </c>
      <c r="M4" s="1">
        <v>8.6400000000000005E-2</v>
      </c>
      <c r="N4" s="1">
        <v>0.25919999999999999</v>
      </c>
      <c r="O4" s="1">
        <v>0.86399999999999999</v>
      </c>
      <c r="P4" s="1">
        <v>2.5920000000000001</v>
      </c>
      <c r="Q4" s="1">
        <v>8.64</v>
      </c>
      <c r="R4" s="1">
        <v>25.92</v>
      </c>
      <c r="S4" s="1">
        <v>86.4</v>
      </c>
      <c r="T4" s="1">
        <v>8.6400000000000001E-3</v>
      </c>
      <c r="U4" s="1">
        <v>2.5919999999999999E-2</v>
      </c>
      <c r="V4" s="1">
        <v>8.6400000000000005E-2</v>
      </c>
      <c r="W4" s="1">
        <v>0.25919999999999999</v>
      </c>
      <c r="X4" s="1">
        <v>0.86399999999999999</v>
      </c>
      <c r="Y4" s="1">
        <v>2.5920000000000001</v>
      </c>
      <c r="Z4" s="1">
        <v>8.64</v>
      </c>
      <c r="AA4" s="1">
        <v>25.92</v>
      </c>
      <c r="AB4" s="1">
        <v>86.4</v>
      </c>
      <c r="AC4" s="1">
        <v>8.6400000000000001E-3</v>
      </c>
      <c r="AD4" s="1">
        <v>2.5919999999999999E-2</v>
      </c>
      <c r="AE4" s="1">
        <v>8.6400000000000005E-2</v>
      </c>
      <c r="AF4" s="1">
        <v>0.25919999999999999</v>
      </c>
      <c r="AG4" s="1">
        <v>0.86399999999999999</v>
      </c>
      <c r="AH4" s="1">
        <v>2.5920000000000001</v>
      </c>
      <c r="AI4" s="1">
        <v>8.64</v>
      </c>
      <c r="AJ4" s="1">
        <v>25.92</v>
      </c>
      <c r="AK4" s="1">
        <v>86.4</v>
      </c>
      <c r="AL4" s="1">
        <v>8.6400000000000001E-3</v>
      </c>
      <c r="AM4" s="1">
        <v>2.5919999999999999E-2</v>
      </c>
      <c r="AN4" s="1">
        <v>8.6400000000000005E-2</v>
      </c>
      <c r="AO4" s="1">
        <v>0.25919999999999999</v>
      </c>
      <c r="AP4" s="1">
        <v>0.86399999999999999</v>
      </c>
      <c r="AQ4" s="1">
        <v>2.5920000000000001</v>
      </c>
      <c r="AR4" s="1">
        <v>8.64</v>
      </c>
      <c r="AS4" s="1">
        <v>25.92</v>
      </c>
      <c r="AT4" s="1">
        <v>86.4</v>
      </c>
      <c r="AU4" s="1">
        <v>8.6400000000000001E-3</v>
      </c>
      <c r="AV4" s="1">
        <v>2.5919999999999999E-2</v>
      </c>
      <c r="AW4" s="1">
        <v>8.6400000000000005E-2</v>
      </c>
      <c r="AX4" s="1">
        <v>0.25919999999999999</v>
      </c>
      <c r="AY4" s="1">
        <v>0.86399999999999999</v>
      </c>
      <c r="AZ4" s="1">
        <v>2.5920000000000001</v>
      </c>
      <c r="BA4" s="1">
        <v>8.64</v>
      </c>
      <c r="BB4" s="1">
        <v>25.92</v>
      </c>
      <c r="BC4" s="1">
        <v>86.4</v>
      </c>
      <c r="BD4" s="1">
        <v>8.6400000000000001E-3</v>
      </c>
      <c r="BE4" s="1">
        <v>2.5919999999999999E-2</v>
      </c>
      <c r="BF4" s="1">
        <v>8.6400000000000005E-2</v>
      </c>
      <c r="BG4" s="1">
        <v>0.25919999999999999</v>
      </c>
      <c r="BH4" s="1">
        <v>0.86399999999999999</v>
      </c>
      <c r="BI4" s="1">
        <v>2.5920000000000001</v>
      </c>
      <c r="BJ4" s="1">
        <v>8.64</v>
      </c>
      <c r="BK4" s="1">
        <v>25.92</v>
      </c>
      <c r="BL4" s="1">
        <v>86.4</v>
      </c>
      <c r="BM4" s="1">
        <v>8.6400000000000001E-3</v>
      </c>
      <c r="BN4" s="1">
        <v>2.5919999999999999E-2</v>
      </c>
      <c r="BO4" s="1">
        <v>8.6400000000000005E-2</v>
      </c>
      <c r="BP4" s="1">
        <v>0.25919999999999999</v>
      </c>
      <c r="BQ4" s="1">
        <v>0.86399999999999999</v>
      </c>
      <c r="BR4" s="1">
        <v>2.5920000000000001</v>
      </c>
      <c r="BS4" s="1">
        <v>8.64</v>
      </c>
      <c r="BT4" s="1">
        <v>25.92</v>
      </c>
      <c r="BU4" s="1">
        <v>86.4</v>
      </c>
      <c r="BV4" s="1">
        <v>8.6400000000000001E-3</v>
      </c>
      <c r="BW4" s="1">
        <v>2.5919999999999999E-2</v>
      </c>
      <c r="BX4" s="1">
        <v>8.6400000000000005E-2</v>
      </c>
      <c r="BY4" s="1">
        <v>0.25919999999999999</v>
      </c>
      <c r="BZ4" s="1">
        <v>0.86399999999999999</v>
      </c>
      <c r="CA4" s="1">
        <v>2.5920000000000001</v>
      </c>
      <c r="CB4" s="1">
        <v>8.64</v>
      </c>
      <c r="CC4" s="1">
        <v>25.92</v>
      </c>
      <c r="CD4" s="1">
        <v>86.4</v>
      </c>
      <c r="CE4" s="1">
        <v>8.6400000000000001E-3</v>
      </c>
      <c r="CF4" s="1">
        <v>2.5919999999999999E-2</v>
      </c>
      <c r="CG4" s="1">
        <v>8.6400000000000005E-2</v>
      </c>
      <c r="CH4" s="1">
        <v>0.25919999999999999</v>
      </c>
      <c r="CI4" s="1">
        <v>0.86399999999999999</v>
      </c>
      <c r="CJ4" s="1">
        <v>2.5920000000000001</v>
      </c>
      <c r="CK4" s="1">
        <v>8.64</v>
      </c>
      <c r="CL4" s="1">
        <v>25.92</v>
      </c>
      <c r="CM4" s="1">
        <v>86.4</v>
      </c>
      <c r="CN4" s="1">
        <v>8.6400000000000001E-3</v>
      </c>
      <c r="CO4" s="1">
        <v>2.5919999999999999E-2</v>
      </c>
      <c r="CP4" s="1">
        <v>8.6400000000000005E-2</v>
      </c>
      <c r="CQ4" s="1">
        <v>0.25919999999999999</v>
      </c>
      <c r="CR4" s="1">
        <v>0.86399999999999999</v>
      </c>
      <c r="CS4" s="1">
        <v>2.5920000000000001</v>
      </c>
      <c r="CT4" s="1">
        <v>8.64</v>
      </c>
      <c r="CU4" s="1">
        <v>25.92</v>
      </c>
      <c r="CV4" s="1">
        <v>86.4</v>
      </c>
      <c r="CW4" s="1">
        <v>8.6400000000000001E-3</v>
      </c>
      <c r="CX4" s="1">
        <v>2.5919999999999999E-2</v>
      </c>
      <c r="CY4" s="1">
        <v>8.6400000000000005E-2</v>
      </c>
      <c r="CZ4" s="1">
        <v>0.25919999999999999</v>
      </c>
      <c r="DA4" s="1">
        <v>0.86399999999999999</v>
      </c>
      <c r="DB4" s="1">
        <v>2.5920000000000001</v>
      </c>
      <c r="DC4" s="1">
        <v>8.64</v>
      </c>
      <c r="DD4" s="1">
        <v>25.92</v>
      </c>
      <c r="DE4" s="1">
        <v>86.4</v>
      </c>
      <c r="DF4" s="1">
        <v>8.6400000000000001E-3</v>
      </c>
      <c r="DG4" s="1">
        <v>2.5919999999999999E-2</v>
      </c>
      <c r="DH4" s="1">
        <v>8.6400000000000005E-2</v>
      </c>
      <c r="DI4" s="1">
        <v>0.25919999999999999</v>
      </c>
      <c r="DJ4" s="1">
        <v>0.86399999999999999</v>
      </c>
      <c r="DK4" s="1">
        <v>2.5920000000000001</v>
      </c>
      <c r="DL4" s="1">
        <v>8.64</v>
      </c>
      <c r="DM4" s="1">
        <v>25.92</v>
      </c>
      <c r="DN4" s="1">
        <v>86.4</v>
      </c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</row>
    <row r="5" spans="1:151" x14ac:dyDescent="0.45">
      <c r="A5" s="9" t="s">
        <v>54</v>
      </c>
      <c r="B5" s="10">
        <v>8.6399999999999999E-9</v>
      </c>
      <c r="C5" s="10">
        <v>8.6399999999999999E-9</v>
      </c>
      <c r="D5" s="10">
        <v>8.6399999999999999E-9</v>
      </c>
      <c r="E5" s="10">
        <v>8.6399999999999999E-9</v>
      </c>
      <c r="F5" s="10">
        <v>8.6399999999999999E-9</v>
      </c>
      <c r="G5" s="10">
        <v>8.6399999999999999E-9</v>
      </c>
      <c r="H5" s="10">
        <v>8.6399999999999999E-9</v>
      </c>
      <c r="I5" s="10">
        <v>8.6399999999999999E-9</v>
      </c>
      <c r="J5" s="10">
        <v>8.6399999999999999E-9</v>
      </c>
      <c r="K5" s="10">
        <v>2.592E-8</v>
      </c>
      <c r="L5" s="10">
        <v>2.592E-8</v>
      </c>
      <c r="M5" s="10">
        <v>2.592E-8</v>
      </c>
      <c r="N5" s="10">
        <v>2.592E-8</v>
      </c>
      <c r="O5" s="10">
        <v>2.592E-8</v>
      </c>
      <c r="P5" s="10">
        <v>2.592E-8</v>
      </c>
      <c r="Q5" s="10">
        <v>2.592E-8</v>
      </c>
      <c r="R5" s="10">
        <v>2.592E-8</v>
      </c>
      <c r="S5" s="10">
        <v>2.592E-8</v>
      </c>
      <c r="T5" s="10">
        <v>8.6400000000000006E-8</v>
      </c>
      <c r="U5" s="10">
        <v>8.6400000000000006E-8</v>
      </c>
      <c r="V5" s="10">
        <v>8.6400000000000006E-8</v>
      </c>
      <c r="W5" s="10">
        <v>8.6400000000000006E-8</v>
      </c>
      <c r="X5" s="10">
        <v>8.6400000000000006E-8</v>
      </c>
      <c r="Y5" s="10">
        <v>8.6400000000000006E-8</v>
      </c>
      <c r="Z5" s="10">
        <v>8.6400000000000006E-8</v>
      </c>
      <c r="AA5" s="10">
        <v>8.6400000000000006E-8</v>
      </c>
      <c r="AB5" s="10">
        <v>8.6400000000000006E-8</v>
      </c>
      <c r="AC5" s="10">
        <v>2.5919999999999999E-7</v>
      </c>
      <c r="AD5" s="10">
        <v>2.5919999999999999E-7</v>
      </c>
      <c r="AE5" s="10">
        <v>2.5919999999999999E-7</v>
      </c>
      <c r="AF5" s="10">
        <v>2.5919999999999999E-7</v>
      </c>
      <c r="AG5" s="10">
        <v>2.5919999999999999E-7</v>
      </c>
      <c r="AH5" s="10">
        <v>2.5919999999999999E-7</v>
      </c>
      <c r="AI5" s="10">
        <v>2.5919999999999999E-7</v>
      </c>
      <c r="AJ5" s="10">
        <v>2.5919999999999999E-7</v>
      </c>
      <c r="AK5" s="10">
        <v>2.5919999999999999E-7</v>
      </c>
      <c r="AL5" s="10">
        <v>8.6400000000000001E-7</v>
      </c>
      <c r="AM5" s="10">
        <v>8.6400000000000001E-7</v>
      </c>
      <c r="AN5" s="10">
        <v>8.6400000000000001E-7</v>
      </c>
      <c r="AO5" s="10">
        <v>8.6400000000000001E-7</v>
      </c>
      <c r="AP5" s="10">
        <v>8.6400000000000001E-7</v>
      </c>
      <c r="AQ5" s="10">
        <v>8.6400000000000001E-7</v>
      </c>
      <c r="AR5" s="10">
        <v>8.6400000000000001E-7</v>
      </c>
      <c r="AS5" s="10">
        <v>8.6400000000000001E-7</v>
      </c>
      <c r="AT5" s="10">
        <v>8.6400000000000001E-7</v>
      </c>
      <c r="AU5" s="10">
        <v>2.5919999999999999E-6</v>
      </c>
      <c r="AV5" s="10">
        <v>2.5919999999999999E-6</v>
      </c>
      <c r="AW5" s="10">
        <v>2.5919999999999999E-6</v>
      </c>
      <c r="AX5" s="10">
        <v>2.5919999999999999E-6</v>
      </c>
      <c r="AY5" s="10">
        <v>2.5919999999999999E-6</v>
      </c>
      <c r="AZ5" s="10">
        <v>2.5919999999999999E-6</v>
      </c>
      <c r="BA5" s="10">
        <v>2.5919999999999999E-6</v>
      </c>
      <c r="BB5" s="10">
        <v>2.5919999999999999E-6</v>
      </c>
      <c r="BC5" s="10">
        <v>2.5919999999999999E-6</v>
      </c>
      <c r="BD5" s="10">
        <v>8.6400000000000003E-6</v>
      </c>
      <c r="BE5" s="10">
        <v>8.6400000000000003E-6</v>
      </c>
      <c r="BF5" s="10">
        <v>8.6400000000000003E-6</v>
      </c>
      <c r="BG5" s="10">
        <v>8.6400000000000003E-6</v>
      </c>
      <c r="BH5" s="10">
        <v>8.6400000000000003E-6</v>
      </c>
      <c r="BI5" s="10">
        <v>8.6400000000000003E-6</v>
      </c>
      <c r="BJ5" s="10">
        <v>8.6400000000000003E-6</v>
      </c>
      <c r="BK5" s="10">
        <v>8.6400000000000003E-6</v>
      </c>
      <c r="BL5" s="10">
        <v>8.6400000000000003E-6</v>
      </c>
      <c r="BM5" s="10">
        <v>2.5919999999999999E-5</v>
      </c>
      <c r="BN5" s="10">
        <v>2.5919999999999999E-5</v>
      </c>
      <c r="BO5" s="10">
        <v>2.5919999999999999E-5</v>
      </c>
      <c r="BP5" s="10">
        <v>2.5919999999999999E-5</v>
      </c>
      <c r="BQ5" s="10">
        <v>2.5919999999999999E-5</v>
      </c>
      <c r="BR5" s="10">
        <v>2.5919999999999999E-5</v>
      </c>
      <c r="BS5" s="10">
        <v>2.5919999999999999E-5</v>
      </c>
      <c r="BT5" s="10">
        <v>2.5919999999999999E-5</v>
      </c>
      <c r="BU5" s="10">
        <v>2.5919999999999999E-5</v>
      </c>
      <c r="BV5" s="10">
        <v>8.6399999999999999E-5</v>
      </c>
      <c r="BW5" s="10">
        <v>8.6399999999999999E-5</v>
      </c>
      <c r="BX5" s="10">
        <v>8.6399999999999999E-5</v>
      </c>
      <c r="BY5" s="10">
        <v>8.6399999999999999E-5</v>
      </c>
      <c r="BZ5" s="10">
        <v>8.6399999999999999E-5</v>
      </c>
      <c r="CA5" s="10">
        <v>8.6399999999999999E-5</v>
      </c>
      <c r="CB5" s="10">
        <v>8.6399999999999999E-5</v>
      </c>
      <c r="CC5" s="10">
        <v>8.6399999999999999E-5</v>
      </c>
      <c r="CD5" s="10">
        <v>8.6399999999999999E-5</v>
      </c>
      <c r="CE5" s="10">
        <v>2.5920000000000001E-4</v>
      </c>
      <c r="CF5" s="10">
        <v>2.5920000000000001E-4</v>
      </c>
      <c r="CG5" s="10">
        <v>2.5920000000000001E-4</v>
      </c>
      <c r="CH5" s="10">
        <v>2.5920000000000001E-4</v>
      </c>
      <c r="CI5" s="10">
        <v>2.5920000000000001E-4</v>
      </c>
      <c r="CJ5" s="10">
        <v>2.5920000000000001E-4</v>
      </c>
      <c r="CK5" s="10">
        <v>2.5920000000000001E-4</v>
      </c>
      <c r="CL5" s="10">
        <v>2.5920000000000001E-4</v>
      </c>
      <c r="CM5" s="10">
        <v>2.5920000000000001E-4</v>
      </c>
      <c r="CN5" s="10">
        <v>8.6399999999999997E-4</v>
      </c>
      <c r="CO5" s="10">
        <v>8.6399999999999997E-4</v>
      </c>
      <c r="CP5" s="10">
        <v>8.6399999999999997E-4</v>
      </c>
      <c r="CQ5" s="10">
        <v>8.6399999999999997E-4</v>
      </c>
      <c r="CR5" s="10">
        <v>8.6399999999999997E-4</v>
      </c>
      <c r="CS5" s="10">
        <v>8.6399999999999997E-4</v>
      </c>
      <c r="CT5" s="10">
        <v>8.6399999999999997E-4</v>
      </c>
      <c r="CU5" s="10">
        <v>8.6399999999999997E-4</v>
      </c>
      <c r="CV5" s="10">
        <v>8.6399999999999997E-4</v>
      </c>
      <c r="CW5" s="10">
        <v>2.5920000000000001E-3</v>
      </c>
      <c r="CX5" s="10">
        <v>2.5920000000000001E-3</v>
      </c>
      <c r="CY5" s="10">
        <v>2.5920000000000001E-3</v>
      </c>
      <c r="CZ5" s="10">
        <v>2.5920000000000001E-3</v>
      </c>
      <c r="DA5" s="10">
        <v>2.5920000000000001E-3</v>
      </c>
      <c r="DB5" s="10">
        <v>2.5920000000000001E-3</v>
      </c>
      <c r="DC5" s="10">
        <v>2.5920000000000001E-3</v>
      </c>
      <c r="DD5" s="10">
        <v>2.5920000000000001E-3</v>
      </c>
      <c r="DE5" s="10">
        <v>2.5920000000000001E-3</v>
      </c>
      <c r="DF5" s="10">
        <v>8.6400000000000001E-3</v>
      </c>
      <c r="DG5" s="10">
        <v>8.6400000000000001E-3</v>
      </c>
      <c r="DH5" s="10">
        <v>8.6400000000000001E-3</v>
      </c>
      <c r="DI5" s="10">
        <v>8.6400000000000001E-3</v>
      </c>
      <c r="DJ5" s="10">
        <v>8.6400000000000001E-3</v>
      </c>
      <c r="DK5" s="10">
        <v>8.6400000000000001E-3</v>
      </c>
      <c r="DL5" s="10">
        <v>8.6400000000000001E-3</v>
      </c>
      <c r="DM5" s="10">
        <v>8.6400000000000001E-3</v>
      </c>
      <c r="DN5" s="10">
        <v>8.6400000000000001E-3</v>
      </c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</row>
    <row r="6" spans="1:151" x14ac:dyDescent="0.45">
      <c r="A6" s="8" t="s">
        <v>56</v>
      </c>
      <c r="B6" s="1">
        <v>8.6400000000000001E-3</v>
      </c>
      <c r="C6" s="1">
        <v>2.5919999999999999E-2</v>
      </c>
      <c r="D6" s="1">
        <v>8.6400000000000005E-2</v>
      </c>
      <c r="E6" s="1">
        <v>0.25919999999999999</v>
      </c>
      <c r="F6" s="1">
        <v>0.86399999999999999</v>
      </c>
      <c r="G6" s="1">
        <v>2.5920000000000001</v>
      </c>
      <c r="H6" s="1">
        <v>8.64</v>
      </c>
      <c r="I6" s="1">
        <v>25.92</v>
      </c>
      <c r="J6" s="1">
        <v>86.4</v>
      </c>
      <c r="K6" s="1">
        <v>8.6400000000000001E-3</v>
      </c>
      <c r="L6" s="1">
        <v>2.5919999999999999E-2</v>
      </c>
      <c r="M6" s="1">
        <v>8.6400000000000005E-2</v>
      </c>
      <c r="N6" s="1">
        <v>0.25919999999999999</v>
      </c>
      <c r="O6" s="1">
        <v>0.86399999999999999</v>
      </c>
      <c r="P6" s="1">
        <v>2.5920000000000001</v>
      </c>
      <c r="Q6" s="1">
        <v>8.64</v>
      </c>
      <c r="R6" s="1">
        <v>25.92</v>
      </c>
      <c r="S6" s="1">
        <v>86.4</v>
      </c>
      <c r="T6" s="1">
        <v>8.6400000000000001E-3</v>
      </c>
      <c r="U6" s="1">
        <v>2.5919999999999999E-2</v>
      </c>
      <c r="V6" s="1">
        <v>8.6400000000000005E-2</v>
      </c>
      <c r="W6" s="1">
        <v>0.25919999999999999</v>
      </c>
      <c r="X6" s="1">
        <v>0.86399999999999999</v>
      </c>
      <c r="Y6" s="1">
        <v>2.5920000000000001</v>
      </c>
      <c r="Z6" s="1">
        <v>8.64</v>
      </c>
      <c r="AA6" s="1">
        <v>25.92</v>
      </c>
      <c r="AB6" s="1">
        <v>86.4</v>
      </c>
      <c r="AC6" s="1">
        <v>8.6400000000000001E-3</v>
      </c>
      <c r="AD6" s="1">
        <v>2.5919999999999999E-2</v>
      </c>
      <c r="AE6" s="1">
        <v>8.6400000000000005E-2</v>
      </c>
      <c r="AF6" s="1">
        <v>0.25919999999999999</v>
      </c>
      <c r="AG6" s="1">
        <v>0.86399999999999999</v>
      </c>
      <c r="AH6" s="1">
        <v>2.5920000000000001</v>
      </c>
      <c r="AI6" s="1">
        <v>8.64</v>
      </c>
      <c r="AJ6" s="1">
        <v>25.92</v>
      </c>
      <c r="AK6" s="1">
        <v>86.4</v>
      </c>
      <c r="AL6" s="1">
        <v>8.6400000000000001E-3</v>
      </c>
      <c r="AM6" s="1">
        <v>2.5919999999999999E-2</v>
      </c>
      <c r="AN6" s="1">
        <v>8.6400000000000005E-2</v>
      </c>
      <c r="AO6" s="1">
        <v>0.25919999999999999</v>
      </c>
      <c r="AP6" s="1">
        <v>0.86399999999999999</v>
      </c>
      <c r="AQ6" s="1">
        <v>2.5920000000000001</v>
      </c>
      <c r="AR6" s="1">
        <v>8.64</v>
      </c>
      <c r="AS6" s="1">
        <v>25.92</v>
      </c>
      <c r="AT6" s="1">
        <v>86.4</v>
      </c>
      <c r="AU6" s="1">
        <v>8.6400000000000001E-3</v>
      </c>
      <c r="AV6" s="1">
        <v>2.5919999999999999E-2</v>
      </c>
      <c r="AW6" s="1">
        <v>8.6400000000000005E-2</v>
      </c>
      <c r="AX6" s="1">
        <v>0.25919999999999999</v>
      </c>
      <c r="AY6" s="1">
        <v>0.86399999999999999</v>
      </c>
      <c r="AZ6" s="1">
        <v>2.5920000000000001</v>
      </c>
      <c r="BA6" s="1">
        <v>8.64</v>
      </c>
      <c r="BB6" s="1">
        <v>25.92</v>
      </c>
      <c r="BC6" s="1">
        <v>86.4</v>
      </c>
      <c r="BD6" s="1">
        <v>8.6400000000000001E-3</v>
      </c>
      <c r="BE6" s="1">
        <v>2.5919999999999999E-2</v>
      </c>
      <c r="BF6" s="1">
        <v>8.6400000000000005E-2</v>
      </c>
      <c r="BG6" s="1">
        <v>0.25919999999999999</v>
      </c>
      <c r="BH6" s="1">
        <v>0.86399999999999999</v>
      </c>
      <c r="BI6" s="1">
        <v>2.5920000000000001</v>
      </c>
      <c r="BJ6" s="1">
        <v>8.64</v>
      </c>
      <c r="BK6" s="1">
        <v>25.92</v>
      </c>
      <c r="BL6" s="1">
        <v>86.4</v>
      </c>
      <c r="BM6" s="1">
        <v>8.6400000000000001E-3</v>
      </c>
      <c r="BN6" s="1">
        <v>2.5919999999999999E-2</v>
      </c>
      <c r="BO6" s="1">
        <v>8.6400000000000005E-2</v>
      </c>
      <c r="BP6" s="1">
        <v>0.25919999999999999</v>
      </c>
      <c r="BQ6" s="1">
        <v>0.86399999999999999</v>
      </c>
      <c r="BR6" s="1">
        <v>2.5920000000000001</v>
      </c>
      <c r="BS6" s="1">
        <v>8.64</v>
      </c>
      <c r="BT6" s="1">
        <v>25.92</v>
      </c>
      <c r="BU6" s="1">
        <v>86.4</v>
      </c>
      <c r="BV6" s="1">
        <v>8.6400000000000001E-3</v>
      </c>
      <c r="BW6" s="1">
        <v>2.5919999999999999E-2</v>
      </c>
      <c r="BX6" s="1">
        <v>8.6400000000000005E-2</v>
      </c>
      <c r="BY6" s="1">
        <v>0.25919999999999999</v>
      </c>
      <c r="BZ6" s="1">
        <v>0.86399999999999999</v>
      </c>
      <c r="CA6" s="1">
        <v>2.5920000000000001</v>
      </c>
      <c r="CB6" s="1">
        <v>8.64</v>
      </c>
      <c r="CC6" s="1">
        <v>25.92</v>
      </c>
      <c r="CD6" s="1">
        <v>86.4</v>
      </c>
      <c r="CE6" s="1">
        <v>8.6400000000000001E-3</v>
      </c>
      <c r="CF6" s="1">
        <v>2.5919999999999999E-2</v>
      </c>
      <c r="CG6" s="1">
        <v>8.6400000000000005E-2</v>
      </c>
      <c r="CH6" s="1">
        <v>0.25919999999999999</v>
      </c>
      <c r="CI6" s="1">
        <v>0.86399999999999999</v>
      </c>
      <c r="CJ6" s="1">
        <v>2.5920000000000001</v>
      </c>
      <c r="CK6" s="1">
        <v>8.64</v>
      </c>
      <c r="CL6" s="1">
        <v>25.92</v>
      </c>
      <c r="CM6" s="1">
        <v>86.4</v>
      </c>
      <c r="CN6" s="1">
        <v>8.6400000000000001E-3</v>
      </c>
      <c r="CO6" s="1">
        <v>2.5919999999999999E-2</v>
      </c>
      <c r="CP6" s="1">
        <v>8.6400000000000005E-2</v>
      </c>
      <c r="CQ6" s="1">
        <v>0.25919999999999999</v>
      </c>
      <c r="CR6" s="1">
        <v>0.86399999999999999</v>
      </c>
      <c r="CS6" s="1">
        <v>2.5920000000000001</v>
      </c>
      <c r="CT6" s="1">
        <v>8.64</v>
      </c>
      <c r="CU6" s="1">
        <v>25.92</v>
      </c>
      <c r="CV6" s="1">
        <v>86.4</v>
      </c>
      <c r="CW6" s="1">
        <v>8.6400000000000001E-3</v>
      </c>
      <c r="CX6" s="1">
        <v>2.5919999999999999E-2</v>
      </c>
      <c r="CY6" s="1">
        <v>8.6400000000000005E-2</v>
      </c>
      <c r="CZ6" s="1">
        <v>0.25919999999999999</v>
      </c>
      <c r="DA6" s="1">
        <v>0.86399999999999999</v>
      </c>
      <c r="DB6" s="1">
        <v>2.5920000000000001</v>
      </c>
      <c r="DC6" s="1">
        <v>8.64</v>
      </c>
      <c r="DD6" s="1">
        <v>25.92</v>
      </c>
      <c r="DE6" s="1">
        <v>86.4</v>
      </c>
      <c r="DF6" s="1">
        <v>8.6400000000000001E-3</v>
      </c>
      <c r="DG6" s="1">
        <v>2.5919999999999999E-2</v>
      </c>
      <c r="DH6" s="1">
        <v>8.6400000000000005E-2</v>
      </c>
      <c r="DI6" s="1">
        <v>0.25919999999999999</v>
      </c>
      <c r="DJ6" s="1">
        <v>0.86399999999999999</v>
      </c>
      <c r="DK6" s="1">
        <v>2.5920000000000001</v>
      </c>
      <c r="DL6" s="1">
        <v>8.64</v>
      </c>
      <c r="DM6" s="1">
        <v>25.92</v>
      </c>
      <c r="DN6" s="1">
        <v>86.4</v>
      </c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</row>
    <row r="7" spans="1:151" x14ac:dyDescent="0.45">
      <c r="A7" s="9" t="s">
        <v>58</v>
      </c>
      <c r="B7" s="10">
        <v>8.6399999999999999E-9</v>
      </c>
      <c r="C7" s="10">
        <v>8.6399999999999999E-9</v>
      </c>
      <c r="D7" s="10">
        <v>8.6399999999999999E-9</v>
      </c>
      <c r="E7" s="10">
        <v>8.6399999999999999E-9</v>
      </c>
      <c r="F7" s="10">
        <v>8.6399999999999999E-9</v>
      </c>
      <c r="G7" s="10">
        <v>8.6399999999999999E-9</v>
      </c>
      <c r="H7" s="10">
        <v>8.6399999999999999E-9</v>
      </c>
      <c r="I7" s="10">
        <v>8.6399999999999999E-9</v>
      </c>
      <c r="J7" s="10">
        <v>8.6399999999999999E-9</v>
      </c>
      <c r="K7" s="10">
        <v>2.592E-8</v>
      </c>
      <c r="L7" s="10">
        <v>2.592E-8</v>
      </c>
      <c r="M7" s="10">
        <v>2.592E-8</v>
      </c>
      <c r="N7" s="10">
        <v>2.592E-8</v>
      </c>
      <c r="O7" s="10">
        <v>2.592E-8</v>
      </c>
      <c r="P7" s="10">
        <v>2.592E-8</v>
      </c>
      <c r="Q7" s="10">
        <v>2.592E-8</v>
      </c>
      <c r="R7" s="10">
        <v>2.592E-8</v>
      </c>
      <c r="S7" s="10">
        <v>2.592E-8</v>
      </c>
      <c r="T7" s="10">
        <v>8.6400000000000006E-8</v>
      </c>
      <c r="U7" s="10">
        <v>8.6400000000000006E-8</v>
      </c>
      <c r="V7" s="10">
        <v>8.6400000000000006E-8</v>
      </c>
      <c r="W7" s="10">
        <v>8.6400000000000006E-8</v>
      </c>
      <c r="X7" s="10">
        <v>8.6400000000000006E-8</v>
      </c>
      <c r="Y7" s="10">
        <v>8.6400000000000006E-8</v>
      </c>
      <c r="Z7" s="10">
        <v>8.6400000000000006E-8</v>
      </c>
      <c r="AA7" s="10">
        <v>8.6400000000000006E-8</v>
      </c>
      <c r="AB7" s="10">
        <v>8.6400000000000006E-8</v>
      </c>
      <c r="AC7" s="10">
        <v>2.5919999999999999E-7</v>
      </c>
      <c r="AD7" s="10">
        <v>2.5919999999999999E-7</v>
      </c>
      <c r="AE7" s="10">
        <v>2.5919999999999999E-7</v>
      </c>
      <c r="AF7" s="10">
        <v>2.5919999999999999E-7</v>
      </c>
      <c r="AG7" s="10">
        <v>2.5919999999999999E-7</v>
      </c>
      <c r="AH7" s="10">
        <v>2.5919999999999999E-7</v>
      </c>
      <c r="AI7" s="10">
        <v>2.5919999999999999E-7</v>
      </c>
      <c r="AJ7" s="10">
        <v>2.5919999999999999E-7</v>
      </c>
      <c r="AK7" s="10">
        <v>2.5919999999999999E-7</v>
      </c>
      <c r="AL7" s="10">
        <v>8.6400000000000001E-7</v>
      </c>
      <c r="AM7" s="10">
        <v>8.6400000000000001E-7</v>
      </c>
      <c r="AN7" s="10">
        <v>8.6400000000000001E-7</v>
      </c>
      <c r="AO7" s="10">
        <v>8.6400000000000001E-7</v>
      </c>
      <c r="AP7" s="10">
        <v>8.6400000000000001E-7</v>
      </c>
      <c r="AQ7" s="10">
        <v>8.6400000000000001E-7</v>
      </c>
      <c r="AR7" s="10">
        <v>8.6400000000000001E-7</v>
      </c>
      <c r="AS7" s="10">
        <v>8.6400000000000001E-7</v>
      </c>
      <c r="AT7" s="10">
        <v>8.6400000000000001E-7</v>
      </c>
      <c r="AU7" s="10">
        <v>2.5919999999999999E-6</v>
      </c>
      <c r="AV7" s="10">
        <v>2.5919999999999999E-6</v>
      </c>
      <c r="AW7" s="10">
        <v>2.5919999999999999E-6</v>
      </c>
      <c r="AX7" s="10">
        <v>2.5919999999999999E-6</v>
      </c>
      <c r="AY7" s="10">
        <v>2.5919999999999999E-6</v>
      </c>
      <c r="AZ7" s="10">
        <v>2.5919999999999999E-6</v>
      </c>
      <c r="BA7" s="10">
        <v>2.5919999999999999E-6</v>
      </c>
      <c r="BB7" s="10">
        <v>2.5919999999999999E-6</v>
      </c>
      <c r="BC7" s="10">
        <v>2.5919999999999999E-6</v>
      </c>
      <c r="BD7" s="10">
        <v>8.6400000000000003E-6</v>
      </c>
      <c r="BE7" s="10">
        <v>8.6400000000000003E-6</v>
      </c>
      <c r="BF7" s="10">
        <v>8.6400000000000003E-6</v>
      </c>
      <c r="BG7" s="10">
        <v>8.6400000000000003E-6</v>
      </c>
      <c r="BH7" s="10">
        <v>8.6400000000000003E-6</v>
      </c>
      <c r="BI7" s="10">
        <v>8.6400000000000003E-6</v>
      </c>
      <c r="BJ7" s="10">
        <v>8.6400000000000003E-6</v>
      </c>
      <c r="BK7" s="10">
        <v>8.6400000000000003E-6</v>
      </c>
      <c r="BL7" s="10">
        <v>8.6400000000000003E-6</v>
      </c>
      <c r="BM7" s="10">
        <v>2.5919999999999999E-5</v>
      </c>
      <c r="BN7" s="10">
        <v>2.5919999999999999E-5</v>
      </c>
      <c r="BO7" s="10">
        <v>2.5919999999999999E-5</v>
      </c>
      <c r="BP7" s="10">
        <v>2.5919999999999999E-5</v>
      </c>
      <c r="BQ7" s="10">
        <v>2.5919999999999999E-5</v>
      </c>
      <c r="BR7" s="10">
        <v>2.5919999999999999E-5</v>
      </c>
      <c r="BS7" s="10">
        <v>2.5919999999999999E-5</v>
      </c>
      <c r="BT7" s="10">
        <v>2.5919999999999999E-5</v>
      </c>
      <c r="BU7" s="10">
        <v>2.5919999999999999E-5</v>
      </c>
      <c r="BV7" s="10">
        <v>8.6399999999999999E-5</v>
      </c>
      <c r="BW7" s="10">
        <v>8.6399999999999999E-5</v>
      </c>
      <c r="BX7" s="10">
        <v>8.6399999999999999E-5</v>
      </c>
      <c r="BY7" s="10">
        <v>8.6399999999999999E-5</v>
      </c>
      <c r="BZ7" s="10">
        <v>8.6399999999999999E-5</v>
      </c>
      <c r="CA7" s="10">
        <v>8.6399999999999999E-5</v>
      </c>
      <c r="CB7" s="10">
        <v>8.6399999999999999E-5</v>
      </c>
      <c r="CC7" s="10">
        <v>8.6399999999999999E-5</v>
      </c>
      <c r="CD7" s="10">
        <v>8.6399999999999999E-5</v>
      </c>
      <c r="CE7" s="10">
        <v>2.5920000000000001E-4</v>
      </c>
      <c r="CF7" s="10">
        <v>2.5920000000000001E-4</v>
      </c>
      <c r="CG7" s="10">
        <v>2.5920000000000001E-4</v>
      </c>
      <c r="CH7" s="10">
        <v>2.5920000000000001E-4</v>
      </c>
      <c r="CI7" s="10">
        <v>2.5920000000000001E-4</v>
      </c>
      <c r="CJ7" s="10">
        <v>2.5920000000000001E-4</v>
      </c>
      <c r="CK7" s="10">
        <v>2.5920000000000001E-4</v>
      </c>
      <c r="CL7" s="10">
        <v>2.5920000000000001E-4</v>
      </c>
      <c r="CM7" s="10">
        <v>2.5920000000000001E-4</v>
      </c>
      <c r="CN7" s="10">
        <v>8.6399999999999997E-4</v>
      </c>
      <c r="CO7" s="10">
        <v>8.6399999999999997E-4</v>
      </c>
      <c r="CP7" s="10">
        <v>8.6399999999999997E-4</v>
      </c>
      <c r="CQ7" s="10">
        <v>8.6399999999999997E-4</v>
      </c>
      <c r="CR7" s="10">
        <v>8.6399999999999997E-4</v>
      </c>
      <c r="CS7" s="10">
        <v>8.6399999999999997E-4</v>
      </c>
      <c r="CT7" s="10">
        <v>8.6399999999999997E-4</v>
      </c>
      <c r="CU7" s="10">
        <v>8.6399999999999997E-4</v>
      </c>
      <c r="CV7" s="10">
        <v>8.6399999999999997E-4</v>
      </c>
      <c r="CW7" s="10">
        <v>2.5920000000000001E-3</v>
      </c>
      <c r="CX7" s="10">
        <v>2.5920000000000001E-3</v>
      </c>
      <c r="CY7" s="10">
        <v>2.5920000000000001E-3</v>
      </c>
      <c r="CZ7" s="10">
        <v>2.5920000000000001E-3</v>
      </c>
      <c r="DA7" s="10">
        <v>2.5920000000000001E-3</v>
      </c>
      <c r="DB7" s="10">
        <v>2.5920000000000001E-3</v>
      </c>
      <c r="DC7" s="10">
        <v>2.5920000000000001E-3</v>
      </c>
      <c r="DD7" s="10">
        <v>2.5920000000000001E-3</v>
      </c>
      <c r="DE7" s="10">
        <v>2.5920000000000001E-3</v>
      </c>
      <c r="DF7" s="10">
        <v>8.6400000000000001E-3</v>
      </c>
      <c r="DG7" s="10">
        <v>8.6400000000000001E-3</v>
      </c>
      <c r="DH7" s="10">
        <v>8.6400000000000001E-3</v>
      </c>
      <c r="DI7" s="10">
        <v>8.6400000000000001E-3</v>
      </c>
      <c r="DJ7" s="10">
        <v>8.6400000000000001E-3</v>
      </c>
      <c r="DK7" s="10">
        <v>8.6400000000000001E-3</v>
      </c>
      <c r="DL7" s="10">
        <v>8.6400000000000001E-3</v>
      </c>
      <c r="DM7" s="10">
        <v>8.6400000000000001E-3</v>
      </c>
      <c r="DN7" s="10">
        <v>8.6400000000000001E-3</v>
      </c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</row>
    <row r="8" spans="1:151" x14ac:dyDescent="0.45">
      <c r="A8" s="15" t="s">
        <v>59</v>
      </c>
      <c r="B8" s="1">
        <v>8.6400000000000001E-3</v>
      </c>
      <c r="C8" s="1">
        <v>2.5919999999999999E-2</v>
      </c>
      <c r="D8" s="1">
        <v>8.6400000000000005E-2</v>
      </c>
      <c r="E8" s="1">
        <v>0.25919999999999999</v>
      </c>
      <c r="F8" s="1">
        <v>0.86399999999999999</v>
      </c>
      <c r="G8" s="1">
        <v>2.5920000000000001</v>
      </c>
      <c r="H8" s="1">
        <v>8.64</v>
      </c>
      <c r="I8" s="1">
        <v>25.92</v>
      </c>
      <c r="J8" s="1">
        <v>86.4</v>
      </c>
      <c r="K8" s="1">
        <v>8.6400000000000001E-3</v>
      </c>
      <c r="L8" s="1">
        <v>2.5919999999999999E-2</v>
      </c>
      <c r="M8" s="1">
        <v>8.6400000000000005E-2</v>
      </c>
      <c r="N8" s="1">
        <v>0.25919999999999999</v>
      </c>
      <c r="O8" s="1">
        <v>0.86399999999999999</v>
      </c>
      <c r="P8" s="1">
        <v>2.5920000000000001</v>
      </c>
      <c r="Q8" s="1">
        <v>8.64</v>
      </c>
      <c r="R8" s="1">
        <v>25.92</v>
      </c>
      <c r="S8" s="1">
        <v>86.4</v>
      </c>
      <c r="T8" s="1">
        <v>8.6400000000000001E-3</v>
      </c>
      <c r="U8" s="1">
        <v>2.5919999999999999E-2</v>
      </c>
      <c r="V8" s="1">
        <v>8.6400000000000005E-2</v>
      </c>
      <c r="W8" s="1">
        <v>0.25919999999999999</v>
      </c>
      <c r="X8" s="1">
        <v>0.86399999999999999</v>
      </c>
      <c r="Y8" s="1">
        <v>2.5920000000000001</v>
      </c>
      <c r="Z8" s="1">
        <v>8.64</v>
      </c>
      <c r="AA8" s="1">
        <v>25.92</v>
      </c>
      <c r="AB8" s="1">
        <v>86.4</v>
      </c>
      <c r="AC8" s="1">
        <v>8.6400000000000001E-3</v>
      </c>
      <c r="AD8" s="1">
        <v>2.5919999999999999E-2</v>
      </c>
      <c r="AE8" s="1">
        <v>8.6400000000000005E-2</v>
      </c>
      <c r="AF8" s="1">
        <v>0.25919999999999999</v>
      </c>
      <c r="AG8" s="1">
        <v>0.86399999999999999</v>
      </c>
      <c r="AH8" s="1">
        <v>2.5920000000000001</v>
      </c>
      <c r="AI8" s="1">
        <v>8.64</v>
      </c>
      <c r="AJ8" s="1">
        <v>25.92</v>
      </c>
      <c r="AK8" s="1">
        <v>86.4</v>
      </c>
      <c r="AL8" s="1">
        <v>8.6400000000000001E-3</v>
      </c>
      <c r="AM8" s="1">
        <v>2.5919999999999999E-2</v>
      </c>
      <c r="AN8" s="1">
        <v>8.6400000000000005E-2</v>
      </c>
      <c r="AO8" s="1">
        <v>0.25919999999999999</v>
      </c>
      <c r="AP8" s="1">
        <v>0.86399999999999999</v>
      </c>
      <c r="AQ8" s="1">
        <v>2.5920000000000001</v>
      </c>
      <c r="AR8" s="1">
        <v>8.64</v>
      </c>
      <c r="AS8" s="1">
        <v>25.92</v>
      </c>
      <c r="AT8" s="1">
        <v>86.4</v>
      </c>
      <c r="AU8" s="1">
        <v>8.6400000000000001E-3</v>
      </c>
      <c r="AV8" s="1">
        <v>2.5919999999999999E-2</v>
      </c>
      <c r="AW8" s="1">
        <v>8.6400000000000005E-2</v>
      </c>
      <c r="AX8" s="1">
        <v>0.25919999999999999</v>
      </c>
      <c r="AY8" s="1">
        <v>0.86399999999999999</v>
      </c>
      <c r="AZ8" s="1">
        <v>2.5920000000000001</v>
      </c>
      <c r="BA8" s="1">
        <v>8.64</v>
      </c>
      <c r="BB8" s="1">
        <v>25.92</v>
      </c>
      <c r="BC8" s="1">
        <v>86.4</v>
      </c>
      <c r="BD8" s="1">
        <v>8.6400000000000001E-3</v>
      </c>
      <c r="BE8" s="1">
        <v>2.5919999999999999E-2</v>
      </c>
      <c r="BF8" s="1">
        <v>8.6400000000000005E-2</v>
      </c>
      <c r="BG8" s="1">
        <v>0.25919999999999999</v>
      </c>
      <c r="BH8" s="1">
        <v>0.86399999999999999</v>
      </c>
      <c r="BI8" s="1">
        <v>2.5920000000000001</v>
      </c>
      <c r="BJ8" s="1">
        <v>8.64</v>
      </c>
      <c r="BK8" s="1">
        <v>25.92</v>
      </c>
      <c r="BL8" s="1">
        <v>86.4</v>
      </c>
      <c r="BM8" s="1">
        <v>8.6400000000000001E-3</v>
      </c>
      <c r="BN8" s="1">
        <v>2.5919999999999999E-2</v>
      </c>
      <c r="BO8" s="1">
        <v>8.6400000000000005E-2</v>
      </c>
      <c r="BP8" s="1">
        <v>0.25919999999999999</v>
      </c>
      <c r="BQ8" s="1">
        <v>0.86399999999999999</v>
      </c>
      <c r="BR8" s="1">
        <v>2.5920000000000001</v>
      </c>
      <c r="BS8" s="1">
        <v>8.64</v>
      </c>
      <c r="BT8" s="1">
        <v>25.92</v>
      </c>
      <c r="BU8" s="1">
        <v>86.4</v>
      </c>
      <c r="BV8" s="1">
        <v>8.6400000000000001E-3</v>
      </c>
      <c r="BW8" s="1">
        <v>2.5919999999999999E-2</v>
      </c>
      <c r="BX8" s="1">
        <v>8.6400000000000005E-2</v>
      </c>
      <c r="BY8" s="1">
        <v>0.25919999999999999</v>
      </c>
      <c r="BZ8" s="1">
        <v>0.86399999999999999</v>
      </c>
      <c r="CA8" s="1">
        <v>2.5920000000000001</v>
      </c>
      <c r="CB8" s="1">
        <v>8.64</v>
      </c>
      <c r="CC8" s="1">
        <v>25.92</v>
      </c>
      <c r="CD8" s="1">
        <v>86.4</v>
      </c>
      <c r="CE8" s="1">
        <v>8.6400000000000001E-3</v>
      </c>
      <c r="CF8" s="1">
        <v>2.5919999999999999E-2</v>
      </c>
      <c r="CG8" s="1">
        <v>8.6400000000000005E-2</v>
      </c>
      <c r="CH8" s="1">
        <v>0.25919999999999999</v>
      </c>
      <c r="CI8" s="1">
        <v>0.86399999999999999</v>
      </c>
      <c r="CJ8" s="1">
        <v>2.5920000000000001</v>
      </c>
      <c r="CK8" s="1">
        <v>8.64</v>
      </c>
      <c r="CL8" s="1">
        <v>25.92</v>
      </c>
      <c r="CM8" s="1">
        <v>86.4</v>
      </c>
      <c r="CN8" s="1">
        <v>8.6400000000000001E-3</v>
      </c>
      <c r="CO8" s="1">
        <v>2.5919999999999999E-2</v>
      </c>
      <c r="CP8" s="1">
        <v>8.6400000000000005E-2</v>
      </c>
      <c r="CQ8" s="1">
        <v>0.25919999999999999</v>
      </c>
      <c r="CR8" s="1">
        <v>0.86399999999999999</v>
      </c>
      <c r="CS8" s="1">
        <v>2.5920000000000001</v>
      </c>
      <c r="CT8" s="1">
        <v>8.64</v>
      </c>
      <c r="CU8" s="1">
        <v>25.92</v>
      </c>
      <c r="CV8" s="1">
        <v>86.4</v>
      </c>
      <c r="CW8" s="1">
        <v>8.6400000000000001E-3</v>
      </c>
      <c r="CX8" s="1">
        <v>2.5919999999999999E-2</v>
      </c>
      <c r="CY8" s="1">
        <v>8.6400000000000005E-2</v>
      </c>
      <c r="CZ8" s="1">
        <v>0.25919999999999999</v>
      </c>
      <c r="DA8" s="1">
        <v>0.86399999999999999</v>
      </c>
      <c r="DB8" s="1">
        <v>2.5920000000000001</v>
      </c>
      <c r="DC8" s="1">
        <v>8.64</v>
      </c>
      <c r="DD8" s="1">
        <v>25.92</v>
      </c>
      <c r="DE8" s="1">
        <v>86.4</v>
      </c>
      <c r="DF8" s="1">
        <v>8.6400000000000001E-3</v>
      </c>
      <c r="DG8" s="1">
        <v>2.5919999999999999E-2</v>
      </c>
      <c r="DH8" s="1">
        <v>8.6400000000000005E-2</v>
      </c>
      <c r="DI8" s="1">
        <v>0.25919999999999999</v>
      </c>
      <c r="DJ8" s="1">
        <v>0.86399999999999999</v>
      </c>
      <c r="DK8" s="1">
        <v>2.5920000000000001</v>
      </c>
      <c r="DL8" s="1">
        <v>8.64</v>
      </c>
      <c r="DM8" s="1">
        <v>25.92</v>
      </c>
      <c r="DN8" s="1">
        <v>86.4</v>
      </c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</row>
    <row r="9" spans="1:151" x14ac:dyDescent="0.45">
      <c r="A9" s="8" t="s">
        <v>60</v>
      </c>
      <c r="B9" s="1">
        <v>8.6400000000000001E-3</v>
      </c>
      <c r="C9" s="1">
        <v>2.5919999999999999E-2</v>
      </c>
      <c r="D9" s="1">
        <v>8.6400000000000005E-2</v>
      </c>
      <c r="E9" s="1">
        <v>0.25919999999999999</v>
      </c>
      <c r="F9" s="1">
        <v>0.86399999999999999</v>
      </c>
      <c r="G9" s="1">
        <v>2.5920000000000001</v>
      </c>
      <c r="H9" s="1">
        <v>8.64</v>
      </c>
      <c r="I9" s="1">
        <v>25.92</v>
      </c>
      <c r="J9" s="1">
        <v>86.4</v>
      </c>
      <c r="K9" s="1">
        <v>8.6400000000000001E-3</v>
      </c>
      <c r="L9" s="1">
        <v>2.5919999999999999E-2</v>
      </c>
      <c r="M9" s="1">
        <v>8.6400000000000005E-2</v>
      </c>
      <c r="N9" s="1">
        <v>0.25919999999999999</v>
      </c>
      <c r="O9" s="1">
        <v>0.86399999999999999</v>
      </c>
      <c r="P9" s="1">
        <v>2.5920000000000001</v>
      </c>
      <c r="Q9" s="1">
        <v>8.64</v>
      </c>
      <c r="R9" s="1">
        <v>25.92</v>
      </c>
      <c r="S9" s="1">
        <v>86.4</v>
      </c>
      <c r="T9" s="1">
        <v>8.6400000000000001E-3</v>
      </c>
      <c r="U9" s="1">
        <v>2.5919999999999999E-2</v>
      </c>
      <c r="V9" s="1">
        <v>8.6400000000000005E-2</v>
      </c>
      <c r="W9" s="1">
        <v>0.25919999999999999</v>
      </c>
      <c r="X9" s="1">
        <v>0.86399999999999999</v>
      </c>
      <c r="Y9" s="1">
        <v>2.5920000000000001</v>
      </c>
      <c r="Z9" s="1">
        <v>8.64</v>
      </c>
      <c r="AA9" s="1">
        <v>25.92</v>
      </c>
      <c r="AB9" s="1">
        <v>86.4</v>
      </c>
      <c r="AC9" s="1">
        <v>8.6400000000000001E-3</v>
      </c>
      <c r="AD9" s="1">
        <v>2.5919999999999999E-2</v>
      </c>
      <c r="AE9" s="1">
        <v>8.6400000000000005E-2</v>
      </c>
      <c r="AF9" s="1">
        <v>0.25919999999999999</v>
      </c>
      <c r="AG9" s="1">
        <v>0.86399999999999999</v>
      </c>
      <c r="AH9" s="1">
        <v>2.5920000000000001</v>
      </c>
      <c r="AI9" s="1">
        <v>8.64</v>
      </c>
      <c r="AJ9" s="1">
        <v>25.92</v>
      </c>
      <c r="AK9" s="1">
        <v>86.4</v>
      </c>
      <c r="AL9" s="1">
        <v>8.6400000000000001E-3</v>
      </c>
      <c r="AM9" s="1">
        <v>2.5919999999999999E-2</v>
      </c>
      <c r="AN9" s="1">
        <v>8.6400000000000005E-2</v>
      </c>
      <c r="AO9" s="1">
        <v>0.25919999999999999</v>
      </c>
      <c r="AP9" s="1">
        <v>0.86399999999999999</v>
      </c>
      <c r="AQ9" s="1">
        <v>2.5920000000000001</v>
      </c>
      <c r="AR9" s="1">
        <v>8.64</v>
      </c>
      <c r="AS9" s="1">
        <v>25.92</v>
      </c>
      <c r="AT9" s="1">
        <v>86.4</v>
      </c>
      <c r="AU9" s="1">
        <v>8.6400000000000001E-3</v>
      </c>
      <c r="AV9" s="1">
        <v>2.5919999999999999E-2</v>
      </c>
      <c r="AW9" s="1">
        <v>8.6400000000000005E-2</v>
      </c>
      <c r="AX9" s="1">
        <v>0.25919999999999999</v>
      </c>
      <c r="AY9" s="1">
        <v>0.86399999999999999</v>
      </c>
      <c r="AZ9" s="1">
        <v>2.5920000000000001</v>
      </c>
      <c r="BA9" s="1">
        <v>8.64</v>
      </c>
      <c r="BB9" s="1">
        <v>25.92</v>
      </c>
      <c r="BC9" s="1">
        <v>86.4</v>
      </c>
      <c r="BD9" s="1">
        <v>8.6400000000000001E-3</v>
      </c>
      <c r="BE9" s="1">
        <v>2.5919999999999999E-2</v>
      </c>
      <c r="BF9" s="1">
        <v>8.6400000000000005E-2</v>
      </c>
      <c r="BG9" s="1">
        <v>0.25919999999999999</v>
      </c>
      <c r="BH9" s="1">
        <v>0.86399999999999999</v>
      </c>
      <c r="BI9" s="1">
        <v>2.5920000000000001</v>
      </c>
      <c r="BJ9" s="1">
        <v>8.64</v>
      </c>
      <c r="BK9" s="1">
        <v>25.92</v>
      </c>
      <c r="BL9" s="1">
        <v>86.4</v>
      </c>
      <c r="BM9" s="1">
        <v>8.6400000000000001E-3</v>
      </c>
      <c r="BN9" s="1">
        <v>2.5919999999999999E-2</v>
      </c>
      <c r="BO9" s="1">
        <v>8.6400000000000005E-2</v>
      </c>
      <c r="BP9" s="1">
        <v>0.25919999999999999</v>
      </c>
      <c r="BQ9" s="1">
        <v>0.86399999999999999</v>
      </c>
      <c r="BR9" s="1">
        <v>2.5920000000000001</v>
      </c>
      <c r="BS9" s="1">
        <v>8.64</v>
      </c>
      <c r="BT9" s="1">
        <v>25.92</v>
      </c>
      <c r="BU9" s="1">
        <v>86.4</v>
      </c>
      <c r="BV9" s="1">
        <v>8.6400000000000001E-3</v>
      </c>
      <c r="BW9" s="1">
        <v>2.5919999999999999E-2</v>
      </c>
      <c r="BX9" s="1">
        <v>8.6400000000000005E-2</v>
      </c>
      <c r="BY9" s="1">
        <v>0.25919999999999999</v>
      </c>
      <c r="BZ9" s="1">
        <v>0.86399999999999999</v>
      </c>
      <c r="CA9" s="1">
        <v>2.5920000000000001</v>
      </c>
      <c r="CB9" s="1">
        <v>8.64</v>
      </c>
      <c r="CC9" s="1">
        <v>25.92</v>
      </c>
      <c r="CD9" s="1">
        <v>86.4</v>
      </c>
      <c r="CE9" s="1">
        <v>8.6400000000000001E-3</v>
      </c>
      <c r="CF9" s="1">
        <v>2.5919999999999999E-2</v>
      </c>
      <c r="CG9" s="1">
        <v>8.6400000000000005E-2</v>
      </c>
      <c r="CH9" s="1">
        <v>0.25919999999999999</v>
      </c>
      <c r="CI9" s="1">
        <v>0.86399999999999999</v>
      </c>
      <c r="CJ9" s="1">
        <v>2.5920000000000001</v>
      </c>
      <c r="CK9" s="1">
        <v>8.64</v>
      </c>
      <c r="CL9" s="1">
        <v>25.92</v>
      </c>
      <c r="CM9" s="1">
        <v>86.4</v>
      </c>
      <c r="CN9" s="1">
        <v>8.6400000000000001E-3</v>
      </c>
      <c r="CO9" s="1">
        <v>2.5919999999999999E-2</v>
      </c>
      <c r="CP9" s="1">
        <v>8.6400000000000005E-2</v>
      </c>
      <c r="CQ9" s="1">
        <v>0.25919999999999999</v>
      </c>
      <c r="CR9" s="1">
        <v>0.86399999999999999</v>
      </c>
      <c r="CS9" s="1">
        <v>2.5920000000000001</v>
      </c>
      <c r="CT9" s="1">
        <v>8.64</v>
      </c>
      <c r="CU9" s="1">
        <v>25.92</v>
      </c>
      <c r="CV9" s="1">
        <v>86.4</v>
      </c>
      <c r="CW9" s="1">
        <v>8.6400000000000001E-3</v>
      </c>
      <c r="CX9" s="1">
        <v>2.5919999999999999E-2</v>
      </c>
      <c r="CY9" s="1">
        <v>8.6400000000000005E-2</v>
      </c>
      <c r="CZ9" s="1">
        <v>0.25919999999999999</v>
      </c>
      <c r="DA9" s="1">
        <v>0.86399999999999999</v>
      </c>
      <c r="DB9" s="1">
        <v>2.5920000000000001</v>
      </c>
      <c r="DC9" s="1">
        <v>8.64</v>
      </c>
      <c r="DD9" s="1">
        <v>25.92</v>
      </c>
      <c r="DE9" s="1">
        <v>86.4</v>
      </c>
      <c r="DF9" s="1">
        <v>8.6400000000000001E-3</v>
      </c>
      <c r="DG9" s="1">
        <v>2.5919999999999999E-2</v>
      </c>
      <c r="DH9" s="1">
        <v>8.6400000000000005E-2</v>
      </c>
      <c r="DI9" s="1">
        <v>0.25919999999999999</v>
      </c>
      <c r="DJ9" s="1">
        <v>0.86399999999999999</v>
      </c>
      <c r="DK9" s="1">
        <v>2.5920000000000001</v>
      </c>
      <c r="DL9" s="1">
        <v>8.64</v>
      </c>
      <c r="DM9" s="1">
        <v>25.92</v>
      </c>
      <c r="DN9" s="1">
        <v>86.4</v>
      </c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</row>
    <row r="10" spans="1:151" x14ac:dyDescent="0.45">
      <c r="A10" s="9" t="s">
        <v>61</v>
      </c>
      <c r="B10" s="10">
        <v>8.6399999999999999E-9</v>
      </c>
      <c r="C10" s="10">
        <v>8.6399999999999999E-9</v>
      </c>
      <c r="D10" s="10">
        <v>8.6399999999999999E-9</v>
      </c>
      <c r="E10" s="10">
        <v>8.6399999999999999E-9</v>
      </c>
      <c r="F10" s="10">
        <v>8.6399999999999999E-9</v>
      </c>
      <c r="G10" s="10">
        <v>8.6399999999999999E-9</v>
      </c>
      <c r="H10" s="10">
        <v>8.6399999999999999E-9</v>
      </c>
      <c r="I10" s="10">
        <v>8.6399999999999999E-9</v>
      </c>
      <c r="J10" s="10">
        <v>8.6399999999999999E-9</v>
      </c>
      <c r="K10" s="10">
        <v>2.592E-8</v>
      </c>
      <c r="L10" s="10">
        <v>2.592E-8</v>
      </c>
      <c r="M10" s="10">
        <v>2.592E-8</v>
      </c>
      <c r="N10" s="10">
        <v>2.592E-8</v>
      </c>
      <c r="O10" s="10">
        <v>2.592E-8</v>
      </c>
      <c r="P10" s="10">
        <v>2.592E-8</v>
      </c>
      <c r="Q10" s="10">
        <v>2.592E-8</v>
      </c>
      <c r="R10" s="10">
        <v>2.592E-8</v>
      </c>
      <c r="S10" s="10">
        <v>2.592E-8</v>
      </c>
      <c r="T10" s="10">
        <v>8.6400000000000006E-8</v>
      </c>
      <c r="U10" s="10">
        <v>8.6400000000000006E-8</v>
      </c>
      <c r="V10" s="10">
        <v>8.6400000000000006E-8</v>
      </c>
      <c r="W10" s="10">
        <v>8.6400000000000006E-8</v>
      </c>
      <c r="X10" s="10">
        <v>8.6400000000000006E-8</v>
      </c>
      <c r="Y10" s="10">
        <v>8.6400000000000006E-8</v>
      </c>
      <c r="Z10" s="10">
        <v>8.6400000000000006E-8</v>
      </c>
      <c r="AA10" s="10">
        <v>8.6400000000000006E-8</v>
      </c>
      <c r="AB10" s="10">
        <v>8.6400000000000006E-8</v>
      </c>
      <c r="AC10" s="10">
        <v>2.5919999999999999E-7</v>
      </c>
      <c r="AD10" s="10">
        <v>2.5919999999999999E-7</v>
      </c>
      <c r="AE10" s="10">
        <v>2.5919999999999999E-7</v>
      </c>
      <c r="AF10" s="10">
        <v>2.5919999999999999E-7</v>
      </c>
      <c r="AG10" s="10">
        <v>2.5919999999999999E-7</v>
      </c>
      <c r="AH10" s="10">
        <v>2.5919999999999999E-7</v>
      </c>
      <c r="AI10" s="10">
        <v>2.5919999999999999E-7</v>
      </c>
      <c r="AJ10" s="10">
        <v>2.5919999999999999E-7</v>
      </c>
      <c r="AK10" s="10">
        <v>2.5919999999999999E-7</v>
      </c>
      <c r="AL10" s="10">
        <v>8.6400000000000001E-7</v>
      </c>
      <c r="AM10" s="10">
        <v>8.6400000000000001E-7</v>
      </c>
      <c r="AN10" s="10">
        <v>8.6400000000000001E-7</v>
      </c>
      <c r="AO10" s="10">
        <v>8.6400000000000001E-7</v>
      </c>
      <c r="AP10" s="10">
        <v>8.6400000000000001E-7</v>
      </c>
      <c r="AQ10" s="10">
        <v>8.6400000000000001E-7</v>
      </c>
      <c r="AR10" s="10">
        <v>8.6400000000000001E-7</v>
      </c>
      <c r="AS10" s="10">
        <v>8.6400000000000001E-7</v>
      </c>
      <c r="AT10" s="10">
        <v>8.6400000000000001E-7</v>
      </c>
      <c r="AU10" s="10">
        <v>2.5919999999999999E-6</v>
      </c>
      <c r="AV10" s="10">
        <v>2.5919999999999999E-6</v>
      </c>
      <c r="AW10" s="10">
        <v>2.5919999999999999E-6</v>
      </c>
      <c r="AX10" s="10">
        <v>2.5919999999999999E-6</v>
      </c>
      <c r="AY10" s="10">
        <v>2.5919999999999999E-6</v>
      </c>
      <c r="AZ10" s="10">
        <v>2.5919999999999999E-6</v>
      </c>
      <c r="BA10" s="10">
        <v>2.5919999999999999E-6</v>
      </c>
      <c r="BB10" s="10">
        <v>2.5919999999999999E-6</v>
      </c>
      <c r="BC10" s="10">
        <v>2.5919999999999999E-6</v>
      </c>
      <c r="BD10" s="10">
        <v>8.6400000000000003E-6</v>
      </c>
      <c r="BE10" s="10">
        <v>8.6400000000000003E-6</v>
      </c>
      <c r="BF10" s="10">
        <v>8.6400000000000003E-6</v>
      </c>
      <c r="BG10" s="10">
        <v>8.6400000000000003E-6</v>
      </c>
      <c r="BH10" s="10">
        <v>8.6400000000000003E-6</v>
      </c>
      <c r="BI10" s="10">
        <v>8.6400000000000003E-6</v>
      </c>
      <c r="BJ10" s="10">
        <v>8.6400000000000003E-6</v>
      </c>
      <c r="BK10" s="10">
        <v>8.6400000000000003E-6</v>
      </c>
      <c r="BL10" s="10">
        <v>8.6400000000000003E-6</v>
      </c>
      <c r="BM10" s="10">
        <v>2.5919999999999999E-5</v>
      </c>
      <c r="BN10" s="10">
        <v>2.5919999999999999E-5</v>
      </c>
      <c r="BO10" s="10">
        <v>2.5919999999999999E-5</v>
      </c>
      <c r="BP10" s="10">
        <v>2.5919999999999999E-5</v>
      </c>
      <c r="BQ10" s="10">
        <v>2.5919999999999999E-5</v>
      </c>
      <c r="BR10" s="10">
        <v>2.5919999999999999E-5</v>
      </c>
      <c r="BS10" s="10">
        <v>2.5919999999999999E-5</v>
      </c>
      <c r="BT10" s="10">
        <v>2.5919999999999999E-5</v>
      </c>
      <c r="BU10" s="10">
        <v>2.5919999999999999E-5</v>
      </c>
      <c r="BV10" s="10">
        <v>8.6399999999999999E-5</v>
      </c>
      <c r="BW10" s="10">
        <v>8.6399999999999999E-5</v>
      </c>
      <c r="BX10" s="10">
        <v>8.6399999999999999E-5</v>
      </c>
      <c r="BY10" s="10">
        <v>8.6399999999999999E-5</v>
      </c>
      <c r="BZ10" s="10">
        <v>8.6399999999999999E-5</v>
      </c>
      <c r="CA10" s="10">
        <v>8.6399999999999999E-5</v>
      </c>
      <c r="CB10" s="10">
        <v>8.6399999999999999E-5</v>
      </c>
      <c r="CC10" s="10">
        <v>8.6399999999999999E-5</v>
      </c>
      <c r="CD10" s="10">
        <v>8.6399999999999999E-5</v>
      </c>
      <c r="CE10" s="10">
        <v>2.5920000000000001E-4</v>
      </c>
      <c r="CF10" s="10">
        <v>2.5920000000000001E-4</v>
      </c>
      <c r="CG10" s="10">
        <v>2.5920000000000001E-4</v>
      </c>
      <c r="CH10" s="10">
        <v>2.5920000000000001E-4</v>
      </c>
      <c r="CI10" s="10">
        <v>2.5920000000000001E-4</v>
      </c>
      <c r="CJ10" s="10">
        <v>2.5920000000000001E-4</v>
      </c>
      <c r="CK10" s="10">
        <v>2.5920000000000001E-4</v>
      </c>
      <c r="CL10" s="10">
        <v>2.5920000000000001E-4</v>
      </c>
      <c r="CM10" s="10">
        <v>2.5920000000000001E-4</v>
      </c>
      <c r="CN10" s="10">
        <v>8.6399999999999997E-4</v>
      </c>
      <c r="CO10" s="10">
        <v>8.6399999999999997E-4</v>
      </c>
      <c r="CP10" s="10">
        <v>8.6399999999999997E-4</v>
      </c>
      <c r="CQ10" s="10">
        <v>8.6399999999999997E-4</v>
      </c>
      <c r="CR10" s="10">
        <v>8.6399999999999997E-4</v>
      </c>
      <c r="CS10" s="10">
        <v>8.6399999999999997E-4</v>
      </c>
      <c r="CT10" s="10">
        <v>8.6399999999999997E-4</v>
      </c>
      <c r="CU10" s="10">
        <v>8.6399999999999997E-4</v>
      </c>
      <c r="CV10" s="10">
        <v>8.6399999999999997E-4</v>
      </c>
      <c r="CW10" s="10">
        <v>2.5920000000000001E-3</v>
      </c>
      <c r="CX10" s="10">
        <v>2.5920000000000001E-3</v>
      </c>
      <c r="CY10" s="10">
        <v>2.5920000000000001E-3</v>
      </c>
      <c r="CZ10" s="10">
        <v>2.5920000000000001E-3</v>
      </c>
      <c r="DA10" s="10">
        <v>2.5920000000000001E-3</v>
      </c>
      <c r="DB10" s="10">
        <v>2.5920000000000001E-3</v>
      </c>
      <c r="DC10" s="10">
        <v>2.5920000000000001E-3</v>
      </c>
      <c r="DD10" s="10">
        <v>2.5920000000000001E-3</v>
      </c>
      <c r="DE10" s="10">
        <v>2.5920000000000001E-3</v>
      </c>
      <c r="DF10" s="10">
        <v>8.6400000000000001E-3</v>
      </c>
      <c r="DG10" s="10">
        <v>8.6400000000000001E-3</v>
      </c>
      <c r="DH10" s="10">
        <v>8.6400000000000001E-3</v>
      </c>
      <c r="DI10" s="10">
        <v>8.6400000000000001E-3</v>
      </c>
      <c r="DJ10" s="10">
        <v>8.6400000000000001E-3</v>
      </c>
      <c r="DK10" s="10">
        <v>8.6400000000000001E-3</v>
      </c>
      <c r="DL10" s="10">
        <v>8.6400000000000001E-3</v>
      </c>
      <c r="DM10" s="10">
        <v>8.6400000000000001E-3</v>
      </c>
      <c r="DN10" s="10">
        <v>8.6400000000000001E-3</v>
      </c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</row>
    <row r="11" spans="1:151" x14ac:dyDescent="0.45">
      <c r="A11" s="8" t="s">
        <v>62</v>
      </c>
      <c r="B11" s="1">
        <v>8.6400000000000001E-3</v>
      </c>
      <c r="C11" s="1">
        <v>2.5919999999999999E-2</v>
      </c>
      <c r="D11" s="1">
        <v>8.6400000000000005E-2</v>
      </c>
      <c r="E11" s="1">
        <v>0.25919999999999999</v>
      </c>
      <c r="F11" s="1">
        <v>0.86399999999999999</v>
      </c>
      <c r="G11" s="1">
        <v>2.5920000000000001</v>
      </c>
      <c r="H11" s="1">
        <v>8.64</v>
      </c>
      <c r="I11" s="1">
        <v>25.92</v>
      </c>
      <c r="J11" s="1">
        <v>86.4</v>
      </c>
      <c r="K11" s="1">
        <v>8.6400000000000001E-3</v>
      </c>
      <c r="L11" s="1">
        <v>2.5919999999999999E-2</v>
      </c>
      <c r="M11" s="1">
        <v>8.6400000000000005E-2</v>
      </c>
      <c r="N11" s="1">
        <v>0.25919999999999999</v>
      </c>
      <c r="O11" s="1">
        <v>0.86399999999999999</v>
      </c>
      <c r="P11" s="1">
        <v>2.5920000000000001</v>
      </c>
      <c r="Q11" s="1">
        <v>8.64</v>
      </c>
      <c r="R11" s="1">
        <v>25.92</v>
      </c>
      <c r="S11" s="1">
        <v>86.4</v>
      </c>
      <c r="T11" s="1">
        <v>8.6400000000000001E-3</v>
      </c>
      <c r="U11" s="1">
        <v>2.5919999999999999E-2</v>
      </c>
      <c r="V11" s="1">
        <v>8.6400000000000005E-2</v>
      </c>
      <c r="W11" s="1">
        <v>0.25919999999999999</v>
      </c>
      <c r="X11" s="1">
        <v>0.86399999999999999</v>
      </c>
      <c r="Y11" s="1">
        <v>2.5920000000000001</v>
      </c>
      <c r="Z11" s="1">
        <v>8.64</v>
      </c>
      <c r="AA11" s="1">
        <v>25.92</v>
      </c>
      <c r="AB11" s="1">
        <v>86.4</v>
      </c>
      <c r="AC11" s="1">
        <v>8.6400000000000001E-3</v>
      </c>
      <c r="AD11" s="1">
        <v>2.5919999999999999E-2</v>
      </c>
      <c r="AE11" s="1">
        <v>8.6400000000000005E-2</v>
      </c>
      <c r="AF11" s="1">
        <v>0.25919999999999999</v>
      </c>
      <c r="AG11" s="1">
        <v>0.86399999999999999</v>
      </c>
      <c r="AH11" s="1">
        <v>2.5920000000000001</v>
      </c>
      <c r="AI11" s="1">
        <v>8.64</v>
      </c>
      <c r="AJ11" s="1">
        <v>25.92</v>
      </c>
      <c r="AK11" s="1">
        <v>86.4</v>
      </c>
      <c r="AL11" s="1">
        <v>8.6400000000000001E-3</v>
      </c>
      <c r="AM11" s="1">
        <v>2.5919999999999999E-2</v>
      </c>
      <c r="AN11" s="1">
        <v>8.6400000000000005E-2</v>
      </c>
      <c r="AO11" s="1">
        <v>0.25919999999999999</v>
      </c>
      <c r="AP11" s="1">
        <v>0.86399999999999999</v>
      </c>
      <c r="AQ11" s="1">
        <v>2.5920000000000001</v>
      </c>
      <c r="AR11" s="1">
        <v>8.64</v>
      </c>
      <c r="AS11" s="1">
        <v>25.92</v>
      </c>
      <c r="AT11" s="1">
        <v>86.4</v>
      </c>
      <c r="AU11" s="1">
        <v>8.6400000000000001E-3</v>
      </c>
      <c r="AV11" s="1">
        <v>2.5919999999999999E-2</v>
      </c>
      <c r="AW11" s="1">
        <v>8.6400000000000005E-2</v>
      </c>
      <c r="AX11" s="1">
        <v>0.25919999999999999</v>
      </c>
      <c r="AY11" s="1">
        <v>0.86399999999999999</v>
      </c>
      <c r="AZ11" s="1">
        <v>2.5920000000000001</v>
      </c>
      <c r="BA11" s="1">
        <v>8.64</v>
      </c>
      <c r="BB11" s="1">
        <v>25.92</v>
      </c>
      <c r="BC11" s="1">
        <v>86.4</v>
      </c>
      <c r="BD11" s="1">
        <v>8.6400000000000001E-3</v>
      </c>
      <c r="BE11" s="1">
        <v>2.5919999999999999E-2</v>
      </c>
      <c r="BF11" s="1">
        <v>8.6400000000000005E-2</v>
      </c>
      <c r="BG11" s="1">
        <v>0.25919999999999999</v>
      </c>
      <c r="BH11" s="1">
        <v>0.86399999999999999</v>
      </c>
      <c r="BI11" s="1">
        <v>2.5920000000000001</v>
      </c>
      <c r="BJ11" s="1">
        <v>8.64</v>
      </c>
      <c r="BK11" s="1">
        <v>25.92</v>
      </c>
      <c r="BL11" s="1">
        <v>86.4</v>
      </c>
      <c r="BM11" s="1">
        <v>8.6400000000000001E-3</v>
      </c>
      <c r="BN11" s="1">
        <v>2.5919999999999999E-2</v>
      </c>
      <c r="BO11" s="1">
        <v>8.6400000000000005E-2</v>
      </c>
      <c r="BP11" s="1">
        <v>0.25919999999999999</v>
      </c>
      <c r="BQ11" s="1">
        <v>0.86399999999999999</v>
      </c>
      <c r="BR11" s="1">
        <v>2.5920000000000001</v>
      </c>
      <c r="BS11" s="1">
        <v>8.64</v>
      </c>
      <c r="BT11" s="1">
        <v>25.92</v>
      </c>
      <c r="BU11" s="1">
        <v>86.4</v>
      </c>
      <c r="BV11" s="1">
        <v>8.6400000000000001E-3</v>
      </c>
      <c r="BW11" s="1">
        <v>2.5919999999999999E-2</v>
      </c>
      <c r="BX11" s="1">
        <v>8.6400000000000005E-2</v>
      </c>
      <c r="BY11" s="1">
        <v>0.25919999999999999</v>
      </c>
      <c r="BZ11" s="1">
        <v>0.86399999999999999</v>
      </c>
      <c r="CA11" s="1">
        <v>2.5920000000000001</v>
      </c>
      <c r="CB11" s="1">
        <v>8.64</v>
      </c>
      <c r="CC11" s="1">
        <v>25.92</v>
      </c>
      <c r="CD11" s="1">
        <v>86.4</v>
      </c>
      <c r="CE11" s="1">
        <v>8.6400000000000001E-3</v>
      </c>
      <c r="CF11" s="1">
        <v>2.5919999999999999E-2</v>
      </c>
      <c r="CG11" s="1">
        <v>8.6400000000000005E-2</v>
      </c>
      <c r="CH11" s="1">
        <v>0.25919999999999999</v>
      </c>
      <c r="CI11" s="1">
        <v>0.86399999999999999</v>
      </c>
      <c r="CJ11" s="1">
        <v>2.5920000000000001</v>
      </c>
      <c r="CK11" s="1">
        <v>8.64</v>
      </c>
      <c r="CL11" s="1">
        <v>25.92</v>
      </c>
      <c r="CM11" s="1">
        <v>86.4</v>
      </c>
      <c r="CN11" s="1">
        <v>8.6400000000000001E-3</v>
      </c>
      <c r="CO11" s="1">
        <v>2.5919999999999999E-2</v>
      </c>
      <c r="CP11" s="1">
        <v>8.6400000000000005E-2</v>
      </c>
      <c r="CQ11" s="1">
        <v>0.25919999999999999</v>
      </c>
      <c r="CR11" s="1">
        <v>0.86399999999999999</v>
      </c>
      <c r="CS11" s="1">
        <v>2.5920000000000001</v>
      </c>
      <c r="CT11" s="1">
        <v>8.64</v>
      </c>
      <c r="CU11" s="1">
        <v>25.92</v>
      </c>
      <c r="CV11" s="1">
        <v>86.4</v>
      </c>
      <c r="CW11" s="1">
        <v>8.6400000000000001E-3</v>
      </c>
      <c r="CX11" s="1">
        <v>2.5919999999999999E-2</v>
      </c>
      <c r="CY11" s="1">
        <v>8.6400000000000005E-2</v>
      </c>
      <c r="CZ11" s="1">
        <v>0.25919999999999999</v>
      </c>
      <c r="DA11" s="1">
        <v>0.86399999999999999</v>
      </c>
      <c r="DB11" s="1">
        <v>2.5920000000000001</v>
      </c>
      <c r="DC11" s="1">
        <v>8.64</v>
      </c>
      <c r="DD11" s="1">
        <v>25.92</v>
      </c>
      <c r="DE11" s="1">
        <v>86.4</v>
      </c>
      <c r="DF11" s="1">
        <v>8.6400000000000001E-3</v>
      </c>
      <c r="DG11" s="1">
        <v>2.5919999999999999E-2</v>
      </c>
      <c r="DH11" s="1">
        <v>8.6400000000000005E-2</v>
      </c>
      <c r="DI11" s="1">
        <v>0.25919999999999999</v>
      </c>
      <c r="DJ11" s="1">
        <v>0.86399999999999999</v>
      </c>
      <c r="DK11" s="1">
        <v>2.5920000000000001</v>
      </c>
      <c r="DL11" s="1">
        <v>8.64</v>
      </c>
      <c r="DM11" s="1">
        <v>25.92</v>
      </c>
      <c r="DN11" s="1">
        <v>86.4</v>
      </c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</row>
    <row r="12" spans="1:151" x14ac:dyDescent="0.45">
      <c r="A12" s="9" t="s">
        <v>63</v>
      </c>
      <c r="B12" s="10">
        <v>8.6399999999999999E-9</v>
      </c>
      <c r="C12" s="10">
        <v>8.6399999999999999E-9</v>
      </c>
      <c r="D12" s="10">
        <v>8.6399999999999999E-9</v>
      </c>
      <c r="E12" s="10">
        <v>8.6399999999999999E-9</v>
      </c>
      <c r="F12" s="10">
        <v>8.6399999999999999E-9</v>
      </c>
      <c r="G12" s="10">
        <v>8.6399999999999999E-9</v>
      </c>
      <c r="H12" s="10">
        <v>8.6399999999999999E-9</v>
      </c>
      <c r="I12" s="10">
        <v>8.6399999999999999E-9</v>
      </c>
      <c r="J12" s="10">
        <v>8.6399999999999999E-9</v>
      </c>
      <c r="K12" s="10">
        <v>2.592E-8</v>
      </c>
      <c r="L12" s="10">
        <v>2.592E-8</v>
      </c>
      <c r="M12" s="10">
        <v>2.592E-8</v>
      </c>
      <c r="N12" s="10">
        <v>2.592E-8</v>
      </c>
      <c r="O12" s="10">
        <v>2.592E-8</v>
      </c>
      <c r="P12" s="10">
        <v>2.592E-8</v>
      </c>
      <c r="Q12" s="10">
        <v>2.592E-8</v>
      </c>
      <c r="R12" s="10">
        <v>2.592E-8</v>
      </c>
      <c r="S12" s="10">
        <v>2.592E-8</v>
      </c>
      <c r="T12" s="10">
        <v>8.6400000000000006E-8</v>
      </c>
      <c r="U12" s="10">
        <v>8.6400000000000006E-8</v>
      </c>
      <c r="V12" s="10">
        <v>8.6400000000000006E-8</v>
      </c>
      <c r="W12" s="10">
        <v>8.6400000000000006E-8</v>
      </c>
      <c r="X12" s="10">
        <v>8.6400000000000006E-8</v>
      </c>
      <c r="Y12" s="10">
        <v>8.6400000000000006E-8</v>
      </c>
      <c r="Z12" s="10">
        <v>8.6400000000000006E-8</v>
      </c>
      <c r="AA12" s="10">
        <v>8.6400000000000006E-8</v>
      </c>
      <c r="AB12" s="10">
        <v>8.6400000000000006E-8</v>
      </c>
      <c r="AC12" s="10">
        <v>2.5919999999999999E-7</v>
      </c>
      <c r="AD12" s="10">
        <v>2.5919999999999999E-7</v>
      </c>
      <c r="AE12" s="10">
        <v>2.5919999999999999E-7</v>
      </c>
      <c r="AF12" s="10">
        <v>2.5919999999999999E-7</v>
      </c>
      <c r="AG12" s="10">
        <v>2.5919999999999999E-7</v>
      </c>
      <c r="AH12" s="10">
        <v>2.5919999999999999E-7</v>
      </c>
      <c r="AI12" s="10">
        <v>2.5919999999999999E-7</v>
      </c>
      <c r="AJ12" s="10">
        <v>2.5919999999999999E-7</v>
      </c>
      <c r="AK12" s="10">
        <v>2.5919999999999999E-7</v>
      </c>
      <c r="AL12" s="10">
        <v>8.6400000000000001E-7</v>
      </c>
      <c r="AM12" s="10">
        <v>8.6400000000000001E-7</v>
      </c>
      <c r="AN12" s="10">
        <v>8.6400000000000001E-7</v>
      </c>
      <c r="AO12" s="10">
        <v>8.6400000000000001E-7</v>
      </c>
      <c r="AP12" s="10">
        <v>8.6400000000000001E-7</v>
      </c>
      <c r="AQ12" s="10">
        <v>8.6400000000000001E-7</v>
      </c>
      <c r="AR12" s="10">
        <v>8.6400000000000001E-7</v>
      </c>
      <c r="AS12" s="10">
        <v>8.6400000000000001E-7</v>
      </c>
      <c r="AT12" s="10">
        <v>8.6400000000000001E-7</v>
      </c>
      <c r="AU12" s="10">
        <v>2.5919999999999999E-6</v>
      </c>
      <c r="AV12" s="10">
        <v>2.5919999999999999E-6</v>
      </c>
      <c r="AW12" s="10">
        <v>2.5919999999999999E-6</v>
      </c>
      <c r="AX12" s="10">
        <v>2.5919999999999999E-6</v>
      </c>
      <c r="AY12" s="10">
        <v>2.5919999999999999E-6</v>
      </c>
      <c r="AZ12" s="10">
        <v>2.5919999999999999E-6</v>
      </c>
      <c r="BA12" s="10">
        <v>2.5919999999999999E-6</v>
      </c>
      <c r="BB12" s="10">
        <v>2.5919999999999999E-6</v>
      </c>
      <c r="BC12" s="10">
        <v>2.5919999999999999E-6</v>
      </c>
      <c r="BD12" s="10">
        <v>8.6400000000000003E-6</v>
      </c>
      <c r="BE12" s="10">
        <v>8.6400000000000003E-6</v>
      </c>
      <c r="BF12" s="10">
        <v>8.6400000000000003E-6</v>
      </c>
      <c r="BG12" s="10">
        <v>8.6400000000000003E-6</v>
      </c>
      <c r="BH12" s="10">
        <v>8.6400000000000003E-6</v>
      </c>
      <c r="BI12" s="10">
        <v>8.6400000000000003E-6</v>
      </c>
      <c r="BJ12" s="10">
        <v>8.6400000000000003E-6</v>
      </c>
      <c r="BK12" s="10">
        <v>8.6400000000000003E-6</v>
      </c>
      <c r="BL12" s="10">
        <v>8.6400000000000003E-6</v>
      </c>
      <c r="BM12" s="10">
        <v>2.5919999999999999E-5</v>
      </c>
      <c r="BN12" s="10">
        <v>2.5919999999999999E-5</v>
      </c>
      <c r="BO12" s="10">
        <v>2.5919999999999999E-5</v>
      </c>
      <c r="BP12" s="10">
        <v>2.5919999999999999E-5</v>
      </c>
      <c r="BQ12" s="10">
        <v>2.5919999999999999E-5</v>
      </c>
      <c r="BR12" s="10">
        <v>2.5919999999999999E-5</v>
      </c>
      <c r="BS12" s="10">
        <v>2.5919999999999999E-5</v>
      </c>
      <c r="BT12" s="10">
        <v>2.5919999999999999E-5</v>
      </c>
      <c r="BU12" s="10">
        <v>2.5919999999999999E-5</v>
      </c>
      <c r="BV12" s="10">
        <v>8.6399999999999999E-5</v>
      </c>
      <c r="BW12" s="10">
        <v>8.6399999999999999E-5</v>
      </c>
      <c r="BX12" s="10">
        <v>8.6399999999999999E-5</v>
      </c>
      <c r="BY12" s="10">
        <v>8.6399999999999999E-5</v>
      </c>
      <c r="BZ12" s="10">
        <v>8.6399999999999999E-5</v>
      </c>
      <c r="CA12" s="10">
        <v>8.6399999999999999E-5</v>
      </c>
      <c r="CB12" s="10">
        <v>8.6399999999999999E-5</v>
      </c>
      <c r="CC12" s="10">
        <v>8.6399999999999999E-5</v>
      </c>
      <c r="CD12" s="10">
        <v>8.6399999999999999E-5</v>
      </c>
      <c r="CE12" s="10">
        <v>2.5920000000000001E-4</v>
      </c>
      <c r="CF12" s="10">
        <v>2.5920000000000001E-4</v>
      </c>
      <c r="CG12" s="10">
        <v>2.5920000000000001E-4</v>
      </c>
      <c r="CH12" s="10">
        <v>2.5920000000000001E-4</v>
      </c>
      <c r="CI12" s="10">
        <v>2.5920000000000001E-4</v>
      </c>
      <c r="CJ12" s="10">
        <v>2.5920000000000001E-4</v>
      </c>
      <c r="CK12" s="10">
        <v>2.5920000000000001E-4</v>
      </c>
      <c r="CL12" s="10">
        <v>2.5920000000000001E-4</v>
      </c>
      <c r="CM12" s="10">
        <v>2.5920000000000001E-4</v>
      </c>
      <c r="CN12" s="10">
        <v>8.6399999999999997E-4</v>
      </c>
      <c r="CO12" s="10">
        <v>8.6399999999999997E-4</v>
      </c>
      <c r="CP12" s="10">
        <v>8.6399999999999997E-4</v>
      </c>
      <c r="CQ12" s="10">
        <v>8.6399999999999997E-4</v>
      </c>
      <c r="CR12" s="10">
        <v>8.6399999999999997E-4</v>
      </c>
      <c r="CS12" s="10">
        <v>8.6399999999999997E-4</v>
      </c>
      <c r="CT12" s="10">
        <v>8.6399999999999997E-4</v>
      </c>
      <c r="CU12" s="10">
        <v>8.6399999999999997E-4</v>
      </c>
      <c r="CV12" s="10">
        <v>8.6399999999999997E-4</v>
      </c>
      <c r="CW12" s="10">
        <v>2.5920000000000001E-3</v>
      </c>
      <c r="CX12" s="10">
        <v>2.5920000000000001E-3</v>
      </c>
      <c r="CY12" s="10">
        <v>2.5920000000000001E-3</v>
      </c>
      <c r="CZ12" s="10">
        <v>2.5920000000000001E-3</v>
      </c>
      <c r="DA12" s="10">
        <v>2.5920000000000001E-3</v>
      </c>
      <c r="DB12" s="10">
        <v>2.5920000000000001E-3</v>
      </c>
      <c r="DC12" s="10">
        <v>2.5920000000000001E-3</v>
      </c>
      <c r="DD12" s="10">
        <v>2.5920000000000001E-3</v>
      </c>
      <c r="DE12" s="10">
        <v>2.5920000000000001E-3</v>
      </c>
      <c r="DF12" s="10">
        <v>8.6400000000000001E-3</v>
      </c>
      <c r="DG12" s="10">
        <v>8.6400000000000001E-3</v>
      </c>
      <c r="DH12" s="10">
        <v>8.6400000000000001E-3</v>
      </c>
      <c r="DI12" s="10">
        <v>8.6400000000000001E-3</v>
      </c>
      <c r="DJ12" s="10">
        <v>8.6400000000000001E-3</v>
      </c>
      <c r="DK12" s="10">
        <v>8.6400000000000001E-3</v>
      </c>
      <c r="DL12" s="10">
        <v>8.6400000000000001E-3</v>
      </c>
      <c r="DM12" s="10">
        <v>8.6400000000000001E-3</v>
      </c>
      <c r="DN12" s="10">
        <v>8.6400000000000001E-3</v>
      </c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</row>
    <row r="13" spans="1:151" x14ac:dyDescent="0.45">
      <c r="A13" s="8" t="s">
        <v>64</v>
      </c>
      <c r="B13" s="1">
        <v>8.6400000000000001E-3</v>
      </c>
      <c r="C13" s="1">
        <v>2.5919999999999999E-2</v>
      </c>
      <c r="D13" s="1">
        <v>8.6400000000000005E-2</v>
      </c>
      <c r="E13" s="1">
        <v>0.25919999999999999</v>
      </c>
      <c r="F13" s="1">
        <v>0.86399999999999999</v>
      </c>
      <c r="G13" s="1">
        <v>2.5920000000000001</v>
      </c>
      <c r="H13" s="1">
        <v>8.64</v>
      </c>
      <c r="I13" s="1">
        <v>25.92</v>
      </c>
      <c r="J13" s="1">
        <v>86.4</v>
      </c>
      <c r="K13" s="1">
        <v>8.6400000000000001E-3</v>
      </c>
      <c r="L13" s="1">
        <v>2.5919999999999999E-2</v>
      </c>
      <c r="M13" s="1">
        <v>8.6400000000000005E-2</v>
      </c>
      <c r="N13" s="1">
        <v>0.25919999999999999</v>
      </c>
      <c r="O13" s="1">
        <v>0.86399999999999999</v>
      </c>
      <c r="P13" s="1">
        <v>2.5920000000000001</v>
      </c>
      <c r="Q13" s="1">
        <v>8.64</v>
      </c>
      <c r="R13" s="1">
        <v>25.92</v>
      </c>
      <c r="S13" s="1">
        <v>86.4</v>
      </c>
      <c r="T13" s="1">
        <v>8.6400000000000001E-3</v>
      </c>
      <c r="U13" s="1">
        <v>2.5919999999999999E-2</v>
      </c>
      <c r="V13" s="1">
        <v>8.6400000000000005E-2</v>
      </c>
      <c r="W13" s="1">
        <v>0.25919999999999999</v>
      </c>
      <c r="X13" s="1">
        <v>0.86399999999999999</v>
      </c>
      <c r="Y13" s="1">
        <v>2.5920000000000001</v>
      </c>
      <c r="Z13" s="1">
        <v>8.64</v>
      </c>
      <c r="AA13" s="1">
        <v>25.92</v>
      </c>
      <c r="AB13" s="1">
        <v>86.4</v>
      </c>
      <c r="AC13" s="1">
        <v>8.6400000000000001E-3</v>
      </c>
      <c r="AD13" s="1">
        <v>2.5919999999999999E-2</v>
      </c>
      <c r="AE13" s="1">
        <v>8.6400000000000005E-2</v>
      </c>
      <c r="AF13" s="1">
        <v>0.25919999999999999</v>
      </c>
      <c r="AG13" s="1">
        <v>0.86399999999999999</v>
      </c>
      <c r="AH13" s="1">
        <v>2.5920000000000001</v>
      </c>
      <c r="AI13" s="1">
        <v>8.64</v>
      </c>
      <c r="AJ13" s="1">
        <v>25.92</v>
      </c>
      <c r="AK13" s="1">
        <v>86.4</v>
      </c>
      <c r="AL13" s="1">
        <v>8.6400000000000001E-3</v>
      </c>
      <c r="AM13" s="1">
        <v>2.5919999999999999E-2</v>
      </c>
      <c r="AN13" s="1">
        <v>8.6400000000000005E-2</v>
      </c>
      <c r="AO13" s="1">
        <v>0.25919999999999999</v>
      </c>
      <c r="AP13" s="1">
        <v>0.86399999999999999</v>
      </c>
      <c r="AQ13" s="1">
        <v>2.5920000000000001</v>
      </c>
      <c r="AR13" s="1">
        <v>8.64</v>
      </c>
      <c r="AS13" s="1">
        <v>25.92</v>
      </c>
      <c r="AT13" s="1">
        <v>86.4</v>
      </c>
      <c r="AU13" s="1">
        <v>8.6400000000000001E-3</v>
      </c>
      <c r="AV13" s="1">
        <v>2.5919999999999999E-2</v>
      </c>
      <c r="AW13" s="1">
        <v>8.6400000000000005E-2</v>
      </c>
      <c r="AX13" s="1">
        <v>0.25919999999999999</v>
      </c>
      <c r="AY13" s="1">
        <v>0.86399999999999999</v>
      </c>
      <c r="AZ13" s="1">
        <v>2.5920000000000001</v>
      </c>
      <c r="BA13" s="1">
        <v>8.64</v>
      </c>
      <c r="BB13" s="1">
        <v>25.92</v>
      </c>
      <c r="BC13" s="1">
        <v>86.4</v>
      </c>
      <c r="BD13" s="1">
        <v>8.6400000000000001E-3</v>
      </c>
      <c r="BE13" s="1">
        <v>2.5919999999999999E-2</v>
      </c>
      <c r="BF13" s="1">
        <v>8.6400000000000005E-2</v>
      </c>
      <c r="BG13" s="1">
        <v>0.25919999999999999</v>
      </c>
      <c r="BH13" s="1">
        <v>0.86399999999999999</v>
      </c>
      <c r="BI13" s="1">
        <v>2.5920000000000001</v>
      </c>
      <c r="BJ13" s="1">
        <v>8.64</v>
      </c>
      <c r="BK13" s="1">
        <v>25.92</v>
      </c>
      <c r="BL13" s="1">
        <v>86.4</v>
      </c>
      <c r="BM13" s="1">
        <v>8.6400000000000001E-3</v>
      </c>
      <c r="BN13" s="1">
        <v>2.5919999999999999E-2</v>
      </c>
      <c r="BO13" s="1">
        <v>8.6400000000000005E-2</v>
      </c>
      <c r="BP13" s="1">
        <v>0.25919999999999999</v>
      </c>
      <c r="BQ13" s="1">
        <v>0.86399999999999999</v>
      </c>
      <c r="BR13" s="1">
        <v>2.5920000000000001</v>
      </c>
      <c r="BS13" s="1">
        <v>8.64</v>
      </c>
      <c r="BT13" s="1">
        <v>25.92</v>
      </c>
      <c r="BU13" s="1">
        <v>86.4</v>
      </c>
      <c r="BV13" s="1">
        <v>8.6400000000000001E-3</v>
      </c>
      <c r="BW13" s="1">
        <v>2.5919999999999999E-2</v>
      </c>
      <c r="BX13" s="1">
        <v>8.6400000000000005E-2</v>
      </c>
      <c r="BY13" s="1">
        <v>0.25919999999999999</v>
      </c>
      <c r="BZ13" s="1">
        <v>0.86399999999999999</v>
      </c>
      <c r="CA13" s="1">
        <v>2.5920000000000001</v>
      </c>
      <c r="CB13" s="1">
        <v>8.64</v>
      </c>
      <c r="CC13" s="1">
        <v>25.92</v>
      </c>
      <c r="CD13" s="1">
        <v>86.4</v>
      </c>
      <c r="CE13" s="1">
        <v>8.6400000000000001E-3</v>
      </c>
      <c r="CF13" s="1">
        <v>2.5919999999999999E-2</v>
      </c>
      <c r="CG13" s="1">
        <v>8.6400000000000005E-2</v>
      </c>
      <c r="CH13" s="1">
        <v>0.25919999999999999</v>
      </c>
      <c r="CI13" s="1">
        <v>0.86399999999999999</v>
      </c>
      <c r="CJ13" s="1">
        <v>2.5920000000000001</v>
      </c>
      <c r="CK13" s="1">
        <v>8.64</v>
      </c>
      <c r="CL13" s="1">
        <v>25.92</v>
      </c>
      <c r="CM13" s="1">
        <v>86.4</v>
      </c>
      <c r="CN13" s="1">
        <v>8.6400000000000001E-3</v>
      </c>
      <c r="CO13" s="1">
        <v>2.5919999999999999E-2</v>
      </c>
      <c r="CP13" s="1">
        <v>8.6400000000000005E-2</v>
      </c>
      <c r="CQ13" s="1">
        <v>0.25919999999999999</v>
      </c>
      <c r="CR13" s="1">
        <v>0.86399999999999999</v>
      </c>
      <c r="CS13" s="1">
        <v>2.5920000000000001</v>
      </c>
      <c r="CT13" s="1">
        <v>8.64</v>
      </c>
      <c r="CU13" s="1">
        <v>25.92</v>
      </c>
      <c r="CV13" s="1">
        <v>86.4</v>
      </c>
      <c r="CW13" s="1">
        <v>8.6400000000000001E-3</v>
      </c>
      <c r="CX13" s="1">
        <v>2.5919999999999999E-2</v>
      </c>
      <c r="CY13" s="1">
        <v>8.6400000000000005E-2</v>
      </c>
      <c r="CZ13" s="1">
        <v>0.25919999999999999</v>
      </c>
      <c r="DA13" s="1">
        <v>0.86399999999999999</v>
      </c>
      <c r="DB13" s="1">
        <v>2.5920000000000001</v>
      </c>
      <c r="DC13" s="1">
        <v>8.64</v>
      </c>
      <c r="DD13" s="1">
        <v>25.92</v>
      </c>
      <c r="DE13" s="1">
        <v>86.4</v>
      </c>
      <c r="DF13" s="1">
        <v>8.6400000000000001E-3</v>
      </c>
      <c r="DG13" s="1">
        <v>2.5919999999999999E-2</v>
      </c>
      <c r="DH13" s="1">
        <v>8.6400000000000005E-2</v>
      </c>
      <c r="DI13" s="1">
        <v>0.25919999999999999</v>
      </c>
      <c r="DJ13" s="1">
        <v>0.86399999999999999</v>
      </c>
      <c r="DK13" s="1">
        <v>2.5920000000000001</v>
      </c>
      <c r="DL13" s="1">
        <v>8.64</v>
      </c>
      <c r="DM13" s="1">
        <v>25.92</v>
      </c>
      <c r="DN13" s="1">
        <v>86.4</v>
      </c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</row>
    <row r="14" spans="1:151" x14ac:dyDescent="0.45">
      <c r="A14" s="9" t="s">
        <v>65</v>
      </c>
      <c r="B14" s="10">
        <v>8.6399999999999999E-9</v>
      </c>
      <c r="C14" s="10">
        <v>8.6399999999999999E-9</v>
      </c>
      <c r="D14" s="10">
        <v>8.6399999999999999E-9</v>
      </c>
      <c r="E14" s="10">
        <v>8.6399999999999999E-9</v>
      </c>
      <c r="F14" s="10">
        <v>8.6399999999999999E-9</v>
      </c>
      <c r="G14" s="10">
        <v>8.6399999999999999E-9</v>
      </c>
      <c r="H14" s="10">
        <v>8.6399999999999999E-9</v>
      </c>
      <c r="I14" s="10">
        <v>8.6399999999999999E-9</v>
      </c>
      <c r="J14" s="10">
        <v>8.6399999999999999E-9</v>
      </c>
      <c r="K14" s="10">
        <v>2.592E-8</v>
      </c>
      <c r="L14" s="10">
        <v>2.592E-8</v>
      </c>
      <c r="M14" s="10">
        <v>2.592E-8</v>
      </c>
      <c r="N14" s="10">
        <v>2.592E-8</v>
      </c>
      <c r="O14" s="10">
        <v>2.592E-8</v>
      </c>
      <c r="P14" s="10">
        <v>2.592E-8</v>
      </c>
      <c r="Q14" s="10">
        <v>2.592E-8</v>
      </c>
      <c r="R14" s="10">
        <v>2.592E-8</v>
      </c>
      <c r="S14" s="10">
        <v>2.592E-8</v>
      </c>
      <c r="T14" s="10">
        <v>8.6400000000000006E-8</v>
      </c>
      <c r="U14" s="10">
        <v>8.6400000000000006E-8</v>
      </c>
      <c r="V14" s="10">
        <v>8.6400000000000006E-8</v>
      </c>
      <c r="W14" s="10">
        <v>8.6400000000000006E-8</v>
      </c>
      <c r="X14" s="10">
        <v>8.6400000000000006E-8</v>
      </c>
      <c r="Y14" s="10">
        <v>8.6400000000000006E-8</v>
      </c>
      <c r="Z14" s="10">
        <v>8.6400000000000006E-8</v>
      </c>
      <c r="AA14" s="10">
        <v>8.6400000000000006E-8</v>
      </c>
      <c r="AB14" s="10">
        <v>8.6400000000000006E-8</v>
      </c>
      <c r="AC14" s="10">
        <v>2.5919999999999999E-7</v>
      </c>
      <c r="AD14" s="10">
        <v>2.5919999999999999E-7</v>
      </c>
      <c r="AE14" s="10">
        <v>2.5919999999999999E-7</v>
      </c>
      <c r="AF14" s="10">
        <v>2.5919999999999999E-7</v>
      </c>
      <c r="AG14" s="10">
        <v>2.5919999999999999E-7</v>
      </c>
      <c r="AH14" s="10">
        <v>2.5919999999999999E-7</v>
      </c>
      <c r="AI14" s="10">
        <v>2.5919999999999999E-7</v>
      </c>
      <c r="AJ14" s="10">
        <v>2.5919999999999999E-7</v>
      </c>
      <c r="AK14" s="10">
        <v>2.5919999999999999E-7</v>
      </c>
      <c r="AL14" s="10">
        <v>8.6400000000000001E-7</v>
      </c>
      <c r="AM14" s="10">
        <v>8.6400000000000001E-7</v>
      </c>
      <c r="AN14" s="10">
        <v>8.6400000000000001E-7</v>
      </c>
      <c r="AO14" s="10">
        <v>8.6400000000000001E-7</v>
      </c>
      <c r="AP14" s="10">
        <v>8.6400000000000001E-7</v>
      </c>
      <c r="AQ14" s="10">
        <v>8.6400000000000001E-7</v>
      </c>
      <c r="AR14" s="10">
        <v>8.6400000000000001E-7</v>
      </c>
      <c r="AS14" s="10">
        <v>8.6400000000000001E-7</v>
      </c>
      <c r="AT14" s="10">
        <v>8.6400000000000001E-7</v>
      </c>
      <c r="AU14" s="10">
        <v>2.5919999999999999E-6</v>
      </c>
      <c r="AV14" s="10">
        <v>2.5919999999999999E-6</v>
      </c>
      <c r="AW14" s="10">
        <v>2.5919999999999999E-6</v>
      </c>
      <c r="AX14" s="10">
        <v>2.5919999999999999E-6</v>
      </c>
      <c r="AY14" s="10">
        <v>2.5919999999999999E-6</v>
      </c>
      <c r="AZ14" s="10">
        <v>2.5919999999999999E-6</v>
      </c>
      <c r="BA14" s="10">
        <v>2.5919999999999999E-6</v>
      </c>
      <c r="BB14" s="10">
        <v>2.5919999999999999E-6</v>
      </c>
      <c r="BC14" s="10">
        <v>2.5919999999999999E-6</v>
      </c>
      <c r="BD14" s="10">
        <v>8.6400000000000003E-6</v>
      </c>
      <c r="BE14" s="10">
        <v>8.6400000000000003E-6</v>
      </c>
      <c r="BF14" s="10">
        <v>8.6400000000000003E-6</v>
      </c>
      <c r="BG14" s="10">
        <v>8.6400000000000003E-6</v>
      </c>
      <c r="BH14" s="10">
        <v>8.6400000000000003E-6</v>
      </c>
      <c r="BI14" s="10">
        <v>8.6400000000000003E-6</v>
      </c>
      <c r="BJ14" s="10">
        <v>8.6400000000000003E-6</v>
      </c>
      <c r="BK14" s="10">
        <v>8.6400000000000003E-6</v>
      </c>
      <c r="BL14" s="10">
        <v>8.6400000000000003E-6</v>
      </c>
      <c r="BM14" s="10">
        <v>2.5919999999999999E-5</v>
      </c>
      <c r="BN14" s="10">
        <v>2.5919999999999999E-5</v>
      </c>
      <c r="BO14" s="10">
        <v>2.5919999999999999E-5</v>
      </c>
      <c r="BP14" s="10">
        <v>2.5919999999999999E-5</v>
      </c>
      <c r="BQ14" s="10">
        <v>2.5919999999999999E-5</v>
      </c>
      <c r="BR14" s="10">
        <v>2.5919999999999999E-5</v>
      </c>
      <c r="BS14" s="10">
        <v>2.5919999999999999E-5</v>
      </c>
      <c r="BT14" s="10">
        <v>2.5919999999999999E-5</v>
      </c>
      <c r="BU14" s="10">
        <v>2.5919999999999999E-5</v>
      </c>
      <c r="BV14" s="10">
        <v>8.6399999999999999E-5</v>
      </c>
      <c r="BW14" s="10">
        <v>8.6399999999999999E-5</v>
      </c>
      <c r="BX14" s="10">
        <v>8.6399999999999999E-5</v>
      </c>
      <c r="BY14" s="10">
        <v>8.6399999999999999E-5</v>
      </c>
      <c r="BZ14" s="10">
        <v>8.6399999999999999E-5</v>
      </c>
      <c r="CA14" s="10">
        <v>8.6399999999999999E-5</v>
      </c>
      <c r="CB14" s="10">
        <v>8.6399999999999999E-5</v>
      </c>
      <c r="CC14" s="10">
        <v>8.6399999999999999E-5</v>
      </c>
      <c r="CD14" s="10">
        <v>8.6399999999999999E-5</v>
      </c>
      <c r="CE14" s="10">
        <v>2.5920000000000001E-4</v>
      </c>
      <c r="CF14" s="10">
        <v>2.5920000000000001E-4</v>
      </c>
      <c r="CG14" s="10">
        <v>2.5920000000000001E-4</v>
      </c>
      <c r="CH14" s="10">
        <v>2.5920000000000001E-4</v>
      </c>
      <c r="CI14" s="10">
        <v>2.5920000000000001E-4</v>
      </c>
      <c r="CJ14" s="10">
        <v>2.5920000000000001E-4</v>
      </c>
      <c r="CK14" s="10">
        <v>2.5920000000000001E-4</v>
      </c>
      <c r="CL14" s="10">
        <v>2.5920000000000001E-4</v>
      </c>
      <c r="CM14" s="10">
        <v>2.5920000000000001E-4</v>
      </c>
      <c r="CN14" s="10">
        <v>8.6399999999999997E-4</v>
      </c>
      <c r="CO14" s="10">
        <v>8.6399999999999997E-4</v>
      </c>
      <c r="CP14" s="10">
        <v>8.6399999999999997E-4</v>
      </c>
      <c r="CQ14" s="10">
        <v>8.6399999999999997E-4</v>
      </c>
      <c r="CR14" s="10">
        <v>8.6399999999999997E-4</v>
      </c>
      <c r="CS14" s="10">
        <v>8.6399999999999997E-4</v>
      </c>
      <c r="CT14" s="10">
        <v>8.6399999999999997E-4</v>
      </c>
      <c r="CU14" s="10">
        <v>8.6399999999999997E-4</v>
      </c>
      <c r="CV14" s="10">
        <v>8.6399999999999997E-4</v>
      </c>
      <c r="CW14" s="10">
        <v>2.5920000000000001E-3</v>
      </c>
      <c r="CX14" s="10">
        <v>2.5920000000000001E-3</v>
      </c>
      <c r="CY14" s="10">
        <v>2.5920000000000001E-3</v>
      </c>
      <c r="CZ14" s="10">
        <v>2.5920000000000001E-3</v>
      </c>
      <c r="DA14" s="10">
        <v>2.5920000000000001E-3</v>
      </c>
      <c r="DB14" s="10">
        <v>2.5920000000000001E-3</v>
      </c>
      <c r="DC14" s="10">
        <v>2.5920000000000001E-3</v>
      </c>
      <c r="DD14" s="10">
        <v>2.5920000000000001E-3</v>
      </c>
      <c r="DE14" s="10">
        <v>2.5920000000000001E-3</v>
      </c>
      <c r="DF14" s="10">
        <v>8.6400000000000001E-3</v>
      </c>
      <c r="DG14" s="10">
        <v>8.6400000000000001E-3</v>
      </c>
      <c r="DH14" s="10">
        <v>8.6400000000000001E-3</v>
      </c>
      <c r="DI14" s="10">
        <v>8.6400000000000001E-3</v>
      </c>
      <c r="DJ14" s="10">
        <v>8.6400000000000001E-3</v>
      </c>
      <c r="DK14" s="10">
        <v>8.6400000000000001E-3</v>
      </c>
      <c r="DL14" s="10">
        <v>8.6400000000000001E-3</v>
      </c>
      <c r="DM14" s="10">
        <v>8.6400000000000001E-3</v>
      </c>
      <c r="DN14" s="10">
        <v>8.6400000000000001E-3</v>
      </c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</row>
    <row r="15" spans="1:151" x14ac:dyDescent="0.45">
      <c r="A15" s="16" t="s">
        <v>67</v>
      </c>
      <c r="B15" s="1">
        <v>8.6400000000000001E-3</v>
      </c>
      <c r="C15" s="1">
        <v>2.5919999999999999E-2</v>
      </c>
      <c r="D15" s="1">
        <v>8.6400000000000005E-2</v>
      </c>
      <c r="E15" s="1">
        <v>0.25919999999999999</v>
      </c>
      <c r="F15" s="1">
        <v>0.86399999999999999</v>
      </c>
      <c r="G15" s="1">
        <v>2.5920000000000001</v>
      </c>
      <c r="H15" s="1">
        <v>8.64</v>
      </c>
      <c r="I15" s="1">
        <v>25.92</v>
      </c>
      <c r="J15" s="1">
        <v>86.4</v>
      </c>
      <c r="K15" s="1">
        <v>8.6400000000000001E-3</v>
      </c>
      <c r="L15" s="1">
        <v>2.5919999999999999E-2</v>
      </c>
      <c r="M15" s="1">
        <v>8.6400000000000005E-2</v>
      </c>
      <c r="N15" s="1">
        <v>0.25919999999999999</v>
      </c>
      <c r="O15" s="1">
        <v>0.86399999999999999</v>
      </c>
      <c r="P15" s="1">
        <v>2.5920000000000001</v>
      </c>
      <c r="Q15" s="1">
        <v>8.64</v>
      </c>
      <c r="R15" s="1">
        <v>25.92</v>
      </c>
      <c r="S15" s="1">
        <v>86.4</v>
      </c>
      <c r="T15" s="1">
        <v>8.6400000000000001E-3</v>
      </c>
      <c r="U15" s="1">
        <v>2.5919999999999999E-2</v>
      </c>
      <c r="V15" s="1">
        <v>8.6400000000000005E-2</v>
      </c>
      <c r="W15" s="1">
        <v>0.25919999999999999</v>
      </c>
      <c r="X15" s="1">
        <v>0.86399999999999999</v>
      </c>
      <c r="Y15" s="1">
        <v>2.5920000000000001</v>
      </c>
      <c r="Z15" s="1">
        <v>8.64</v>
      </c>
      <c r="AA15" s="1">
        <v>25.92</v>
      </c>
      <c r="AB15" s="1">
        <v>86.4</v>
      </c>
      <c r="AC15" s="1">
        <v>8.6400000000000001E-3</v>
      </c>
      <c r="AD15" s="1">
        <v>2.5919999999999999E-2</v>
      </c>
      <c r="AE15" s="1">
        <v>8.6400000000000005E-2</v>
      </c>
      <c r="AF15" s="1">
        <v>0.25919999999999999</v>
      </c>
      <c r="AG15" s="1">
        <v>0.86399999999999999</v>
      </c>
      <c r="AH15" s="1">
        <v>2.5920000000000001</v>
      </c>
      <c r="AI15" s="1">
        <v>8.64</v>
      </c>
      <c r="AJ15" s="1">
        <v>25.92</v>
      </c>
      <c r="AK15" s="1">
        <v>86.4</v>
      </c>
      <c r="AL15" s="1">
        <v>8.6400000000000001E-3</v>
      </c>
      <c r="AM15" s="1">
        <v>2.5919999999999999E-2</v>
      </c>
      <c r="AN15" s="1">
        <v>8.6400000000000005E-2</v>
      </c>
      <c r="AO15" s="1">
        <v>0.25919999999999999</v>
      </c>
      <c r="AP15" s="1">
        <v>0.86399999999999999</v>
      </c>
      <c r="AQ15" s="1">
        <v>2.5920000000000001</v>
      </c>
      <c r="AR15" s="1">
        <v>8.64</v>
      </c>
      <c r="AS15" s="1">
        <v>25.92</v>
      </c>
      <c r="AT15" s="1">
        <v>86.4</v>
      </c>
      <c r="AU15" s="1">
        <v>8.6400000000000001E-3</v>
      </c>
      <c r="AV15" s="1">
        <v>2.5919999999999999E-2</v>
      </c>
      <c r="AW15" s="1">
        <v>8.6400000000000005E-2</v>
      </c>
      <c r="AX15" s="1">
        <v>0.25919999999999999</v>
      </c>
      <c r="AY15" s="1">
        <v>0.86399999999999999</v>
      </c>
      <c r="AZ15" s="1">
        <v>2.5920000000000001</v>
      </c>
      <c r="BA15" s="1">
        <v>8.64</v>
      </c>
      <c r="BB15" s="1">
        <v>25.92</v>
      </c>
      <c r="BC15" s="1">
        <v>86.4</v>
      </c>
      <c r="BD15" s="1">
        <v>8.6400000000000001E-3</v>
      </c>
      <c r="BE15" s="1">
        <v>2.5919999999999999E-2</v>
      </c>
      <c r="BF15" s="1">
        <v>8.6400000000000005E-2</v>
      </c>
      <c r="BG15" s="1">
        <v>0.25919999999999999</v>
      </c>
      <c r="BH15" s="1">
        <v>0.86399999999999999</v>
      </c>
      <c r="BI15" s="1">
        <v>2.5920000000000001</v>
      </c>
      <c r="BJ15" s="1">
        <v>8.64</v>
      </c>
      <c r="BK15" s="1">
        <v>25.92</v>
      </c>
      <c r="BL15" s="1">
        <v>86.4</v>
      </c>
      <c r="BM15" s="1">
        <v>8.6400000000000001E-3</v>
      </c>
      <c r="BN15" s="1">
        <v>2.5919999999999999E-2</v>
      </c>
      <c r="BO15" s="1">
        <v>8.6400000000000005E-2</v>
      </c>
      <c r="BP15" s="1">
        <v>0.25919999999999999</v>
      </c>
      <c r="BQ15" s="1">
        <v>0.86399999999999999</v>
      </c>
      <c r="BR15" s="1">
        <v>2.5920000000000001</v>
      </c>
      <c r="BS15" s="1">
        <v>8.64</v>
      </c>
      <c r="BT15" s="1">
        <v>25.92</v>
      </c>
      <c r="BU15" s="1">
        <v>86.4</v>
      </c>
      <c r="BV15" s="1">
        <v>8.6400000000000001E-3</v>
      </c>
      <c r="BW15" s="1">
        <v>2.5919999999999999E-2</v>
      </c>
      <c r="BX15" s="1">
        <v>8.6400000000000005E-2</v>
      </c>
      <c r="BY15" s="1">
        <v>0.25919999999999999</v>
      </c>
      <c r="BZ15" s="1">
        <v>0.86399999999999999</v>
      </c>
      <c r="CA15" s="1">
        <v>2.5920000000000001</v>
      </c>
      <c r="CB15" s="1">
        <v>8.64</v>
      </c>
      <c r="CC15" s="1">
        <v>25.92</v>
      </c>
      <c r="CD15" s="1">
        <v>86.4</v>
      </c>
      <c r="CE15" s="1">
        <v>8.6400000000000001E-3</v>
      </c>
      <c r="CF15" s="1">
        <v>2.5919999999999999E-2</v>
      </c>
      <c r="CG15" s="1">
        <v>8.6400000000000005E-2</v>
      </c>
      <c r="CH15" s="1">
        <v>0.25919999999999999</v>
      </c>
      <c r="CI15" s="1">
        <v>0.86399999999999999</v>
      </c>
      <c r="CJ15" s="1">
        <v>2.5920000000000001</v>
      </c>
      <c r="CK15" s="1">
        <v>8.64</v>
      </c>
      <c r="CL15" s="1">
        <v>25.92</v>
      </c>
      <c r="CM15" s="1">
        <v>86.4</v>
      </c>
      <c r="CN15" s="1">
        <v>8.6400000000000001E-3</v>
      </c>
      <c r="CO15" s="1">
        <v>2.5919999999999999E-2</v>
      </c>
      <c r="CP15" s="1">
        <v>8.6400000000000005E-2</v>
      </c>
      <c r="CQ15" s="1">
        <v>0.25919999999999999</v>
      </c>
      <c r="CR15" s="1">
        <v>0.86399999999999999</v>
      </c>
      <c r="CS15" s="1">
        <v>2.5920000000000001</v>
      </c>
      <c r="CT15" s="1">
        <v>8.64</v>
      </c>
      <c r="CU15" s="1">
        <v>25.92</v>
      </c>
      <c r="CV15" s="1">
        <v>86.4</v>
      </c>
      <c r="CW15" s="1">
        <v>8.6400000000000001E-3</v>
      </c>
      <c r="CX15" s="1">
        <v>2.5919999999999999E-2</v>
      </c>
      <c r="CY15" s="1">
        <v>8.6400000000000005E-2</v>
      </c>
      <c r="CZ15" s="1">
        <v>0.25919999999999999</v>
      </c>
      <c r="DA15" s="1">
        <v>0.86399999999999999</v>
      </c>
      <c r="DB15" s="1">
        <v>2.5920000000000001</v>
      </c>
      <c r="DC15" s="1">
        <v>8.64</v>
      </c>
      <c r="DD15" s="1">
        <v>25.92</v>
      </c>
      <c r="DE15" s="1">
        <v>86.4</v>
      </c>
      <c r="DF15" s="1">
        <v>8.6400000000000001E-3</v>
      </c>
      <c r="DG15" s="1">
        <v>2.5919999999999999E-2</v>
      </c>
      <c r="DH15" s="1">
        <v>8.6400000000000005E-2</v>
      </c>
      <c r="DI15" s="1">
        <v>0.25919999999999999</v>
      </c>
      <c r="DJ15" s="1">
        <v>0.86399999999999999</v>
      </c>
      <c r="DK15" s="1">
        <v>2.5920000000000001</v>
      </c>
      <c r="DL15" s="1">
        <v>8.64</v>
      </c>
      <c r="DM15" s="1">
        <v>25.92</v>
      </c>
      <c r="DN15" s="1">
        <v>86.4</v>
      </c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</row>
    <row r="16" spans="1:151" x14ac:dyDescent="0.4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</row>
    <row r="17" spans="2:136" x14ac:dyDescent="0.4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</row>
    <row r="18" spans="2:136" x14ac:dyDescent="0.4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</row>
    <row r="19" spans="2:136" x14ac:dyDescent="0.4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</row>
    <row r="20" spans="2:136" x14ac:dyDescent="0.4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</row>
    <row r="21" spans="2:136" x14ac:dyDescent="0.4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</row>
    <row r="22" spans="2:136" x14ac:dyDescent="0.4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</row>
    <row r="23" spans="2:136" x14ac:dyDescent="0.4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</row>
    <row r="24" spans="2:136" x14ac:dyDescent="0.4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</row>
    <row r="25" spans="2:136" x14ac:dyDescent="0.45">
      <c r="B25" s="1"/>
      <c r="C25" s="1"/>
      <c r="D25" s="1"/>
      <c r="E25" s="1"/>
      <c r="F25" s="1"/>
      <c r="G25" s="1"/>
      <c r="H25" s="1"/>
      <c r="I25" s="1"/>
      <c r="J25" s="1"/>
    </row>
    <row r="26" spans="2:136" x14ac:dyDescent="0.45">
      <c r="B26" s="1"/>
      <c r="C26" s="1"/>
      <c r="D26" s="1"/>
      <c r="E26" s="1"/>
      <c r="F26" s="1"/>
      <c r="G26" s="1"/>
      <c r="H26" s="1"/>
      <c r="I26" s="1"/>
      <c r="J26" s="1"/>
    </row>
    <row r="27" spans="2:136" x14ac:dyDescent="0.45">
      <c r="B27" s="1"/>
      <c r="C27" s="1"/>
      <c r="D27" s="1"/>
      <c r="E27" s="1"/>
      <c r="F27" s="1"/>
      <c r="G27" s="1"/>
      <c r="H27" s="1"/>
      <c r="I27" s="1"/>
      <c r="J27" s="1"/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F364"/>
  <sheetViews>
    <sheetView topLeftCell="X35" zoomScale="50" zoomScaleNormal="50" workbookViewId="0">
      <selection activeCell="AF66" sqref="AF66"/>
    </sheetView>
  </sheetViews>
  <sheetFormatPr baseColWidth="10" defaultRowHeight="14.25" x14ac:dyDescent="0.45"/>
  <cols>
    <col min="1" max="1" width="15.46484375" style="4" bestFit="1" customWidth="1"/>
    <col min="45" max="45" width="10.9296875" style="4" customWidth="1"/>
    <col min="47" max="47" width="10.9296875" style="4" customWidth="1"/>
    <col min="56" max="56" width="10.9296875" style="4" customWidth="1"/>
    <col min="58" max="58" width="10.9296875" style="4" customWidth="1"/>
  </cols>
  <sheetData>
    <row r="1" spans="1:188" x14ac:dyDescent="0.45">
      <c r="A1" t="s">
        <v>538</v>
      </c>
      <c r="B1" t="s">
        <v>100</v>
      </c>
      <c r="C1" t="s">
        <v>84</v>
      </c>
      <c r="D1" t="s">
        <v>86</v>
      </c>
      <c r="E1" t="s">
        <v>87</v>
      </c>
      <c r="F1" t="s">
        <v>88</v>
      </c>
      <c r="G1" t="s">
        <v>89</v>
      </c>
      <c r="H1" t="s">
        <v>32</v>
      </c>
      <c r="I1" t="s">
        <v>33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R1" t="s">
        <v>374</v>
      </c>
      <c r="S1">
        <v>0</v>
      </c>
      <c r="U1" t="s">
        <v>538</v>
      </c>
      <c r="V1" t="s">
        <v>100</v>
      </c>
      <c r="W1" t="s">
        <v>84</v>
      </c>
      <c r="X1" t="s">
        <v>86</v>
      </c>
      <c r="Y1" t="s">
        <v>87</v>
      </c>
      <c r="Z1" t="s">
        <v>88</v>
      </c>
      <c r="AA1" t="s">
        <v>89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J1" t="s">
        <v>374</v>
      </c>
      <c r="AK1">
        <v>0</v>
      </c>
      <c r="AM1" t="s">
        <v>403</v>
      </c>
      <c r="AN1" t="s">
        <v>404</v>
      </c>
      <c r="AO1" t="s">
        <v>405</v>
      </c>
      <c r="AP1" t="s">
        <v>406</v>
      </c>
      <c r="AQ1" t="s">
        <v>407</v>
      </c>
      <c r="AR1" t="s">
        <v>408</v>
      </c>
      <c r="AS1" t="s">
        <v>409</v>
      </c>
      <c r="AT1" t="s">
        <v>410</v>
      </c>
      <c r="AU1" t="s">
        <v>411</v>
      </c>
      <c r="AV1" t="s">
        <v>412</v>
      </c>
      <c r="AW1" t="s">
        <v>413</v>
      </c>
      <c r="AX1" t="s">
        <v>414</v>
      </c>
      <c r="AY1" t="s">
        <v>415</v>
      </c>
      <c r="AZ1" t="s">
        <v>416</v>
      </c>
      <c r="BA1" t="s">
        <v>417</v>
      </c>
      <c r="BB1" t="s">
        <v>418</v>
      </c>
      <c r="BC1" t="s">
        <v>419</v>
      </c>
      <c r="BD1" t="s">
        <v>420</v>
      </c>
      <c r="BE1" t="s">
        <v>421</v>
      </c>
      <c r="BF1" t="s">
        <v>422</v>
      </c>
      <c r="BG1" t="s">
        <v>423</v>
      </c>
      <c r="BH1" t="s">
        <v>424</v>
      </c>
      <c r="BI1" t="s">
        <v>425</v>
      </c>
      <c r="BJ1" t="s">
        <v>426</v>
      </c>
      <c r="BK1" t="s">
        <v>427</v>
      </c>
      <c r="BL1" t="s">
        <v>428</v>
      </c>
      <c r="BM1" t="s">
        <v>429</v>
      </c>
      <c r="BN1" t="s">
        <v>430</v>
      </c>
      <c r="BO1" t="s">
        <v>431</v>
      </c>
      <c r="BP1" t="s">
        <v>432</v>
      </c>
      <c r="BQ1" t="s">
        <v>433</v>
      </c>
      <c r="BR1" t="s">
        <v>434</v>
      </c>
      <c r="BS1" t="s">
        <v>435</v>
      </c>
      <c r="BT1" t="s">
        <v>436</v>
      </c>
      <c r="BU1" t="s">
        <v>437</v>
      </c>
      <c r="BV1" t="s">
        <v>438</v>
      </c>
      <c r="BW1" t="s">
        <v>439</v>
      </c>
      <c r="BX1" t="s">
        <v>440</v>
      </c>
      <c r="BY1" t="s">
        <v>441</v>
      </c>
      <c r="BZ1" t="s">
        <v>442</v>
      </c>
      <c r="CA1" t="s">
        <v>443</v>
      </c>
      <c r="CB1" t="s">
        <v>444</v>
      </c>
      <c r="CC1" t="s">
        <v>445</v>
      </c>
      <c r="CD1" t="s">
        <v>446</v>
      </c>
      <c r="CE1" t="s">
        <v>447</v>
      </c>
      <c r="CF1" t="s">
        <v>448</v>
      </c>
      <c r="CG1" t="s">
        <v>449</v>
      </c>
      <c r="CH1" t="s">
        <v>450</v>
      </c>
      <c r="CI1" t="s">
        <v>451</v>
      </c>
      <c r="CJ1" t="s">
        <v>452</v>
      </c>
      <c r="CK1" t="s">
        <v>453</v>
      </c>
      <c r="CL1" t="s">
        <v>454</v>
      </c>
      <c r="CM1" t="s">
        <v>455</v>
      </c>
      <c r="CN1" t="s">
        <v>456</v>
      </c>
      <c r="CO1" t="s">
        <v>457</v>
      </c>
      <c r="CP1" t="s">
        <v>458</v>
      </c>
      <c r="CQ1" t="s">
        <v>459</v>
      </c>
      <c r="CR1" t="s">
        <v>460</v>
      </c>
      <c r="CS1" t="s">
        <v>461</v>
      </c>
      <c r="CT1" t="s">
        <v>462</v>
      </c>
      <c r="CU1" t="s">
        <v>463</v>
      </c>
      <c r="CV1" t="s">
        <v>464</v>
      </c>
      <c r="CW1" t="s">
        <v>465</v>
      </c>
      <c r="CX1" t="s">
        <v>466</v>
      </c>
      <c r="CY1" t="s">
        <v>467</v>
      </c>
      <c r="CZ1" t="s">
        <v>468</v>
      </c>
      <c r="DA1" t="s">
        <v>469</v>
      </c>
      <c r="DB1" t="s">
        <v>470</v>
      </c>
      <c r="DC1" t="s">
        <v>471</v>
      </c>
      <c r="DD1" t="s">
        <v>472</v>
      </c>
      <c r="DE1" t="s">
        <v>473</v>
      </c>
      <c r="DF1" t="s">
        <v>474</v>
      </c>
      <c r="DG1" t="s">
        <v>475</v>
      </c>
      <c r="DH1" t="s">
        <v>476</v>
      </c>
      <c r="DI1" t="s">
        <v>477</v>
      </c>
      <c r="DJ1" t="s">
        <v>478</v>
      </c>
      <c r="DK1" t="s">
        <v>479</v>
      </c>
      <c r="DL1" t="s">
        <v>480</v>
      </c>
      <c r="DM1" t="s">
        <v>481</v>
      </c>
      <c r="DN1" t="s">
        <v>482</v>
      </c>
      <c r="DO1" t="s">
        <v>483</v>
      </c>
      <c r="DP1" t="s">
        <v>484</v>
      </c>
      <c r="DQ1" t="s">
        <v>485</v>
      </c>
      <c r="DR1" t="s">
        <v>486</v>
      </c>
      <c r="DS1" t="s">
        <v>487</v>
      </c>
      <c r="DT1" t="s">
        <v>488</v>
      </c>
      <c r="DU1" t="s">
        <v>489</v>
      </c>
      <c r="DV1" t="s">
        <v>490</v>
      </c>
      <c r="DW1" t="s">
        <v>491</v>
      </c>
      <c r="DX1" t="s">
        <v>492</v>
      </c>
      <c r="DY1" t="s">
        <v>493</v>
      </c>
      <c r="DZ1" t="s">
        <v>494</v>
      </c>
      <c r="EA1" t="s">
        <v>495</v>
      </c>
      <c r="EB1" t="s">
        <v>496</v>
      </c>
      <c r="EC1" t="s">
        <v>497</v>
      </c>
      <c r="ED1" t="s">
        <v>498</v>
      </c>
      <c r="EE1" t="s">
        <v>499</v>
      </c>
      <c r="EF1" t="s">
        <v>500</v>
      </c>
      <c r="EG1" t="s">
        <v>501</v>
      </c>
      <c r="EH1" t="s">
        <v>502</v>
      </c>
      <c r="EI1" t="s">
        <v>503</v>
      </c>
      <c r="EJ1" t="s">
        <v>504</v>
      </c>
      <c r="EK1" t="s">
        <v>505</v>
      </c>
      <c r="EL1" t="s">
        <v>506</v>
      </c>
      <c r="EM1" t="s">
        <v>507</v>
      </c>
      <c r="EN1" t="s">
        <v>508</v>
      </c>
      <c r="EO1" t="s">
        <v>509</v>
      </c>
      <c r="EP1" t="s">
        <v>510</v>
      </c>
      <c r="EQ1" t="s">
        <v>511</v>
      </c>
      <c r="ER1" t="s">
        <v>512</v>
      </c>
      <c r="ES1" t="s">
        <v>513</v>
      </c>
      <c r="ET1" t="s">
        <v>514</v>
      </c>
      <c r="EU1" t="s">
        <v>515</v>
      </c>
      <c r="EV1" t="s">
        <v>516</v>
      </c>
      <c r="EW1" t="s">
        <v>517</v>
      </c>
      <c r="EX1" t="s">
        <v>518</v>
      </c>
      <c r="EY1" t="s">
        <v>519</v>
      </c>
      <c r="EZ1" t="s">
        <v>520</v>
      </c>
      <c r="FA1" t="s">
        <v>521</v>
      </c>
      <c r="FB1" t="s">
        <v>522</v>
      </c>
      <c r="FC1" t="s">
        <v>523</v>
      </c>
      <c r="FD1" t="s">
        <v>524</v>
      </c>
      <c r="FE1" t="s">
        <v>525</v>
      </c>
      <c r="FF1" t="s">
        <v>526</v>
      </c>
      <c r="FG1" t="s">
        <v>527</v>
      </c>
      <c r="FH1" t="s">
        <v>528</v>
      </c>
      <c r="FI1" t="s">
        <v>529</v>
      </c>
      <c r="FJ1" t="s">
        <v>530</v>
      </c>
      <c r="FK1" t="s">
        <v>531</v>
      </c>
      <c r="FL1" t="s">
        <v>532</v>
      </c>
      <c r="FM1" t="s">
        <v>533</v>
      </c>
      <c r="FN1" t="s">
        <v>534</v>
      </c>
      <c r="FO1" t="s">
        <v>535</v>
      </c>
      <c r="FP1" t="s">
        <v>536</v>
      </c>
      <c r="FQ1" t="s">
        <v>537</v>
      </c>
      <c r="FR1" t="s">
        <v>539</v>
      </c>
      <c r="FS1" t="s">
        <v>540</v>
      </c>
      <c r="FT1" t="s">
        <v>541</v>
      </c>
      <c r="FU1" t="s">
        <v>542</v>
      </c>
      <c r="FV1" t="s">
        <v>543</v>
      </c>
      <c r="FW1" t="s">
        <v>544</v>
      </c>
      <c r="FX1" t="s">
        <v>545</v>
      </c>
      <c r="FY1" t="s">
        <v>546</v>
      </c>
      <c r="FZ1" t="s">
        <v>547</v>
      </c>
      <c r="GA1" t="s">
        <v>548</v>
      </c>
      <c r="GB1" t="s">
        <v>549</v>
      </c>
      <c r="GC1" t="s">
        <v>550</v>
      </c>
      <c r="GD1" t="s">
        <v>551</v>
      </c>
      <c r="GE1" t="s">
        <v>552</v>
      </c>
      <c r="GF1" t="s">
        <v>553</v>
      </c>
    </row>
    <row r="2" spans="1:188" x14ac:dyDescent="0.45">
      <c r="A2" t="s">
        <v>554</v>
      </c>
      <c r="B2">
        <v>0</v>
      </c>
      <c r="C2" s="1">
        <v>3.4615812627652098E-4</v>
      </c>
      <c r="D2" s="1">
        <v>3.46158126276521E-6</v>
      </c>
      <c r="E2" s="1">
        <v>3.4615812627652098E-4</v>
      </c>
      <c r="F2" s="1">
        <v>3.46158126276521E-6</v>
      </c>
      <c r="G2" s="1">
        <v>3.4615812627652098E-4</v>
      </c>
      <c r="H2" s="2">
        <v>1</v>
      </c>
      <c r="I2">
        <v>36000</v>
      </c>
      <c r="K2">
        <v>0</v>
      </c>
      <c r="L2">
        <v>0</v>
      </c>
      <c r="M2">
        <v>1</v>
      </c>
      <c r="N2">
        <v>1</v>
      </c>
      <c r="O2" t="s">
        <v>37</v>
      </c>
      <c r="R2" t="s">
        <v>374</v>
      </c>
      <c r="S2">
        <v>7587000</v>
      </c>
      <c r="U2">
        <v>1950</v>
      </c>
      <c r="V2">
        <v>0</v>
      </c>
      <c r="W2" s="1">
        <v>5.7254552261878477E-4</v>
      </c>
      <c r="X2" s="1">
        <f t="shared" ref="X2:X33" si="0">+W2/100</f>
        <v>5.7254552261878478E-6</v>
      </c>
      <c r="Y2" s="1">
        <f t="shared" ref="Y2:Y33" si="1">+W2</f>
        <v>5.7254552261878477E-4</v>
      </c>
      <c r="Z2" s="1">
        <f t="shared" ref="Z2:Z33" si="2">+Y2/100</f>
        <v>5.7254552261878478E-6</v>
      </c>
      <c r="AA2" s="1">
        <f t="shared" ref="AA2:AA33" si="3">+W2</f>
        <v>5.7254552261878477E-4</v>
      </c>
      <c r="AC2">
        <v>0</v>
      </c>
      <c r="AD2">
        <v>0</v>
      </c>
      <c r="AE2">
        <v>1</v>
      </c>
      <c r="AF2">
        <v>1</v>
      </c>
      <c r="AG2" t="s">
        <v>37</v>
      </c>
      <c r="AJ2" t="s">
        <v>374</v>
      </c>
      <c r="AK2">
        <v>27000</v>
      </c>
      <c r="AM2" s="1">
        <v>8.6400000000000001E-3</v>
      </c>
      <c r="AN2" s="1">
        <v>2.5919999999999999E-2</v>
      </c>
      <c r="AO2" s="1">
        <v>8.6400000000000005E-2</v>
      </c>
      <c r="AP2" s="1">
        <v>0.25919999999999999</v>
      </c>
      <c r="AQ2" s="1">
        <v>0.86399999999999999</v>
      </c>
      <c r="AR2" s="1">
        <v>2.5920000000000001</v>
      </c>
      <c r="AS2" s="1">
        <v>8.64</v>
      </c>
      <c r="AT2" s="1">
        <v>25.92</v>
      </c>
      <c r="AU2" s="1">
        <v>86.4</v>
      </c>
      <c r="AV2" s="1">
        <v>8.6400000000000001E-3</v>
      </c>
      <c r="AW2" s="1">
        <v>2.5919999999999999E-2</v>
      </c>
      <c r="AX2" s="1">
        <v>8.6400000000000005E-2</v>
      </c>
      <c r="AY2" s="1">
        <v>0.25919999999999999</v>
      </c>
      <c r="AZ2" s="1">
        <v>0.86399999999999999</v>
      </c>
      <c r="BA2" s="1">
        <v>2.5920000000000001</v>
      </c>
      <c r="BB2" s="1">
        <v>8.64</v>
      </c>
      <c r="BC2" s="1">
        <v>25.92</v>
      </c>
      <c r="BD2" s="1">
        <v>86.4</v>
      </c>
      <c r="BE2" s="1">
        <v>8.6400000000000001E-3</v>
      </c>
      <c r="BF2" s="1">
        <v>2.5919999999999999E-2</v>
      </c>
      <c r="BG2" s="1">
        <v>8.6400000000000005E-2</v>
      </c>
      <c r="BH2" s="1">
        <v>0.25919999999999999</v>
      </c>
      <c r="BI2" s="1">
        <v>0.86399999999999999</v>
      </c>
      <c r="BJ2" s="1">
        <v>2.5920000000000001</v>
      </c>
      <c r="BK2" s="1">
        <v>8.64</v>
      </c>
      <c r="BL2" s="1">
        <v>25.92</v>
      </c>
      <c r="BM2" s="1">
        <v>86.4</v>
      </c>
      <c r="BN2" s="1">
        <v>8.6400000000000001E-3</v>
      </c>
      <c r="BO2" s="1">
        <v>2.5919999999999999E-2</v>
      </c>
      <c r="BP2" s="1">
        <v>8.6400000000000005E-2</v>
      </c>
      <c r="BQ2" s="1">
        <v>0.25919999999999999</v>
      </c>
      <c r="BR2" s="1">
        <v>0.86399999999999999</v>
      </c>
      <c r="BS2" s="1">
        <v>2.5920000000000001</v>
      </c>
      <c r="BT2" s="1">
        <v>8.64</v>
      </c>
      <c r="BU2" s="1">
        <v>25.92</v>
      </c>
      <c r="BV2" s="1">
        <v>86.4</v>
      </c>
      <c r="BW2" s="1">
        <v>8.6400000000000001E-3</v>
      </c>
      <c r="BX2" s="1">
        <v>2.5919999999999999E-2</v>
      </c>
      <c r="BY2" s="1">
        <v>8.6400000000000005E-2</v>
      </c>
      <c r="BZ2" s="1">
        <v>0.25919999999999999</v>
      </c>
      <c r="CA2" s="1">
        <v>0.86399999999999999</v>
      </c>
      <c r="CB2" s="1">
        <v>2.5920000000000001</v>
      </c>
      <c r="CC2" s="1">
        <v>8.64</v>
      </c>
      <c r="CD2" s="1">
        <v>25.92</v>
      </c>
      <c r="CE2" s="1">
        <v>86.4</v>
      </c>
      <c r="CF2" s="1">
        <v>8.6400000000000001E-3</v>
      </c>
      <c r="CG2" s="1">
        <v>2.5919999999999999E-2</v>
      </c>
      <c r="CH2" s="1">
        <v>8.6400000000000005E-2</v>
      </c>
      <c r="CI2" s="1">
        <v>0.25919999999999999</v>
      </c>
      <c r="CJ2" s="1">
        <v>0.86399999999999999</v>
      </c>
      <c r="CK2" s="1">
        <v>2.5920000000000001</v>
      </c>
      <c r="CL2" s="1">
        <v>8.64</v>
      </c>
      <c r="CM2" s="1">
        <v>25.92</v>
      </c>
      <c r="CN2" s="1">
        <v>86.4</v>
      </c>
      <c r="CO2" s="1">
        <v>8.6400000000000001E-3</v>
      </c>
      <c r="CP2" s="1">
        <v>2.5919999999999999E-2</v>
      </c>
      <c r="CQ2" s="1">
        <v>8.6400000000000005E-2</v>
      </c>
      <c r="CR2" s="1">
        <v>0.25919999999999999</v>
      </c>
      <c r="CS2" s="1">
        <v>0.86399999999999999</v>
      </c>
      <c r="CT2" s="1">
        <v>2.5920000000000001</v>
      </c>
      <c r="CU2" s="1">
        <v>8.64</v>
      </c>
      <c r="CV2" s="1">
        <v>25.92</v>
      </c>
      <c r="CW2" s="1">
        <v>86.4</v>
      </c>
      <c r="CX2" s="1">
        <v>8.6400000000000001E-3</v>
      </c>
      <c r="CY2" s="1">
        <v>2.5919999999999999E-2</v>
      </c>
      <c r="CZ2" s="1">
        <v>8.6400000000000005E-2</v>
      </c>
      <c r="DA2" s="1">
        <v>0.25919999999999999</v>
      </c>
      <c r="DB2" s="1">
        <v>0.86399999999999999</v>
      </c>
      <c r="DC2" s="1">
        <v>2.5920000000000001</v>
      </c>
      <c r="DD2" s="1">
        <v>8.64</v>
      </c>
      <c r="DE2" s="1">
        <v>25.92</v>
      </c>
      <c r="DF2" s="1">
        <v>86.4</v>
      </c>
      <c r="DG2" s="1">
        <v>8.6400000000000001E-3</v>
      </c>
      <c r="DH2" s="1">
        <v>2.5919999999999999E-2</v>
      </c>
      <c r="DI2" s="1">
        <v>8.6400000000000005E-2</v>
      </c>
      <c r="DJ2" s="1">
        <v>0.25919999999999999</v>
      </c>
      <c r="DK2" s="1">
        <v>0.86399999999999999</v>
      </c>
      <c r="DL2" s="1">
        <v>2.5920000000000001</v>
      </c>
      <c r="DM2" s="1">
        <v>8.64</v>
      </c>
      <c r="DN2" s="1">
        <v>25.92</v>
      </c>
      <c r="DO2" s="1">
        <v>86.4</v>
      </c>
      <c r="DP2" s="1">
        <v>8.6400000000000001E-3</v>
      </c>
      <c r="DQ2" s="1">
        <v>2.5919999999999999E-2</v>
      </c>
      <c r="DR2" s="1">
        <v>8.6400000000000005E-2</v>
      </c>
      <c r="DS2" s="1">
        <v>0.25919999999999999</v>
      </c>
      <c r="DT2" s="1">
        <v>0.86399999999999999</v>
      </c>
      <c r="DU2" s="1">
        <v>2.5920000000000001</v>
      </c>
      <c r="DV2" s="1">
        <v>8.64</v>
      </c>
      <c r="DW2" s="1">
        <v>25.92</v>
      </c>
      <c r="DX2" s="1">
        <v>86.4</v>
      </c>
      <c r="DY2" s="1">
        <v>8.6400000000000001E-3</v>
      </c>
      <c r="DZ2" s="1">
        <v>2.5919999999999999E-2</v>
      </c>
      <c r="EA2" s="1">
        <v>8.6400000000000005E-2</v>
      </c>
      <c r="EB2" s="1">
        <v>0.25919999999999999</v>
      </c>
      <c r="EC2" s="1">
        <v>0.86399999999999999</v>
      </c>
      <c r="ED2" s="1">
        <v>2.5920000000000001</v>
      </c>
      <c r="EE2" s="1">
        <v>8.64</v>
      </c>
      <c r="EF2" s="1">
        <v>25.92</v>
      </c>
      <c r="EG2" s="1">
        <v>86.4</v>
      </c>
      <c r="EH2" s="1">
        <v>8.6400000000000001E-3</v>
      </c>
      <c r="EI2" s="1">
        <v>2.5919999999999999E-2</v>
      </c>
      <c r="EJ2" s="1">
        <v>8.6400000000000005E-2</v>
      </c>
      <c r="EK2" s="1">
        <v>0.25919999999999999</v>
      </c>
      <c r="EL2" s="1">
        <v>0.86399999999999999</v>
      </c>
      <c r="EM2" s="1">
        <v>2.5920000000000001</v>
      </c>
      <c r="EN2" s="1">
        <v>8.64</v>
      </c>
      <c r="EO2" s="1">
        <v>25.92</v>
      </c>
      <c r="EP2" s="1">
        <v>86.4</v>
      </c>
      <c r="EQ2" s="1">
        <v>8.6400000000000001E-3</v>
      </c>
      <c r="ER2" s="1">
        <v>2.5919999999999999E-2</v>
      </c>
      <c r="ES2" s="1">
        <v>8.6400000000000005E-2</v>
      </c>
      <c r="ET2" s="1">
        <v>0.25919999999999999</v>
      </c>
      <c r="EU2" s="1">
        <v>0.86399999999999999</v>
      </c>
      <c r="EV2" s="1">
        <v>2.5920000000000001</v>
      </c>
      <c r="EW2" s="1">
        <v>8.64</v>
      </c>
      <c r="EX2" s="1">
        <v>25.92</v>
      </c>
      <c r="EY2" s="1">
        <v>86.4</v>
      </c>
      <c r="EZ2" s="1">
        <v>8.6400000000000001E-3</v>
      </c>
      <c r="FA2" s="1">
        <v>2.5919999999999999E-2</v>
      </c>
      <c r="FB2" s="1">
        <v>8.6400000000000005E-2</v>
      </c>
      <c r="FC2" s="1">
        <v>0.25919999999999999</v>
      </c>
      <c r="FD2" s="1">
        <v>0.86399999999999999</v>
      </c>
      <c r="FE2" s="1">
        <v>2.5920000000000001</v>
      </c>
      <c r="FF2" s="1">
        <v>8.64</v>
      </c>
      <c r="FG2" s="1">
        <v>25.92</v>
      </c>
      <c r="FH2" s="1">
        <v>86.4</v>
      </c>
      <c r="FI2" s="1">
        <v>8.6400000000000001E-3</v>
      </c>
      <c r="FJ2" s="1">
        <v>2.5919999999999999E-2</v>
      </c>
      <c r="FK2" s="1">
        <v>8.6400000000000005E-2</v>
      </c>
      <c r="FL2" s="1">
        <v>0.25919999999999999</v>
      </c>
      <c r="FM2" s="1">
        <v>0.86399999999999999</v>
      </c>
      <c r="FN2" s="1">
        <v>2.5920000000000001</v>
      </c>
      <c r="FO2" s="1">
        <v>8.64</v>
      </c>
      <c r="FP2" s="1">
        <v>25.92</v>
      </c>
      <c r="FQ2" s="1">
        <v>86.4</v>
      </c>
      <c r="FR2" s="1">
        <v>43.2</v>
      </c>
      <c r="FS2" s="1">
        <v>43.2</v>
      </c>
      <c r="FT2" s="1">
        <v>43.2</v>
      </c>
      <c r="FU2" s="1">
        <v>43.2</v>
      </c>
      <c r="FV2" s="1">
        <v>43.2</v>
      </c>
      <c r="FW2" s="1">
        <v>43.2</v>
      </c>
      <c r="FX2" s="1">
        <v>43.2</v>
      </c>
      <c r="FY2" s="1">
        <v>43.2</v>
      </c>
      <c r="FZ2" s="1">
        <v>43.2</v>
      </c>
      <c r="GA2" s="1">
        <v>43.2</v>
      </c>
      <c r="GB2" s="1">
        <v>43.2</v>
      </c>
      <c r="GC2" s="1">
        <v>43.2</v>
      </c>
      <c r="GD2" s="1">
        <v>43.2</v>
      </c>
      <c r="GE2" s="1">
        <v>43.2</v>
      </c>
      <c r="GF2" s="1">
        <v>43.2</v>
      </c>
    </row>
    <row r="3" spans="1:188" x14ac:dyDescent="0.45">
      <c r="A3" t="s">
        <v>555</v>
      </c>
      <c r="B3">
        <v>36000</v>
      </c>
      <c r="C3" s="1">
        <v>3.1683849107460839E-4</v>
      </c>
      <c r="D3" s="1">
        <v>3.1683849107460841E-6</v>
      </c>
      <c r="E3" s="1">
        <v>3.1683849107460839E-4</v>
      </c>
      <c r="F3" s="1">
        <v>3.1683849107460841E-6</v>
      </c>
      <c r="G3" s="1">
        <v>3.1683849107460839E-4</v>
      </c>
      <c r="H3" s="2">
        <v>2</v>
      </c>
      <c r="I3">
        <v>36000</v>
      </c>
      <c r="K3">
        <v>1</v>
      </c>
      <c r="L3">
        <v>7560000</v>
      </c>
      <c r="M3">
        <v>210</v>
      </c>
      <c r="N3">
        <v>1</v>
      </c>
      <c r="O3" t="s">
        <v>556</v>
      </c>
      <c r="R3" t="s">
        <v>374</v>
      </c>
      <c r="S3">
        <v>20000000</v>
      </c>
      <c r="U3">
        <v>1951</v>
      </c>
      <c r="V3">
        <v>360</v>
      </c>
      <c r="W3" s="1">
        <v>5.9297851039605948E-4</v>
      </c>
      <c r="X3" s="1">
        <f t="shared" si="0"/>
        <v>5.9297851039605949E-6</v>
      </c>
      <c r="Y3" s="1">
        <f t="shared" si="1"/>
        <v>5.9297851039605948E-4</v>
      </c>
      <c r="Z3" s="1">
        <f t="shared" si="2"/>
        <v>5.9297851039605949E-6</v>
      </c>
      <c r="AA3" s="1">
        <f t="shared" si="3"/>
        <v>5.9297851039605948E-4</v>
      </c>
      <c r="AC3">
        <v>1</v>
      </c>
      <c r="AD3">
        <v>20160</v>
      </c>
      <c r="AE3">
        <v>56</v>
      </c>
      <c r="AF3">
        <v>1</v>
      </c>
      <c r="AG3" t="s">
        <v>557</v>
      </c>
      <c r="AJ3" t="s">
        <v>374</v>
      </c>
      <c r="AK3">
        <v>20000000</v>
      </c>
      <c r="AM3" s="10">
        <v>8.6399999999999999E-9</v>
      </c>
      <c r="AN3" s="10">
        <v>8.6399999999999999E-9</v>
      </c>
      <c r="AO3" s="10">
        <v>8.6399999999999999E-9</v>
      </c>
      <c r="AP3" s="10">
        <v>8.6399999999999999E-9</v>
      </c>
      <c r="AQ3" s="10">
        <v>8.6399999999999999E-9</v>
      </c>
      <c r="AR3" s="10">
        <v>8.6399999999999999E-9</v>
      </c>
      <c r="AS3" s="10">
        <v>8.6399999999999999E-9</v>
      </c>
      <c r="AT3" s="10">
        <v>8.6399999999999999E-9</v>
      </c>
      <c r="AU3" s="10">
        <v>8.6399999999999999E-9</v>
      </c>
      <c r="AV3" s="10">
        <v>2.592E-8</v>
      </c>
      <c r="AW3" s="10">
        <v>2.592E-8</v>
      </c>
      <c r="AX3" s="10">
        <v>2.592E-8</v>
      </c>
      <c r="AY3" s="10">
        <v>2.592E-8</v>
      </c>
      <c r="AZ3" s="10">
        <v>2.592E-8</v>
      </c>
      <c r="BA3" s="10">
        <v>2.592E-8</v>
      </c>
      <c r="BB3" s="10">
        <v>2.592E-8</v>
      </c>
      <c r="BC3" s="10">
        <v>2.592E-8</v>
      </c>
      <c r="BD3" s="10">
        <v>2.592E-8</v>
      </c>
      <c r="BE3" s="10">
        <v>8.6400000000000006E-8</v>
      </c>
      <c r="BF3" s="10">
        <v>8.6400000000000006E-8</v>
      </c>
      <c r="BG3" s="10">
        <v>8.6400000000000006E-8</v>
      </c>
      <c r="BH3" s="10">
        <v>8.6400000000000006E-8</v>
      </c>
      <c r="BI3" s="10">
        <v>8.6400000000000006E-8</v>
      </c>
      <c r="BJ3" s="10">
        <v>8.6400000000000006E-8</v>
      </c>
      <c r="BK3" s="10">
        <v>8.6400000000000006E-8</v>
      </c>
      <c r="BL3" s="10">
        <v>8.6400000000000006E-8</v>
      </c>
      <c r="BM3" s="10">
        <v>8.6400000000000006E-8</v>
      </c>
      <c r="BN3" s="10">
        <v>2.5919999999999999E-7</v>
      </c>
      <c r="BO3" s="10">
        <v>2.5919999999999999E-7</v>
      </c>
      <c r="BP3" s="10">
        <v>2.5919999999999999E-7</v>
      </c>
      <c r="BQ3" s="10">
        <v>2.5919999999999999E-7</v>
      </c>
      <c r="BR3" s="10">
        <v>2.5919999999999999E-7</v>
      </c>
      <c r="BS3" s="10">
        <v>2.5919999999999999E-7</v>
      </c>
      <c r="BT3" s="10">
        <v>2.5919999999999999E-7</v>
      </c>
      <c r="BU3" s="10">
        <v>2.5919999999999999E-7</v>
      </c>
      <c r="BV3" s="10">
        <v>2.5919999999999999E-7</v>
      </c>
      <c r="BW3" s="10">
        <v>8.6400000000000001E-7</v>
      </c>
      <c r="BX3" s="10">
        <v>8.6400000000000001E-7</v>
      </c>
      <c r="BY3" s="10">
        <v>8.6400000000000001E-7</v>
      </c>
      <c r="BZ3" s="10">
        <v>8.6400000000000001E-7</v>
      </c>
      <c r="CA3" s="10">
        <v>8.6400000000000001E-7</v>
      </c>
      <c r="CB3" s="10">
        <v>8.6400000000000001E-7</v>
      </c>
      <c r="CC3" s="10">
        <v>8.6400000000000001E-7</v>
      </c>
      <c r="CD3" s="10">
        <v>8.6400000000000001E-7</v>
      </c>
      <c r="CE3" s="10">
        <v>8.6400000000000001E-7</v>
      </c>
      <c r="CF3" s="10">
        <v>2.5919999999999999E-6</v>
      </c>
      <c r="CG3" s="10">
        <v>2.5919999999999999E-6</v>
      </c>
      <c r="CH3" s="10">
        <v>2.5919999999999999E-6</v>
      </c>
      <c r="CI3" s="10">
        <v>2.5919999999999999E-6</v>
      </c>
      <c r="CJ3" s="10">
        <v>2.5919999999999999E-6</v>
      </c>
      <c r="CK3" s="10">
        <v>2.5919999999999999E-6</v>
      </c>
      <c r="CL3" s="10">
        <v>2.5919999999999999E-6</v>
      </c>
      <c r="CM3" s="10">
        <v>2.5919999999999999E-6</v>
      </c>
      <c r="CN3" s="10">
        <v>2.5919999999999999E-6</v>
      </c>
      <c r="CO3" s="10">
        <v>8.6400000000000003E-6</v>
      </c>
      <c r="CP3" s="10">
        <v>8.6400000000000003E-6</v>
      </c>
      <c r="CQ3" s="10">
        <v>8.6400000000000003E-6</v>
      </c>
      <c r="CR3" s="10">
        <v>8.6400000000000003E-6</v>
      </c>
      <c r="CS3" s="10">
        <v>8.6400000000000003E-6</v>
      </c>
      <c r="CT3" s="10">
        <v>8.6400000000000003E-6</v>
      </c>
      <c r="CU3" s="10">
        <v>8.6400000000000003E-6</v>
      </c>
      <c r="CV3" s="10">
        <v>8.6400000000000003E-6</v>
      </c>
      <c r="CW3" s="10">
        <v>8.6400000000000003E-6</v>
      </c>
      <c r="CX3" s="10">
        <v>2.5919999999999999E-5</v>
      </c>
      <c r="CY3" s="10">
        <v>2.5919999999999999E-5</v>
      </c>
      <c r="CZ3" s="10">
        <v>2.5919999999999999E-5</v>
      </c>
      <c r="DA3" s="10">
        <v>2.5919999999999999E-5</v>
      </c>
      <c r="DB3" s="10">
        <v>2.5919999999999999E-5</v>
      </c>
      <c r="DC3" s="10">
        <v>2.5919999999999999E-5</v>
      </c>
      <c r="DD3" s="10">
        <v>2.5919999999999999E-5</v>
      </c>
      <c r="DE3" s="10">
        <v>2.5919999999999999E-5</v>
      </c>
      <c r="DF3" s="10">
        <v>2.5919999999999999E-5</v>
      </c>
      <c r="DG3" s="10">
        <v>8.6399999999999999E-5</v>
      </c>
      <c r="DH3" s="10">
        <v>8.6399999999999999E-5</v>
      </c>
      <c r="DI3" s="10">
        <v>8.6399999999999999E-5</v>
      </c>
      <c r="DJ3" s="10">
        <v>8.6399999999999999E-5</v>
      </c>
      <c r="DK3" s="10">
        <v>8.6399999999999999E-5</v>
      </c>
      <c r="DL3" s="10">
        <v>8.6399999999999999E-5</v>
      </c>
      <c r="DM3" s="10">
        <v>8.6399999999999999E-5</v>
      </c>
      <c r="DN3" s="10">
        <v>8.6399999999999999E-5</v>
      </c>
      <c r="DO3" s="10">
        <v>8.6399999999999999E-5</v>
      </c>
      <c r="DP3" s="10">
        <v>2.5920000000000001E-4</v>
      </c>
      <c r="DQ3" s="10">
        <v>2.5920000000000001E-4</v>
      </c>
      <c r="DR3" s="10">
        <v>2.5920000000000001E-4</v>
      </c>
      <c r="DS3" s="10">
        <v>2.5920000000000001E-4</v>
      </c>
      <c r="DT3" s="10">
        <v>2.5920000000000001E-4</v>
      </c>
      <c r="DU3" s="10">
        <v>2.5920000000000001E-4</v>
      </c>
      <c r="DV3" s="10">
        <v>2.5920000000000001E-4</v>
      </c>
      <c r="DW3" s="10">
        <v>2.5920000000000001E-4</v>
      </c>
      <c r="DX3" s="10">
        <v>2.5920000000000001E-4</v>
      </c>
      <c r="DY3" s="10">
        <v>8.6399999999999997E-4</v>
      </c>
      <c r="DZ3" s="10">
        <v>8.6399999999999997E-4</v>
      </c>
      <c r="EA3" s="10">
        <v>8.6399999999999997E-4</v>
      </c>
      <c r="EB3" s="10">
        <v>8.6399999999999997E-4</v>
      </c>
      <c r="EC3" s="10">
        <v>8.6399999999999997E-4</v>
      </c>
      <c r="ED3" s="10">
        <v>8.6399999999999997E-4</v>
      </c>
      <c r="EE3" s="10">
        <v>8.6399999999999997E-4</v>
      </c>
      <c r="EF3" s="10">
        <v>8.6399999999999997E-4</v>
      </c>
      <c r="EG3" s="10">
        <v>8.6399999999999997E-4</v>
      </c>
      <c r="EH3" s="10">
        <v>2.5920000000000001E-3</v>
      </c>
      <c r="EI3" s="10">
        <v>2.5920000000000001E-3</v>
      </c>
      <c r="EJ3" s="10">
        <v>2.5920000000000001E-3</v>
      </c>
      <c r="EK3" s="10">
        <v>2.5920000000000001E-3</v>
      </c>
      <c r="EL3" s="10">
        <v>2.5920000000000001E-3</v>
      </c>
      <c r="EM3" s="10">
        <v>2.5920000000000001E-3</v>
      </c>
      <c r="EN3" s="10">
        <v>2.5920000000000001E-3</v>
      </c>
      <c r="EO3" s="10">
        <v>2.5920000000000001E-3</v>
      </c>
      <c r="EP3" s="10">
        <v>2.5920000000000001E-3</v>
      </c>
      <c r="EQ3" s="10">
        <v>8.6400000000000001E-3</v>
      </c>
      <c r="ER3" s="10">
        <v>8.6400000000000001E-3</v>
      </c>
      <c r="ES3" s="10">
        <v>8.6400000000000001E-3</v>
      </c>
      <c r="ET3" s="10">
        <v>8.6400000000000001E-3</v>
      </c>
      <c r="EU3" s="10">
        <v>8.6400000000000001E-3</v>
      </c>
      <c r="EV3" s="10">
        <v>8.6400000000000001E-3</v>
      </c>
      <c r="EW3" s="10">
        <v>8.6400000000000001E-3</v>
      </c>
      <c r="EX3" s="10">
        <v>8.6400000000000001E-3</v>
      </c>
      <c r="EY3" s="10">
        <v>8.6400000000000001E-3</v>
      </c>
      <c r="EZ3" s="10">
        <v>2.5919999999999999E-2</v>
      </c>
      <c r="FA3" s="10">
        <v>2.5919999999999999E-2</v>
      </c>
      <c r="FB3" s="10">
        <v>2.5919999999999999E-2</v>
      </c>
      <c r="FC3" s="10">
        <v>2.5919999999999999E-2</v>
      </c>
      <c r="FD3" s="10">
        <v>2.5919999999999999E-2</v>
      </c>
      <c r="FE3" s="10">
        <v>2.5919999999999999E-2</v>
      </c>
      <c r="FF3" s="10">
        <v>2.5919999999999999E-2</v>
      </c>
      <c r="FG3" s="10">
        <v>2.5919999999999999E-2</v>
      </c>
      <c r="FH3" s="10">
        <v>2.5919999999999999E-2</v>
      </c>
      <c r="FI3" s="10">
        <v>8.6400000000000005E-2</v>
      </c>
      <c r="FJ3" s="10">
        <v>8.6400000000000005E-2</v>
      </c>
      <c r="FK3" s="10">
        <v>8.6400000000000005E-2</v>
      </c>
      <c r="FL3" s="10">
        <v>8.6400000000000005E-2</v>
      </c>
      <c r="FM3" s="10">
        <v>8.6400000000000005E-2</v>
      </c>
      <c r="FN3" s="10">
        <v>8.6400000000000005E-2</v>
      </c>
      <c r="FO3" s="10">
        <v>8.6400000000000005E-2</v>
      </c>
      <c r="FP3" s="10">
        <v>8.6400000000000005E-2</v>
      </c>
      <c r="FQ3" s="10">
        <v>8.6400000000000005E-2</v>
      </c>
      <c r="FR3" s="1">
        <v>8.6399999999999999E-9</v>
      </c>
      <c r="FS3" s="1">
        <v>2.592E-8</v>
      </c>
      <c r="FT3" s="1">
        <v>8.6399999999999993E-8</v>
      </c>
      <c r="FU3" s="1">
        <v>2.5919999999999999E-7</v>
      </c>
      <c r="FV3" s="1">
        <v>8.639999999999999E-7</v>
      </c>
      <c r="FW3" s="1">
        <v>2.5919999999999999E-6</v>
      </c>
      <c r="FX3" s="1">
        <v>8.6400000000000003E-6</v>
      </c>
      <c r="FY3" s="1">
        <v>2.5919999999999999E-5</v>
      </c>
      <c r="FZ3" s="1">
        <v>8.6399999999999999E-5</v>
      </c>
      <c r="GA3" s="1">
        <v>2.5920000000000001E-4</v>
      </c>
      <c r="GB3" s="1">
        <v>8.6399999999999997E-4</v>
      </c>
      <c r="GC3" s="1">
        <v>2.5920000000000001E-3</v>
      </c>
      <c r="GD3" s="1">
        <v>8.6400000000000001E-3</v>
      </c>
      <c r="GE3" s="1">
        <v>2.5919999999999999E-2</v>
      </c>
      <c r="GF3" s="1">
        <v>8.6399999999999991E-2</v>
      </c>
    </row>
    <row r="4" spans="1:188" x14ac:dyDescent="0.45">
      <c r="A4" t="s">
        <v>558</v>
      </c>
      <c r="B4">
        <v>72000</v>
      </c>
      <c r="C4" s="1">
        <v>3.0706776290785679E-4</v>
      </c>
      <c r="D4" s="1">
        <v>3.070677629078568E-6</v>
      </c>
      <c r="E4" s="1">
        <v>3.0706776290785679E-4</v>
      </c>
      <c r="F4" s="1">
        <v>3.070677629078568E-6</v>
      </c>
      <c r="G4" s="1">
        <v>3.0706776290785679E-4</v>
      </c>
      <c r="H4" s="2">
        <v>3</v>
      </c>
      <c r="I4">
        <v>36000</v>
      </c>
      <c r="K4">
        <v>2</v>
      </c>
      <c r="L4">
        <v>20160</v>
      </c>
      <c r="M4">
        <v>56</v>
      </c>
      <c r="N4">
        <v>1</v>
      </c>
      <c r="O4" t="s">
        <v>557</v>
      </c>
      <c r="R4" t="s">
        <v>375</v>
      </c>
      <c r="S4">
        <v>0</v>
      </c>
      <c r="U4">
        <v>1952</v>
      </c>
      <c r="V4">
        <v>720</v>
      </c>
      <c r="W4" s="1">
        <v>5.7784216108986981E-4</v>
      </c>
      <c r="X4" s="1">
        <f t="shared" si="0"/>
        <v>5.7784216108986984E-6</v>
      </c>
      <c r="Y4" s="1">
        <f t="shared" si="1"/>
        <v>5.7784216108986981E-4</v>
      </c>
      <c r="Z4" s="1">
        <f t="shared" si="2"/>
        <v>5.7784216108986984E-6</v>
      </c>
      <c r="AA4" s="1">
        <f t="shared" si="3"/>
        <v>5.7784216108986981E-4</v>
      </c>
      <c r="AC4">
        <v>2</v>
      </c>
      <c r="AD4">
        <v>34200</v>
      </c>
      <c r="AE4">
        <v>95</v>
      </c>
      <c r="AF4">
        <v>1</v>
      </c>
      <c r="AG4" t="s">
        <v>559</v>
      </c>
      <c r="AJ4" t="s">
        <v>375</v>
      </c>
      <c r="AK4">
        <v>0</v>
      </c>
      <c r="AM4" s="1">
        <v>8.6400000000000001E-3</v>
      </c>
      <c r="AN4" s="1">
        <v>2.5919999999999999E-2</v>
      </c>
      <c r="AO4" s="1">
        <v>8.6400000000000005E-2</v>
      </c>
      <c r="AP4" s="1">
        <v>0.25919999999999999</v>
      </c>
      <c r="AQ4" s="1">
        <v>0.86399999999999999</v>
      </c>
      <c r="AR4" s="1">
        <v>2.5920000000000001</v>
      </c>
      <c r="AS4" s="1">
        <v>8.64</v>
      </c>
      <c r="AT4" s="1">
        <v>25.92</v>
      </c>
      <c r="AU4" s="1">
        <v>86.4</v>
      </c>
      <c r="AV4" s="1">
        <v>8.6400000000000001E-3</v>
      </c>
      <c r="AW4" s="1">
        <v>2.5919999999999999E-2</v>
      </c>
      <c r="AX4" s="1">
        <v>8.6400000000000005E-2</v>
      </c>
      <c r="AY4" s="1">
        <v>0.25919999999999999</v>
      </c>
      <c r="AZ4" s="1">
        <v>0.86399999999999999</v>
      </c>
      <c r="BA4" s="1">
        <v>2.5920000000000001</v>
      </c>
      <c r="BB4" s="1">
        <v>8.64</v>
      </c>
      <c r="BC4" s="1">
        <v>25.92</v>
      </c>
      <c r="BD4" s="1">
        <v>86.4</v>
      </c>
      <c r="BE4" s="1">
        <v>8.6400000000000001E-3</v>
      </c>
      <c r="BF4" s="1">
        <v>2.5919999999999999E-2</v>
      </c>
      <c r="BG4" s="1">
        <v>8.6400000000000005E-2</v>
      </c>
      <c r="BH4" s="1">
        <v>0.25919999999999999</v>
      </c>
      <c r="BI4" s="1">
        <v>0.86399999999999999</v>
      </c>
      <c r="BJ4" s="1">
        <v>2.5920000000000001</v>
      </c>
      <c r="BK4" s="1">
        <v>8.64</v>
      </c>
      <c r="BL4" s="1">
        <v>25.92</v>
      </c>
      <c r="BM4" s="1">
        <v>86.4</v>
      </c>
      <c r="BN4" s="1">
        <v>8.6400000000000001E-3</v>
      </c>
      <c r="BO4" s="1">
        <v>2.5919999999999999E-2</v>
      </c>
      <c r="BP4" s="1">
        <v>8.6400000000000005E-2</v>
      </c>
      <c r="BQ4" s="1">
        <v>0.25919999999999999</v>
      </c>
      <c r="BR4" s="1">
        <v>0.86399999999999999</v>
      </c>
      <c r="BS4" s="1">
        <v>2.5920000000000001</v>
      </c>
      <c r="BT4" s="1">
        <v>8.64</v>
      </c>
      <c r="BU4" s="1">
        <v>25.92</v>
      </c>
      <c r="BV4" s="1">
        <v>86.4</v>
      </c>
      <c r="BW4" s="1">
        <v>8.6400000000000001E-3</v>
      </c>
      <c r="BX4" s="1">
        <v>2.5919999999999999E-2</v>
      </c>
      <c r="BY4" s="1">
        <v>8.6400000000000005E-2</v>
      </c>
      <c r="BZ4" s="1">
        <v>0.25919999999999999</v>
      </c>
      <c r="CA4" s="1">
        <v>0.86399999999999999</v>
      </c>
      <c r="CB4" s="1">
        <v>2.5920000000000001</v>
      </c>
      <c r="CC4" s="1">
        <v>8.64</v>
      </c>
      <c r="CD4" s="1">
        <v>25.92</v>
      </c>
      <c r="CE4" s="1">
        <v>86.4</v>
      </c>
      <c r="CF4" s="1">
        <v>8.6400000000000001E-3</v>
      </c>
      <c r="CG4" s="1">
        <v>2.5919999999999999E-2</v>
      </c>
      <c r="CH4" s="1">
        <v>8.6400000000000005E-2</v>
      </c>
      <c r="CI4" s="1">
        <v>0.25919999999999999</v>
      </c>
      <c r="CJ4" s="1">
        <v>0.86399999999999999</v>
      </c>
      <c r="CK4" s="1">
        <v>2.5920000000000001</v>
      </c>
      <c r="CL4" s="1">
        <v>8.64</v>
      </c>
      <c r="CM4" s="1">
        <v>25.92</v>
      </c>
      <c r="CN4" s="1">
        <v>86.4</v>
      </c>
      <c r="CO4" s="1">
        <v>8.6400000000000001E-3</v>
      </c>
      <c r="CP4" s="1">
        <v>2.5919999999999999E-2</v>
      </c>
      <c r="CQ4" s="1">
        <v>8.6400000000000005E-2</v>
      </c>
      <c r="CR4" s="1">
        <v>0.25919999999999999</v>
      </c>
      <c r="CS4" s="1">
        <v>0.86399999999999999</v>
      </c>
      <c r="CT4" s="1">
        <v>2.5920000000000001</v>
      </c>
      <c r="CU4" s="1">
        <v>8.64</v>
      </c>
      <c r="CV4" s="1">
        <v>25.92</v>
      </c>
      <c r="CW4" s="1">
        <v>86.4</v>
      </c>
      <c r="CX4" s="1">
        <v>8.6400000000000001E-3</v>
      </c>
      <c r="CY4" s="1">
        <v>2.5919999999999999E-2</v>
      </c>
      <c r="CZ4" s="1">
        <v>8.6400000000000005E-2</v>
      </c>
      <c r="DA4" s="1">
        <v>0.25919999999999999</v>
      </c>
      <c r="DB4" s="1">
        <v>0.86399999999999999</v>
      </c>
      <c r="DC4" s="1">
        <v>2.5920000000000001</v>
      </c>
      <c r="DD4" s="1">
        <v>8.64</v>
      </c>
      <c r="DE4" s="1">
        <v>25.92</v>
      </c>
      <c r="DF4" s="1">
        <v>86.4</v>
      </c>
      <c r="DG4" s="1">
        <v>8.6400000000000001E-3</v>
      </c>
      <c r="DH4" s="1">
        <v>2.5919999999999999E-2</v>
      </c>
      <c r="DI4" s="1">
        <v>8.6400000000000005E-2</v>
      </c>
      <c r="DJ4" s="1">
        <v>0.25919999999999999</v>
      </c>
      <c r="DK4" s="1">
        <v>0.86399999999999999</v>
      </c>
      <c r="DL4" s="1">
        <v>2.5920000000000001</v>
      </c>
      <c r="DM4" s="1">
        <v>8.64</v>
      </c>
      <c r="DN4" s="1">
        <v>25.92</v>
      </c>
      <c r="DO4" s="1">
        <v>86.4</v>
      </c>
      <c r="DP4" s="1">
        <v>8.6400000000000001E-3</v>
      </c>
      <c r="DQ4" s="1">
        <v>2.5919999999999999E-2</v>
      </c>
      <c r="DR4" s="1">
        <v>8.6400000000000005E-2</v>
      </c>
      <c r="DS4" s="1">
        <v>0.25919999999999999</v>
      </c>
      <c r="DT4" s="1">
        <v>0.86399999999999999</v>
      </c>
      <c r="DU4" s="1">
        <v>2.5920000000000001</v>
      </c>
      <c r="DV4" s="1">
        <v>8.64</v>
      </c>
      <c r="DW4" s="1">
        <v>25.92</v>
      </c>
      <c r="DX4" s="1">
        <v>86.4</v>
      </c>
      <c r="DY4" s="1">
        <v>8.6400000000000001E-3</v>
      </c>
      <c r="DZ4" s="1">
        <v>2.5919999999999999E-2</v>
      </c>
      <c r="EA4" s="1">
        <v>8.6400000000000005E-2</v>
      </c>
      <c r="EB4" s="1">
        <v>0.25919999999999999</v>
      </c>
      <c r="EC4" s="1">
        <v>0.86399999999999999</v>
      </c>
      <c r="ED4" s="1">
        <v>2.5920000000000001</v>
      </c>
      <c r="EE4" s="1">
        <v>8.64</v>
      </c>
      <c r="EF4" s="1">
        <v>25.92</v>
      </c>
      <c r="EG4" s="1">
        <v>86.4</v>
      </c>
      <c r="EH4" s="1">
        <v>8.6400000000000001E-3</v>
      </c>
      <c r="EI4" s="1">
        <v>2.5919999999999999E-2</v>
      </c>
      <c r="EJ4" s="1">
        <v>8.6400000000000005E-2</v>
      </c>
      <c r="EK4" s="1">
        <v>0.25919999999999999</v>
      </c>
      <c r="EL4" s="1">
        <v>0.86399999999999999</v>
      </c>
      <c r="EM4" s="1">
        <v>2.5920000000000001</v>
      </c>
      <c r="EN4" s="1">
        <v>8.64</v>
      </c>
      <c r="EO4" s="1">
        <v>25.92</v>
      </c>
      <c r="EP4" s="1">
        <v>86.4</v>
      </c>
      <c r="EQ4" s="1">
        <v>8.6400000000000001E-3</v>
      </c>
      <c r="ER4" s="1">
        <v>2.5919999999999999E-2</v>
      </c>
      <c r="ES4" s="1">
        <v>8.6400000000000005E-2</v>
      </c>
      <c r="ET4" s="1">
        <v>0.25919999999999999</v>
      </c>
      <c r="EU4" s="1">
        <v>0.86399999999999999</v>
      </c>
      <c r="EV4" s="1">
        <v>2.5920000000000001</v>
      </c>
      <c r="EW4" s="1">
        <v>8.64</v>
      </c>
      <c r="EX4" s="1">
        <v>25.92</v>
      </c>
      <c r="EY4" s="1">
        <v>86.4</v>
      </c>
      <c r="EZ4" s="1">
        <v>8.6400000000000001E-3</v>
      </c>
      <c r="FA4" s="1">
        <v>2.5919999999999999E-2</v>
      </c>
      <c r="FB4" s="1">
        <v>8.6400000000000005E-2</v>
      </c>
      <c r="FC4" s="1">
        <v>0.25919999999999999</v>
      </c>
      <c r="FD4" s="1">
        <v>0.86399999999999999</v>
      </c>
      <c r="FE4" s="1">
        <v>2.5920000000000001</v>
      </c>
      <c r="FF4" s="1">
        <v>8.64</v>
      </c>
      <c r="FG4" s="1">
        <v>25.92</v>
      </c>
      <c r="FH4" s="1">
        <v>86.4</v>
      </c>
      <c r="FI4" s="1">
        <v>8.6400000000000001E-3</v>
      </c>
      <c r="FJ4" s="1">
        <v>2.5919999999999999E-2</v>
      </c>
      <c r="FK4" s="1">
        <v>8.6400000000000005E-2</v>
      </c>
      <c r="FL4" s="1">
        <v>0.25919999999999999</v>
      </c>
      <c r="FM4" s="1">
        <v>0.86399999999999999</v>
      </c>
      <c r="FN4" s="1">
        <v>2.5920000000000001</v>
      </c>
      <c r="FO4" s="1">
        <v>8.64</v>
      </c>
      <c r="FP4" s="1">
        <v>25.92</v>
      </c>
      <c r="FQ4" s="1">
        <v>86.4</v>
      </c>
      <c r="FR4" s="1">
        <v>43.2</v>
      </c>
      <c r="FS4" s="1">
        <v>43.2</v>
      </c>
      <c r="FT4" s="1">
        <v>43.2</v>
      </c>
      <c r="FU4" s="1">
        <v>43.2</v>
      </c>
      <c r="FV4" s="1">
        <v>43.2</v>
      </c>
      <c r="FW4" s="1">
        <v>43.2</v>
      </c>
      <c r="FX4" s="1">
        <v>43.2</v>
      </c>
      <c r="FY4" s="1">
        <v>43.2</v>
      </c>
      <c r="FZ4" s="1">
        <v>43.2</v>
      </c>
      <c r="GA4" s="1">
        <v>43.2</v>
      </c>
      <c r="GB4" s="1">
        <v>43.2</v>
      </c>
      <c r="GC4" s="1">
        <v>43.2</v>
      </c>
      <c r="GD4" s="1">
        <v>43.2</v>
      </c>
      <c r="GE4" s="1">
        <v>43.2</v>
      </c>
      <c r="GF4" s="1">
        <v>43.2</v>
      </c>
    </row>
    <row r="5" spans="1:188" x14ac:dyDescent="0.45">
      <c r="A5" t="s">
        <v>560</v>
      </c>
      <c r="B5">
        <v>108000</v>
      </c>
      <c r="C5" s="1">
        <v>3.4876266125087818E-4</v>
      </c>
      <c r="D5" s="1">
        <v>3.487626612508782E-6</v>
      </c>
      <c r="E5" s="1">
        <v>3.4876266125087818E-4</v>
      </c>
      <c r="F5" s="1">
        <v>3.487626612508782E-6</v>
      </c>
      <c r="G5" s="1">
        <v>3.4876266125087818E-4</v>
      </c>
      <c r="H5" s="2">
        <v>4</v>
      </c>
      <c r="I5">
        <v>36000</v>
      </c>
      <c r="K5">
        <v>3</v>
      </c>
      <c r="L5">
        <v>34200</v>
      </c>
      <c r="M5">
        <v>95</v>
      </c>
      <c r="N5">
        <v>1</v>
      </c>
      <c r="O5" t="s">
        <v>559</v>
      </c>
      <c r="R5" t="s">
        <v>375</v>
      </c>
      <c r="S5">
        <v>7587000</v>
      </c>
      <c r="U5">
        <v>1953</v>
      </c>
      <c r="V5">
        <v>1080</v>
      </c>
      <c r="W5" s="1">
        <v>7.01225780780004E-4</v>
      </c>
      <c r="X5" s="1">
        <f t="shared" si="0"/>
        <v>7.0122578078000401E-6</v>
      </c>
      <c r="Y5" s="1">
        <f t="shared" si="1"/>
        <v>7.01225780780004E-4</v>
      </c>
      <c r="Z5" s="1">
        <f t="shared" si="2"/>
        <v>7.0122578078000401E-6</v>
      </c>
      <c r="AA5" s="1">
        <f t="shared" si="3"/>
        <v>7.01225780780004E-4</v>
      </c>
      <c r="AC5">
        <v>3</v>
      </c>
      <c r="AD5">
        <v>3186000</v>
      </c>
      <c r="AE5">
        <v>100</v>
      </c>
      <c r="AF5">
        <v>1</v>
      </c>
      <c r="AG5" t="s">
        <v>561</v>
      </c>
      <c r="AJ5" t="s">
        <v>375</v>
      </c>
      <c r="AK5">
        <v>27000</v>
      </c>
      <c r="AM5" s="10">
        <v>8.6399999999999999E-9</v>
      </c>
      <c r="AN5" s="10">
        <v>8.6399999999999999E-9</v>
      </c>
      <c r="AO5" s="10">
        <v>8.6399999999999999E-9</v>
      </c>
      <c r="AP5" s="10">
        <v>8.6399999999999999E-9</v>
      </c>
      <c r="AQ5" s="10">
        <v>8.6399999999999999E-9</v>
      </c>
      <c r="AR5" s="10">
        <v>8.6399999999999999E-9</v>
      </c>
      <c r="AS5" s="10">
        <v>8.6399999999999999E-9</v>
      </c>
      <c r="AT5" s="10">
        <v>8.6399999999999999E-9</v>
      </c>
      <c r="AU5" s="10">
        <v>8.6399999999999999E-9</v>
      </c>
      <c r="AV5" s="10">
        <v>2.592E-8</v>
      </c>
      <c r="AW5" s="10">
        <v>2.592E-8</v>
      </c>
      <c r="AX5" s="10">
        <v>2.592E-8</v>
      </c>
      <c r="AY5" s="10">
        <v>2.592E-8</v>
      </c>
      <c r="AZ5" s="10">
        <v>2.592E-8</v>
      </c>
      <c r="BA5" s="10">
        <v>2.592E-8</v>
      </c>
      <c r="BB5" s="10">
        <v>2.592E-8</v>
      </c>
      <c r="BC5" s="10">
        <v>2.592E-8</v>
      </c>
      <c r="BD5" s="10">
        <v>2.592E-8</v>
      </c>
      <c r="BE5" s="10">
        <v>8.6400000000000006E-8</v>
      </c>
      <c r="BF5" s="10">
        <v>8.6400000000000006E-8</v>
      </c>
      <c r="BG5" s="10">
        <v>8.6400000000000006E-8</v>
      </c>
      <c r="BH5" s="10">
        <v>8.6400000000000006E-8</v>
      </c>
      <c r="BI5" s="10">
        <v>8.6400000000000006E-8</v>
      </c>
      <c r="BJ5" s="10">
        <v>8.6400000000000006E-8</v>
      </c>
      <c r="BK5" s="10">
        <v>8.6400000000000006E-8</v>
      </c>
      <c r="BL5" s="10">
        <v>8.6400000000000006E-8</v>
      </c>
      <c r="BM5" s="10">
        <v>8.6400000000000006E-8</v>
      </c>
      <c r="BN5" s="10">
        <v>2.5919999999999999E-7</v>
      </c>
      <c r="BO5" s="10">
        <v>2.5919999999999999E-7</v>
      </c>
      <c r="BP5" s="10">
        <v>2.5919999999999999E-7</v>
      </c>
      <c r="BQ5" s="10">
        <v>2.5919999999999999E-7</v>
      </c>
      <c r="BR5" s="10">
        <v>2.5919999999999999E-7</v>
      </c>
      <c r="BS5" s="10">
        <v>2.5919999999999999E-7</v>
      </c>
      <c r="BT5" s="10">
        <v>2.5919999999999999E-7</v>
      </c>
      <c r="BU5" s="10">
        <v>2.5919999999999999E-7</v>
      </c>
      <c r="BV5" s="10">
        <v>2.5919999999999999E-7</v>
      </c>
      <c r="BW5" s="10">
        <v>8.6400000000000001E-7</v>
      </c>
      <c r="BX5" s="10">
        <v>8.6400000000000001E-7</v>
      </c>
      <c r="BY5" s="10">
        <v>8.6400000000000001E-7</v>
      </c>
      <c r="BZ5" s="10">
        <v>8.6400000000000001E-7</v>
      </c>
      <c r="CA5" s="10">
        <v>8.6400000000000001E-7</v>
      </c>
      <c r="CB5" s="10">
        <v>8.6400000000000001E-7</v>
      </c>
      <c r="CC5" s="10">
        <v>8.6400000000000001E-7</v>
      </c>
      <c r="CD5" s="10">
        <v>8.6400000000000001E-7</v>
      </c>
      <c r="CE5" s="10">
        <v>8.6400000000000001E-7</v>
      </c>
      <c r="CF5" s="10">
        <v>2.5919999999999999E-6</v>
      </c>
      <c r="CG5" s="10">
        <v>2.5919999999999999E-6</v>
      </c>
      <c r="CH5" s="10">
        <v>2.5919999999999999E-6</v>
      </c>
      <c r="CI5" s="10">
        <v>2.5919999999999999E-6</v>
      </c>
      <c r="CJ5" s="10">
        <v>2.5919999999999999E-6</v>
      </c>
      <c r="CK5" s="10">
        <v>2.5919999999999999E-6</v>
      </c>
      <c r="CL5" s="10">
        <v>2.5919999999999999E-6</v>
      </c>
      <c r="CM5" s="10">
        <v>2.5919999999999999E-6</v>
      </c>
      <c r="CN5" s="10">
        <v>2.5919999999999999E-6</v>
      </c>
      <c r="CO5" s="10">
        <v>8.6400000000000003E-6</v>
      </c>
      <c r="CP5" s="10">
        <v>8.6400000000000003E-6</v>
      </c>
      <c r="CQ5" s="10">
        <v>8.6400000000000003E-6</v>
      </c>
      <c r="CR5" s="10">
        <v>8.6400000000000003E-6</v>
      </c>
      <c r="CS5" s="10">
        <v>8.6400000000000003E-6</v>
      </c>
      <c r="CT5" s="10">
        <v>8.6400000000000003E-6</v>
      </c>
      <c r="CU5" s="10">
        <v>8.6400000000000003E-6</v>
      </c>
      <c r="CV5" s="10">
        <v>8.6400000000000003E-6</v>
      </c>
      <c r="CW5" s="10">
        <v>8.6400000000000003E-6</v>
      </c>
      <c r="CX5" s="10">
        <v>2.5919999999999999E-5</v>
      </c>
      <c r="CY5" s="10">
        <v>2.5919999999999999E-5</v>
      </c>
      <c r="CZ5" s="10">
        <v>2.5919999999999999E-5</v>
      </c>
      <c r="DA5" s="10">
        <v>2.5919999999999999E-5</v>
      </c>
      <c r="DB5" s="10">
        <v>2.5919999999999999E-5</v>
      </c>
      <c r="DC5" s="10">
        <v>2.5919999999999999E-5</v>
      </c>
      <c r="DD5" s="10">
        <v>2.5919999999999999E-5</v>
      </c>
      <c r="DE5" s="10">
        <v>2.5919999999999999E-5</v>
      </c>
      <c r="DF5" s="10">
        <v>2.5919999999999999E-5</v>
      </c>
      <c r="DG5" s="10">
        <v>8.6399999999999999E-5</v>
      </c>
      <c r="DH5" s="10">
        <v>8.6399999999999999E-5</v>
      </c>
      <c r="DI5" s="10">
        <v>8.6399999999999999E-5</v>
      </c>
      <c r="DJ5" s="10">
        <v>8.6399999999999999E-5</v>
      </c>
      <c r="DK5" s="10">
        <v>8.6399999999999999E-5</v>
      </c>
      <c r="DL5" s="10">
        <v>8.6399999999999999E-5</v>
      </c>
      <c r="DM5" s="10">
        <v>8.6399999999999999E-5</v>
      </c>
      <c r="DN5" s="10">
        <v>8.6399999999999999E-5</v>
      </c>
      <c r="DO5" s="10">
        <v>8.6399999999999999E-5</v>
      </c>
      <c r="DP5" s="10">
        <v>2.5920000000000001E-4</v>
      </c>
      <c r="DQ5" s="10">
        <v>2.5920000000000001E-4</v>
      </c>
      <c r="DR5" s="10">
        <v>2.5920000000000001E-4</v>
      </c>
      <c r="DS5" s="10">
        <v>2.5920000000000001E-4</v>
      </c>
      <c r="DT5" s="10">
        <v>2.5920000000000001E-4</v>
      </c>
      <c r="DU5" s="10">
        <v>2.5920000000000001E-4</v>
      </c>
      <c r="DV5" s="10">
        <v>2.5920000000000001E-4</v>
      </c>
      <c r="DW5" s="10">
        <v>2.5920000000000001E-4</v>
      </c>
      <c r="DX5" s="10">
        <v>2.5920000000000001E-4</v>
      </c>
      <c r="DY5" s="10">
        <v>8.6399999999999997E-4</v>
      </c>
      <c r="DZ5" s="10">
        <v>8.6399999999999997E-4</v>
      </c>
      <c r="EA5" s="10">
        <v>8.6399999999999997E-4</v>
      </c>
      <c r="EB5" s="10">
        <v>8.6399999999999997E-4</v>
      </c>
      <c r="EC5" s="10">
        <v>8.6399999999999997E-4</v>
      </c>
      <c r="ED5" s="10">
        <v>8.6399999999999997E-4</v>
      </c>
      <c r="EE5" s="10">
        <v>8.6399999999999997E-4</v>
      </c>
      <c r="EF5" s="10">
        <v>8.6399999999999997E-4</v>
      </c>
      <c r="EG5" s="10">
        <v>8.6399999999999997E-4</v>
      </c>
      <c r="EH5" s="10">
        <v>2.5920000000000001E-3</v>
      </c>
      <c r="EI5" s="10">
        <v>2.5920000000000001E-3</v>
      </c>
      <c r="EJ5" s="10">
        <v>2.5920000000000001E-3</v>
      </c>
      <c r="EK5" s="10">
        <v>2.5920000000000001E-3</v>
      </c>
      <c r="EL5" s="10">
        <v>2.5920000000000001E-3</v>
      </c>
      <c r="EM5" s="10">
        <v>2.5920000000000001E-3</v>
      </c>
      <c r="EN5" s="10">
        <v>2.5920000000000001E-3</v>
      </c>
      <c r="EO5" s="10">
        <v>2.5920000000000001E-3</v>
      </c>
      <c r="EP5" s="10">
        <v>2.5920000000000001E-3</v>
      </c>
      <c r="EQ5" s="10">
        <v>8.6400000000000001E-3</v>
      </c>
      <c r="ER5" s="10">
        <v>8.6400000000000001E-3</v>
      </c>
      <c r="ES5" s="10">
        <v>8.6400000000000001E-3</v>
      </c>
      <c r="ET5" s="10">
        <v>8.6400000000000001E-3</v>
      </c>
      <c r="EU5" s="10">
        <v>8.6400000000000001E-3</v>
      </c>
      <c r="EV5" s="10">
        <v>8.6400000000000001E-3</v>
      </c>
      <c r="EW5" s="10">
        <v>8.6400000000000001E-3</v>
      </c>
      <c r="EX5" s="10">
        <v>8.6400000000000001E-3</v>
      </c>
      <c r="EY5" s="10">
        <v>8.6400000000000001E-3</v>
      </c>
      <c r="EZ5" s="10">
        <v>2.5919999999999999E-2</v>
      </c>
      <c r="FA5" s="10">
        <v>2.5919999999999999E-2</v>
      </c>
      <c r="FB5" s="10">
        <v>2.5919999999999999E-2</v>
      </c>
      <c r="FC5" s="10">
        <v>2.5919999999999999E-2</v>
      </c>
      <c r="FD5" s="10">
        <v>2.5919999999999999E-2</v>
      </c>
      <c r="FE5" s="10">
        <v>2.5919999999999999E-2</v>
      </c>
      <c r="FF5" s="10">
        <v>2.5919999999999999E-2</v>
      </c>
      <c r="FG5" s="10">
        <v>2.5919999999999999E-2</v>
      </c>
      <c r="FH5" s="10">
        <v>2.5919999999999999E-2</v>
      </c>
      <c r="FI5" s="10">
        <v>8.6400000000000005E-2</v>
      </c>
      <c r="FJ5" s="10">
        <v>8.6400000000000005E-2</v>
      </c>
      <c r="FK5" s="10">
        <v>8.6400000000000005E-2</v>
      </c>
      <c r="FL5" s="10">
        <v>8.6400000000000005E-2</v>
      </c>
      <c r="FM5" s="10">
        <v>8.6400000000000005E-2</v>
      </c>
      <c r="FN5" s="10">
        <v>8.6400000000000005E-2</v>
      </c>
      <c r="FO5" s="10">
        <v>8.6400000000000005E-2</v>
      </c>
      <c r="FP5" s="10">
        <v>8.6400000000000005E-2</v>
      </c>
      <c r="FQ5" s="10">
        <v>8.6400000000000005E-2</v>
      </c>
      <c r="FR5" s="1">
        <v>8.6399999999999999E-9</v>
      </c>
      <c r="FS5" s="1">
        <v>2.592E-8</v>
      </c>
      <c r="FT5" s="1">
        <v>8.6399999999999993E-8</v>
      </c>
      <c r="FU5" s="1">
        <v>2.5919999999999999E-7</v>
      </c>
      <c r="FV5" s="1">
        <v>8.639999999999999E-7</v>
      </c>
      <c r="FW5" s="1">
        <v>2.5919999999999999E-6</v>
      </c>
      <c r="FX5" s="1">
        <v>8.6400000000000003E-6</v>
      </c>
      <c r="FY5" s="1">
        <v>2.5919999999999999E-5</v>
      </c>
      <c r="FZ5" s="1">
        <v>8.6399999999999999E-5</v>
      </c>
      <c r="GA5" s="1">
        <v>2.5920000000000001E-4</v>
      </c>
      <c r="GB5" s="1">
        <v>8.6399999999999997E-4</v>
      </c>
      <c r="GC5" s="1">
        <v>2.5920000000000001E-3</v>
      </c>
      <c r="GD5" s="1">
        <v>8.6400000000000001E-3</v>
      </c>
      <c r="GE5" s="1">
        <v>2.5919999999999999E-2</v>
      </c>
      <c r="GF5" s="1">
        <v>8.6399999999999991E-2</v>
      </c>
    </row>
    <row r="6" spans="1:188" x14ac:dyDescent="0.45">
      <c r="A6" t="s">
        <v>562</v>
      </c>
      <c r="B6">
        <v>144000</v>
      </c>
      <c r="C6" s="1">
        <v>3.4846427246295919E-4</v>
      </c>
      <c r="D6" s="1">
        <v>3.484642724629592E-6</v>
      </c>
      <c r="E6" s="1">
        <v>3.4846427246295919E-4</v>
      </c>
      <c r="F6" s="1">
        <v>3.484642724629592E-6</v>
      </c>
      <c r="G6" s="1">
        <v>3.4846427246295919E-4</v>
      </c>
      <c r="H6" s="2">
        <v>5</v>
      </c>
      <c r="I6">
        <v>36000</v>
      </c>
      <c r="K6">
        <v>4</v>
      </c>
      <c r="L6">
        <v>3186000</v>
      </c>
      <c r="M6">
        <v>100</v>
      </c>
      <c r="N6">
        <v>1</v>
      </c>
      <c r="O6" t="s">
        <v>561</v>
      </c>
      <c r="R6" t="s">
        <v>375</v>
      </c>
      <c r="S6">
        <v>20000000</v>
      </c>
      <c r="U6">
        <v>1954</v>
      </c>
      <c r="V6">
        <v>1440</v>
      </c>
      <c r="W6" s="1">
        <v>6.0625323693920216E-4</v>
      </c>
      <c r="X6" s="1">
        <f t="shared" si="0"/>
        <v>6.0625323693920212E-6</v>
      </c>
      <c r="Y6" s="1">
        <f t="shared" si="1"/>
        <v>6.0625323693920216E-4</v>
      </c>
      <c r="Z6" s="1">
        <f t="shared" si="2"/>
        <v>6.0625323693920212E-6</v>
      </c>
      <c r="AA6" s="1">
        <f t="shared" si="3"/>
        <v>6.0625323693920216E-4</v>
      </c>
      <c r="AJ6" t="s">
        <v>375</v>
      </c>
      <c r="AK6">
        <v>20000000</v>
      </c>
      <c r="AM6" s="1">
        <v>8.6400000000000001E-3</v>
      </c>
      <c r="AN6" s="1">
        <v>2.5919999999999999E-2</v>
      </c>
      <c r="AO6" s="1">
        <v>8.6400000000000005E-2</v>
      </c>
      <c r="AP6" s="1">
        <v>0.25919999999999999</v>
      </c>
      <c r="AQ6" s="1">
        <v>0.86399999999999999</v>
      </c>
      <c r="AR6" s="1">
        <v>2.5920000000000001</v>
      </c>
      <c r="AS6" s="1">
        <v>8.64</v>
      </c>
      <c r="AT6" s="1">
        <v>25.92</v>
      </c>
      <c r="AU6" s="1">
        <v>86.4</v>
      </c>
      <c r="AV6" s="1">
        <v>8.6400000000000001E-3</v>
      </c>
      <c r="AW6" s="1">
        <v>2.5919999999999999E-2</v>
      </c>
      <c r="AX6" s="1">
        <v>8.6400000000000005E-2</v>
      </c>
      <c r="AY6" s="1">
        <v>0.25919999999999999</v>
      </c>
      <c r="AZ6" s="1">
        <v>0.86399999999999999</v>
      </c>
      <c r="BA6" s="1">
        <v>2.5920000000000001</v>
      </c>
      <c r="BB6" s="1">
        <v>8.64</v>
      </c>
      <c r="BC6" s="1">
        <v>25.92</v>
      </c>
      <c r="BD6" s="1">
        <v>86.4</v>
      </c>
      <c r="BE6" s="1">
        <v>8.6400000000000001E-3</v>
      </c>
      <c r="BF6" s="1">
        <v>2.5919999999999999E-2</v>
      </c>
      <c r="BG6" s="1">
        <v>8.6400000000000005E-2</v>
      </c>
      <c r="BH6" s="1">
        <v>0.25919999999999999</v>
      </c>
      <c r="BI6" s="1">
        <v>0.86399999999999999</v>
      </c>
      <c r="BJ6" s="1">
        <v>2.5920000000000001</v>
      </c>
      <c r="BK6" s="1">
        <v>8.64</v>
      </c>
      <c r="BL6" s="1">
        <v>25.92</v>
      </c>
      <c r="BM6" s="1">
        <v>86.4</v>
      </c>
      <c r="BN6" s="1">
        <v>8.6400000000000001E-3</v>
      </c>
      <c r="BO6" s="1">
        <v>2.5919999999999999E-2</v>
      </c>
      <c r="BP6" s="1">
        <v>8.6400000000000005E-2</v>
      </c>
      <c r="BQ6" s="1">
        <v>0.25919999999999999</v>
      </c>
      <c r="BR6" s="1">
        <v>0.86399999999999999</v>
      </c>
      <c r="BS6" s="1">
        <v>2.5920000000000001</v>
      </c>
      <c r="BT6" s="1">
        <v>8.64</v>
      </c>
      <c r="BU6" s="1">
        <v>25.92</v>
      </c>
      <c r="BV6" s="1">
        <v>86.4</v>
      </c>
      <c r="BW6" s="1">
        <v>8.6400000000000001E-3</v>
      </c>
      <c r="BX6" s="1">
        <v>2.5919999999999999E-2</v>
      </c>
      <c r="BY6" s="1">
        <v>8.6400000000000005E-2</v>
      </c>
      <c r="BZ6" s="1">
        <v>0.25919999999999999</v>
      </c>
      <c r="CA6" s="1">
        <v>0.86399999999999999</v>
      </c>
      <c r="CB6" s="1">
        <v>2.5920000000000001</v>
      </c>
      <c r="CC6" s="1">
        <v>8.64</v>
      </c>
      <c r="CD6" s="1">
        <v>25.92</v>
      </c>
      <c r="CE6" s="1">
        <v>86.4</v>
      </c>
      <c r="CF6" s="1">
        <v>8.6400000000000001E-3</v>
      </c>
      <c r="CG6" s="1">
        <v>2.5919999999999999E-2</v>
      </c>
      <c r="CH6" s="1">
        <v>8.6400000000000005E-2</v>
      </c>
      <c r="CI6" s="1">
        <v>0.25919999999999999</v>
      </c>
      <c r="CJ6" s="1">
        <v>0.86399999999999999</v>
      </c>
      <c r="CK6" s="1">
        <v>2.5920000000000001</v>
      </c>
      <c r="CL6" s="1">
        <v>8.64</v>
      </c>
      <c r="CM6" s="1">
        <v>25.92</v>
      </c>
      <c r="CN6" s="1">
        <v>86.4</v>
      </c>
      <c r="CO6" s="1">
        <v>8.6400000000000001E-3</v>
      </c>
      <c r="CP6" s="1">
        <v>2.5919999999999999E-2</v>
      </c>
      <c r="CQ6" s="1">
        <v>8.6400000000000005E-2</v>
      </c>
      <c r="CR6" s="1">
        <v>0.25919999999999999</v>
      </c>
      <c r="CS6" s="1">
        <v>0.86399999999999999</v>
      </c>
      <c r="CT6" s="1">
        <v>2.5920000000000001</v>
      </c>
      <c r="CU6" s="1">
        <v>8.64</v>
      </c>
      <c r="CV6" s="1">
        <v>25.92</v>
      </c>
      <c r="CW6" s="1">
        <v>86.4</v>
      </c>
      <c r="CX6" s="1">
        <v>8.6400000000000001E-3</v>
      </c>
      <c r="CY6" s="1">
        <v>2.5919999999999999E-2</v>
      </c>
      <c r="CZ6" s="1">
        <v>8.6400000000000005E-2</v>
      </c>
      <c r="DA6" s="1">
        <v>0.25919999999999999</v>
      </c>
      <c r="DB6" s="1">
        <v>0.86399999999999999</v>
      </c>
      <c r="DC6" s="1">
        <v>2.5920000000000001</v>
      </c>
      <c r="DD6" s="1">
        <v>8.64</v>
      </c>
      <c r="DE6" s="1">
        <v>25.92</v>
      </c>
      <c r="DF6" s="1">
        <v>86.4</v>
      </c>
      <c r="DG6" s="1">
        <v>8.6400000000000001E-3</v>
      </c>
      <c r="DH6" s="1">
        <v>2.5919999999999999E-2</v>
      </c>
      <c r="DI6" s="1">
        <v>8.6400000000000005E-2</v>
      </c>
      <c r="DJ6" s="1">
        <v>0.25919999999999999</v>
      </c>
      <c r="DK6" s="1">
        <v>0.86399999999999999</v>
      </c>
      <c r="DL6" s="1">
        <v>2.5920000000000001</v>
      </c>
      <c r="DM6" s="1">
        <v>8.64</v>
      </c>
      <c r="DN6" s="1">
        <v>25.92</v>
      </c>
      <c r="DO6" s="1">
        <v>86.4</v>
      </c>
      <c r="DP6" s="1">
        <v>8.6400000000000001E-3</v>
      </c>
      <c r="DQ6" s="1">
        <v>2.5919999999999999E-2</v>
      </c>
      <c r="DR6" s="1">
        <v>8.6400000000000005E-2</v>
      </c>
      <c r="DS6" s="1">
        <v>0.25919999999999999</v>
      </c>
      <c r="DT6" s="1">
        <v>0.86399999999999999</v>
      </c>
      <c r="DU6" s="1">
        <v>2.5920000000000001</v>
      </c>
      <c r="DV6" s="1">
        <v>8.64</v>
      </c>
      <c r="DW6" s="1">
        <v>25.92</v>
      </c>
      <c r="DX6" s="1">
        <v>86.4</v>
      </c>
      <c r="DY6" s="1">
        <v>8.6400000000000001E-3</v>
      </c>
      <c r="DZ6" s="1">
        <v>2.5919999999999999E-2</v>
      </c>
      <c r="EA6" s="1">
        <v>8.6400000000000005E-2</v>
      </c>
      <c r="EB6" s="1">
        <v>0.25919999999999999</v>
      </c>
      <c r="EC6" s="1">
        <v>0.86399999999999999</v>
      </c>
      <c r="ED6" s="1">
        <v>2.5920000000000001</v>
      </c>
      <c r="EE6" s="1">
        <v>8.64</v>
      </c>
      <c r="EF6" s="1">
        <v>25.92</v>
      </c>
      <c r="EG6" s="1">
        <v>86.4</v>
      </c>
      <c r="EH6" s="1">
        <v>8.6400000000000001E-3</v>
      </c>
      <c r="EI6" s="1">
        <v>2.5919999999999999E-2</v>
      </c>
      <c r="EJ6" s="1">
        <v>8.6400000000000005E-2</v>
      </c>
      <c r="EK6" s="1">
        <v>0.25919999999999999</v>
      </c>
      <c r="EL6" s="1">
        <v>0.86399999999999999</v>
      </c>
      <c r="EM6" s="1">
        <v>2.5920000000000001</v>
      </c>
      <c r="EN6" s="1">
        <v>8.64</v>
      </c>
      <c r="EO6" s="1">
        <v>25.92</v>
      </c>
      <c r="EP6" s="1">
        <v>86.4</v>
      </c>
      <c r="EQ6" s="1">
        <v>8.6400000000000001E-3</v>
      </c>
      <c r="ER6" s="1">
        <v>2.5919999999999999E-2</v>
      </c>
      <c r="ES6" s="1">
        <v>8.6400000000000005E-2</v>
      </c>
      <c r="ET6" s="1">
        <v>0.25919999999999999</v>
      </c>
      <c r="EU6" s="1">
        <v>0.86399999999999999</v>
      </c>
      <c r="EV6" s="1">
        <v>2.5920000000000001</v>
      </c>
      <c r="EW6" s="1">
        <v>8.64</v>
      </c>
      <c r="EX6" s="1">
        <v>25.92</v>
      </c>
      <c r="EY6" s="1">
        <v>86.4</v>
      </c>
      <c r="EZ6" s="1">
        <v>8.6400000000000001E-3</v>
      </c>
      <c r="FA6" s="1">
        <v>2.5919999999999999E-2</v>
      </c>
      <c r="FB6" s="1">
        <v>8.6400000000000005E-2</v>
      </c>
      <c r="FC6" s="1">
        <v>0.25919999999999999</v>
      </c>
      <c r="FD6" s="1">
        <v>0.86399999999999999</v>
      </c>
      <c r="FE6" s="1">
        <v>2.5920000000000001</v>
      </c>
      <c r="FF6" s="1">
        <v>8.64</v>
      </c>
      <c r="FG6" s="1">
        <v>25.92</v>
      </c>
      <c r="FH6" s="1">
        <v>86.4</v>
      </c>
      <c r="FI6" s="1">
        <v>8.6400000000000001E-3</v>
      </c>
      <c r="FJ6" s="1">
        <v>2.5919999999999999E-2</v>
      </c>
      <c r="FK6" s="1">
        <v>8.6400000000000005E-2</v>
      </c>
      <c r="FL6" s="1">
        <v>0.25919999999999999</v>
      </c>
      <c r="FM6" s="1">
        <v>0.86399999999999999</v>
      </c>
      <c r="FN6" s="1">
        <v>2.5920000000000001</v>
      </c>
      <c r="FO6" s="1">
        <v>8.64</v>
      </c>
      <c r="FP6" s="1">
        <v>25.92</v>
      </c>
      <c r="FQ6" s="1">
        <v>86.4</v>
      </c>
      <c r="FR6" s="1">
        <v>43.2</v>
      </c>
      <c r="FS6" s="1">
        <v>43.2</v>
      </c>
      <c r="FT6" s="1">
        <v>43.2</v>
      </c>
      <c r="FU6" s="1">
        <v>43.2</v>
      </c>
      <c r="FV6" s="1">
        <v>43.2</v>
      </c>
      <c r="FW6" s="1">
        <v>43.2</v>
      </c>
      <c r="FX6" s="1">
        <v>43.2</v>
      </c>
      <c r="FY6" s="1">
        <v>43.2</v>
      </c>
      <c r="FZ6" s="1">
        <v>43.2</v>
      </c>
      <c r="GA6" s="1">
        <v>43.2</v>
      </c>
      <c r="GB6" s="1">
        <v>43.2</v>
      </c>
      <c r="GC6" s="1">
        <v>43.2</v>
      </c>
      <c r="GD6" s="1">
        <v>43.2</v>
      </c>
      <c r="GE6" s="1">
        <v>43.2</v>
      </c>
      <c r="GF6" s="1">
        <v>43.2</v>
      </c>
    </row>
    <row r="7" spans="1:188" x14ac:dyDescent="0.45">
      <c r="A7" t="s">
        <v>563</v>
      </c>
      <c r="B7">
        <v>180000</v>
      </c>
      <c r="C7" s="1">
        <v>3.2280645601502319E-4</v>
      </c>
      <c r="D7" s="1">
        <v>3.2280645601502321E-6</v>
      </c>
      <c r="E7" s="1">
        <v>3.2280645601502319E-4</v>
      </c>
      <c r="F7" s="1">
        <v>3.2280645601502321E-6</v>
      </c>
      <c r="G7" s="1">
        <v>3.2280645601502319E-4</v>
      </c>
      <c r="H7" s="2">
        <v>6</v>
      </c>
      <c r="I7">
        <v>36000</v>
      </c>
      <c r="R7" t="s">
        <v>376</v>
      </c>
      <c r="S7">
        <v>0</v>
      </c>
      <c r="U7">
        <v>1955</v>
      </c>
      <c r="V7">
        <v>1800</v>
      </c>
      <c r="W7" s="1">
        <v>6.7531943247687762E-4</v>
      </c>
      <c r="X7" s="1">
        <f t="shared" si="0"/>
        <v>6.7531943247687766E-6</v>
      </c>
      <c r="Y7" s="1">
        <f t="shared" si="1"/>
        <v>6.7531943247687762E-4</v>
      </c>
      <c r="Z7" s="1">
        <f t="shared" si="2"/>
        <v>6.7531943247687766E-6</v>
      </c>
      <c r="AA7" s="1">
        <f t="shared" si="3"/>
        <v>6.7531943247687762E-4</v>
      </c>
      <c r="AJ7" t="s">
        <v>376</v>
      </c>
      <c r="AK7">
        <v>0</v>
      </c>
      <c r="AM7" s="1">
        <v>8.6400000000000001E-3</v>
      </c>
      <c r="AN7" s="1">
        <v>2.5919999999999999E-2</v>
      </c>
      <c r="AO7" s="1">
        <v>8.6400000000000005E-2</v>
      </c>
      <c r="AP7" s="1">
        <v>0.25919999999999999</v>
      </c>
      <c r="AQ7" s="1">
        <v>0.86399999999999999</v>
      </c>
      <c r="AR7" s="1">
        <v>2.5920000000000001</v>
      </c>
      <c r="AS7" s="1">
        <v>8.64</v>
      </c>
      <c r="AT7" s="1">
        <v>25.92</v>
      </c>
      <c r="AU7" s="1">
        <v>86.4</v>
      </c>
      <c r="AV7" s="1">
        <v>8.6400000000000001E-3</v>
      </c>
      <c r="AW7" s="1">
        <v>2.5919999999999999E-2</v>
      </c>
      <c r="AX7" s="1">
        <v>8.6400000000000005E-2</v>
      </c>
      <c r="AY7" s="1">
        <v>0.25919999999999999</v>
      </c>
      <c r="AZ7" s="1">
        <v>0.86399999999999999</v>
      </c>
      <c r="BA7" s="1">
        <v>2.5920000000000001</v>
      </c>
      <c r="BB7" s="1">
        <v>8.64</v>
      </c>
      <c r="BC7" s="1">
        <v>25.92</v>
      </c>
      <c r="BD7" s="1">
        <v>86.4</v>
      </c>
      <c r="BE7" s="1">
        <v>8.6400000000000001E-3</v>
      </c>
      <c r="BF7" s="1">
        <v>2.5919999999999999E-2</v>
      </c>
      <c r="BG7" s="1">
        <v>8.6400000000000005E-2</v>
      </c>
      <c r="BH7" s="1">
        <v>0.25919999999999999</v>
      </c>
      <c r="BI7" s="1">
        <v>0.86399999999999999</v>
      </c>
      <c r="BJ7" s="1">
        <v>2.5920000000000001</v>
      </c>
      <c r="BK7" s="1">
        <v>8.64</v>
      </c>
      <c r="BL7" s="1">
        <v>25.92</v>
      </c>
      <c r="BM7" s="1">
        <v>86.4</v>
      </c>
      <c r="BN7" s="1">
        <v>8.6400000000000001E-3</v>
      </c>
      <c r="BO7" s="1">
        <v>2.5919999999999999E-2</v>
      </c>
      <c r="BP7" s="1">
        <v>8.6400000000000005E-2</v>
      </c>
      <c r="BQ7" s="1">
        <v>0.25919999999999999</v>
      </c>
      <c r="BR7" s="1">
        <v>0.86399999999999999</v>
      </c>
      <c r="BS7" s="1">
        <v>2.5920000000000001</v>
      </c>
      <c r="BT7" s="1">
        <v>8.64</v>
      </c>
      <c r="BU7" s="1">
        <v>25.92</v>
      </c>
      <c r="BV7" s="1">
        <v>86.4</v>
      </c>
      <c r="BW7" s="1">
        <v>8.6400000000000001E-3</v>
      </c>
      <c r="BX7" s="1">
        <v>2.5919999999999999E-2</v>
      </c>
      <c r="BY7" s="1">
        <v>8.6400000000000005E-2</v>
      </c>
      <c r="BZ7" s="1">
        <v>0.25919999999999999</v>
      </c>
      <c r="CA7" s="1">
        <v>0.86399999999999999</v>
      </c>
      <c r="CB7" s="1">
        <v>2.5920000000000001</v>
      </c>
      <c r="CC7" s="1">
        <v>8.64</v>
      </c>
      <c r="CD7" s="1">
        <v>25.92</v>
      </c>
      <c r="CE7" s="1">
        <v>86.4</v>
      </c>
      <c r="CF7" s="1">
        <v>8.6400000000000001E-3</v>
      </c>
      <c r="CG7" s="1">
        <v>2.5919999999999999E-2</v>
      </c>
      <c r="CH7" s="1">
        <v>8.6400000000000005E-2</v>
      </c>
      <c r="CI7" s="1">
        <v>0.25919999999999999</v>
      </c>
      <c r="CJ7" s="1">
        <v>0.86399999999999999</v>
      </c>
      <c r="CK7" s="1">
        <v>2.5920000000000001</v>
      </c>
      <c r="CL7" s="1">
        <v>8.64</v>
      </c>
      <c r="CM7" s="1">
        <v>25.92</v>
      </c>
      <c r="CN7" s="1">
        <v>86.4</v>
      </c>
      <c r="CO7" s="1">
        <v>8.6400000000000001E-3</v>
      </c>
      <c r="CP7" s="1">
        <v>2.5919999999999999E-2</v>
      </c>
      <c r="CQ7" s="1">
        <v>8.6400000000000005E-2</v>
      </c>
      <c r="CR7" s="1">
        <v>0.25919999999999999</v>
      </c>
      <c r="CS7" s="1">
        <v>0.86399999999999999</v>
      </c>
      <c r="CT7" s="1">
        <v>2.5920000000000001</v>
      </c>
      <c r="CU7" s="1">
        <v>8.64</v>
      </c>
      <c r="CV7" s="1">
        <v>25.92</v>
      </c>
      <c r="CW7" s="1">
        <v>86.4</v>
      </c>
      <c r="CX7" s="1">
        <v>8.6400000000000001E-3</v>
      </c>
      <c r="CY7" s="1">
        <v>2.5919999999999999E-2</v>
      </c>
      <c r="CZ7" s="1">
        <v>8.6400000000000005E-2</v>
      </c>
      <c r="DA7" s="1">
        <v>0.25919999999999999</v>
      </c>
      <c r="DB7" s="1">
        <v>0.86399999999999999</v>
      </c>
      <c r="DC7" s="1">
        <v>2.5920000000000001</v>
      </c>
      <c r="DD7" s="1">
        <v>8.64</v>
      </c>
      <c r="DE7" s="1">
        <v>25.92</v>
      </c>
      <c r="DF7" s="1">
        <v>86.4</v>
      </c>
      <c r="DG7" s="1">
        <v>8.6400000000000001E-3</v>
      </c>
      <c r="DH7" s="1">
        <v>2.5919999999999999E-2</v>
      </c>
      <c r="DI7" s="1">
        <v>8.6400000000000005E-2</v>
      </c>
      <c r="DJ7" s="1">
        <v>0.25919999999999999</v>
      </c>
      <c r="DK7" s="1">
        <v>0.86399999999999999</v>
      </c>
      <c r="DL7" s="1">
        <v>2.5920000000000001</v>
      </c>
      <c r="DM7" s="1">
        <v>8.64</v>
      </c>
      <c r="DN7" s="1">
        <v>25.92</v>
      </c>
      <c r="DO7" s="1">
        <v>86.4</v>
      </c>
      <c r="DP7" s="1">
        <v>8.6400000000000001E-3</v>
      </c>
      <c r="DQ7" s="1">
        <v>2.5919999999999999E-2</v>
      </c>
      <c r="DR7" s="1">
        <v>8.6400000000000005E-2</v>
      </c>
      <c r="DS7" s="1">
        <v>0.25919999999999999</v>
      </c>
      <c r="DT7" s="1">
        <v>0.86399999999999999</v>
      </c>
      <c r="DU7" s="1">
        <v>2.5920000000000001</v>
      </c>
      <c r="DV7" s="1">
        <v>8.64</v>
      </c>
      <c r="DW7" s="1">
        <v>25.92</v>
      </c>
      <c r="DX7" s="1">
        <v>86.4</v>
      </c>
      <c r="DY7" s="1">
        <v>8.6400000000000001E-3</v>
      </c>
      <c r="DZ7" s="1">
        <v>2.5919999999999999E-2</v>
      </c>
      <c r="EA7" s="1">
        <v>8.6400000000000005E-2</v>
      </c>
      <c r="EB7" s="1">
        <v>0.25919999999999999</v>
      </c>
      <c r="EC7" s="1">
        <v>0.86399999999999999</v>
      </c>
      <c r="ED7" s="1">
        <v>2.5920000000000001</v>
      </c>
      <c r="EE7" s="1">
        <v>8.64</v>
      </c>
      <c r="EF7" s="1">
        <v>25.92</v>
      </c>
      <c r="EG7" s="1">
        <v>86.4</v>
      </c>
      <c r="EH7" s="1">
        <v>8.6400000000000001E-3</v>
      </c>
      <c r="EI7" s="1">
        <v>2.5919999999999999E-2</v>
      </c>
      <c r="EJ7" s="1">
        <v>8.6400000000000005E-2</v>
      </c>
      <c r="EK7" s="1">
        <v>0.25919999999999999</v>
      </c>
      <c r="EL7" s="1">
        <v>0.86399999999999999</v>
      </c>
      <c r="EM7" s="1">
        <v>2.5920000000000001</v>
      </c>
      <c r="EN7" s="1">
        <v>8.64</v>
      </c>
      <c r="EO7" s="1">
        <v>25.92</v>
      </c>
      <c r="EP7" s="1">
        <v>86.4</v>
      </c>
      <c r="EQ7" s="1">
        <v>8.6400000000000001E-3</v>
      </c>
      <c r="ER7" s="1">
        <v>2.5919999999999999E-2</v>
      </c>
      <c r="ES7" s="1">
        <v>8.6400000000000005E-2</v>
      </c>
      <c r="ET7" s="1">
        <v>0.25919999999999999</v>
      </c>
      <c r="EU7" s="1">
        <v>0.86399999999999999</v>
      </c>
      <c r="EV7" s="1">
        <v>2.5920000000000001</v>
      </c>
      <c r="EW7" s="1">
        <v>8.64</v>
      </c>
      <c r="EX7" s="1">
        <v>25.92</v>
      </c>
      <c r="EY7" s="1">
        <v>86.4</v>
      </c>
      <c r="EZ7" s="1">
        <v>8.6400000000000001E-3</v>
      </c>
      <c r="FA7" s="1">
        <v>2.5919999999999999E-2</v>
      </c>
      <c r="FB7" s="1">
        <v>8.6400000000000005E-2</v>
      </c>
      <c r="FC7" s="1">
        <v>0.25919999999999999</v>
      </c>
      <c r="FD7" s="1">
        <v>0.86399999999999999</v>
      </c>
      <c r="FE7" s="1">
        <v>2.5920000000000001</v>
      </c>
      <c r="FF7" s="1">
        <v>8.64</v>
      </c>
      <c r="FG7" s="1">
        <v>25.92</v>
      </c>
      <c r="FH7" s="1">
        <v>86.4</v>
      </c>
      <c r="FI7" s="1">
        <v>8.6400000000000001E-3</v>
      </c>
      <c r="FJ7" s="1">
        <v>2.5919999999999999E-2</v>
      </c>
      <c r="FK7" s="1">
        <v>8.6400000000000005E-2</v>
      </c>
      <c r="FL7" s="1">
        <v>0.25919999999999999</v>
      </c>
      <c r="FM7" s="1">
        <v>0.86399999999999999</v>
      </c>
      <c r="FN7" s="1">
        <v>2.5920000000000001</v>
      </c>
      <c r="FO7" s="1">
        <v>8.64</v>
      </c>
      <c r="FP7" s="1">
        <v>25.92</v>
      </c>
      <c r="FQ7" s="1">
        <v>86.4</v>
      </c>
      <c r="FR7" s="1">
        <v>43.2</v>
      </c>
      <c r="FS7" s="1">
        <v>43.2</v>
      </c>
      <c r="FT7" s="1">
        <v>43.2</v>
      </c>
      <c r="FU7" s="1">
        <v>43.2</v>
      </c>
      <c r="FV7" s="1">
        <v>43.2</v>
      </c>
      <c r="FW7" s="1">
        <v>43.2</v>
      </c>
      <c r="FX7" s="1">
        <v>43.2</v>
      </c>
      <c r="FY7" s="1">
        <v>43.2</v>
      </c>
      <c r="FZ7" s="1">
        <v>43.2</v>
      </c>
      <c r="GA7" s="1">
        <v>43.2</v>
      </c>
      <c r="GB7" s="1">
        <v>43.2</v>
      </c>
      <c r="GC7" s="1">
        <v>43.2</v>
      </c>
      <c r="GD7" s="1">
        <v>43.2</v>
      </c>
      <c r="GE7" s="1">
        <v>43.2</v>
      </c>
      <c r="GF7" s="1">
        <v>43.2</v>
      </c>
    </row>
    <row r="8" spans="1:188" x14ac:dyDescent="0.45">
      <c r="A8" t="s">
        <v>564</v>
      </c>
      <c r="B8">
        <v>216000</v>
      </c>
      <c r="C8" s="1">
        <v>3.2261974027997269E-4</v>
      </c>
      <c r="D8" s="1">
        <v>3.2261974027997268E-6</v>
      </c>
      <c r="E8" s="1">
        <v>3.2261974027997269E-4</v>
      </c>
      <c r="F8" s="1">
        <v>3.2261974027997268E-6</v>
      </c>
      <c r="G8" s="1">
        <v>3.2261974027997269E-4</v>
      </c>
      <c r="H8" s="2">
        <v>7</v>
      </c>
      <c r="I8">
        <v>36000</v>
      </c>
      <c r="R8" t="s">
        <v>376</v>
      </c>
      <c r="S8">
        <v>7587000</v>
      </c>
      <c r="U8">
        <v>1956</v>
      </c>
      <c r="V8">
        <v>2160</v>
      </c>
      <c r="W8" s="1">
        <v>7.934837592115222E-4</v>
      </c>
      <c r="X8" s="1">
        <f t="shared" si="0"/>
        <v>7.9348375921152226E-6</v>
      </c>
      <c r="Y8" s="1">
        <f t="shared" si="1"/>
        <v>7.934837592115222E-4</v>
      </c>
      <c r="Z8" s="1">
        <f t="shared" si="2"/>
        <v>7.9348375921152226E-6</v>
      </c>
      <c r="AA8" s="1">
        <f t="shared" si="3"/>
        <v>7.934837592115222E-4</v>
      </c>
      <c r="AJ8" t="s">
        <v>376</v>
      </c>
      <c r="AK8">
        <v>27000</v>
      </c>
      <c r="AM8" s="10">
        <v>8.6399999999999999E-9</v>
      </c>
      <c r="AN8" s="10">
        <v>8.6399999999999999E-9</v>
      </c>
      <c r="AO8" s="10">
        <v>8.6399999999999999E-9</v>
      </c>
      <c r="AP8" s="10">
        <v>8.6399999999999999E-9</v>
      </c>
      <c r="AQ8" s="10">
        <v>8.6399999999999999E-9</v>
      </c>
      <c r="AR8" s="10">
        <v>8.6399999999999999E-9</v>
      </c>
      <c r="AS8" s="10">
        <v>8.6399999999999999E-9</v>
      </c>
      <c r="AT8" s="10">
        <v>8.6399999999999999E-9</v>
      </c>
      <c r="AU8" s="10">
        <v>8.6399999999999999E-9</v>
      </c>
      <c r="AV8" s="10">
        <v>2.592E-8</v>
      </c>
      <c r="AW8" s="10">
        <v>2.592E-8</v>
      </c>
      <c r="AX8" s="10">
        <v>2.592E-8</v>
      </c>
      <c r="AY8" s="10">
        <v>2.592E-8</v>
      </c>
      <c r="AZ8" s="10">
        <v>2.592E-8</v>
      </c>
      <c r="BA8" s="10">
        <v>2.592E-8</v>
      </c>
      <c r="BB8" s="10">
        <v>2.592E-8</v>
      </c>
      <c r="BC8" s="10">
        <v>2.592E-8</v>
      </c>
      <c r="BD8" s="10">
        <v>2.592E-8</v>
      </c>
      <c r="BE8" s="10">
        <v>8.6400000000000006E-8</v>
      </c>
      <c r="BF8" s="10">
        <v>8.6400000000000006E-8</v>
      </c>
      <c r="BG8" s="10">
        <v>8.6400000000000006E-8</v>
      </c>
      <c r="BH8" s="10">
        <v>8.6400000000000006E-8</v>
      </c>
      <c r="BI8" s="10">
        <v>8.6400000000000006E-8</v>
      </c>
      <c r="BJ8" s="10">
        <v>8.6400000000000006E-8</v>
      </c>
      <c r="BK8" s="10">
        <v>8.6400000000000006E-8</v>
      </c>
      <c r="BL8" s="10">
        <v>8.6400000000000006E-8</v>
      </c>
      <c r="BM8" s="10">
        <v>8.6400000000000006E-8</v>
      </c>
      <c r="BN8" s="10">
        <v>2.5919999999999999E-7</v>
      </c>
      <c r="BO8" s="10">
        <v>2.5919999999999999E-7</v>
      </c>
      <c r="BP8" s="10">
        <v>2.5919999999999999E-7</v>
      </c>
      <c r="BQ8" s="10">
        <v>2.5919999999999999E-7</v>
      </c>
      <c r="BR8" s="10">
        <v>2.5919999999999999E-7</v>
      </c>
      <c r="BS8" s="10">
        <v>2.5919999999999999E-7</v>
      </c>
      <c r="BT8" s="10">
        <v>2.5919999999999999E-7</v>
      </c>
      <c r="BU8" s="10">
        <v>2.5919999999999999E-7</v>
      </c>
      <c r="BV8" s="10">
        <v>2.5919999999999999E-7</v>
      </c>
      <c r="BW8" s="10">
        <v>8.6400000000000001E-7</v>
      </c>
      <c r="BX8" s="10">
        <v>8.6400000000000001E-7</v>
      </c>
      <c r="BY8" s="10">
        <v>8.6400000000000001E-7</v>
      </c>
      <c r="BZ8" s="10">
        <v>8.6400000000000001E-7</v>
      </c>
      <c r="CA8" s="10">
        <v>8.6400000000000001E-7</v>
      </c>
      <c r="CB8" s="10">
        <v>8.6400000000000001E-7</v>
      </c>
      <c r="CC8" s="10">
        <v>8.6400000000000001E-7</v>
      </c>
      <c r="CD8" s="10">
        <v>8.6400000000000001E-7</v>
      </c>
      <c r="CE8" s="10">
        <v>8.6400000000000001E-7</v>
      </c>
      <c r="CF8" s="10">
        <v>2.5919999999999999E-6</v>
      </c>
      <c r="CG8" s="10">
        <v>2.5919999999999999E-6</v>
      </c>
      <c r="CH8" s="10">
        <v>2.5919999999999999E-6</v>
      </c>
      <c r="CI8" s="10">
        <v>2.5919999999999999E-6</v>
      </c>
      <c r="CJ8" s="10">
        <v>2.5919999999999999E-6</v>
      </c>
      <c r="CK8" s="10">
        <v>2.5919999999999999E-6</v>
      </c>
      <c r="CL8" s="10">
        <v>2.5919999999999999E-6</v>
      </c>
      <c r="CM8" s="10">
        <v>2.5919999999999999E-6</v>
      </c>
      <c r="CN8" s="10">
        <v>2.5919999999999999E-6</v>
      </c>
      <c r="CO8" s="10">
        <v>8.6400000000000003E-6</v>
      </c>
      <c r="CP8" s="10">
        <v>8.6400000000000003E-6</v>
      </c>
      <c r="CQ8" s="10">
        <v>8.6400000000000003E-6</v>
      </c>
      <c r="CR8" s="10">
        <v>8.6400000000000003E-6</v>
      </c>
      <c r="CS8" s="10">
        <v>8.6400000000000003E-6</v>
      </c>
      <c r="CT8" s="10">
        <v>8.6400000000000003E-6</v>
      </c>
      <c r="CU8" s="10">
        <v>8.6400000000000003E-6</v>
      </c>
      <c r="CV8" s="10">
        <v>8.6400000000000003E-6</v>
      </c>
      <c r="CW8" s="10">
        <v>8.6400000000000003E-6</v>
      </c>
      <c r="CX8" s="10">
        <v>2.5919999999999999E-5</v>
      </c>
      <c r="CY8" s="10">
        <v>2.5919999999999999E-5</v>
      </c>
      <c r="CZ8" s="10">
        <v>2.5919999999999999E-5</v>
      </c>
      <c r="DA8" s="10">
        <v>2.5919999999999999E-5</v>
      </c>
      <c r="DB8" s="10">
        <v>2.5919999999999999E-5</v>
      </c>
      <c r="DC8" s="10">
        <v>2.5919999999999999E-5</v>
      </c>
      <c r="DD8" s="10">
        <v>2.5919999999999999E-5</v>
      </c>
      <c r="DE8" s="10">
        <v>2.5919999999999999E-5</v>
      </c>
      <c r="DF8" s="10">
        <v>2.5919999999999999E-5</v>
      </c>
      <c r="DG8" s="10">
        <v>8.6399999999999999E-5</v>
      </c>
      <c r="DH8" s="10">
        <v>8.6399999999999999E-5</v>
      </c>
      <c r="DI8" s="10">
        <v>8.6399999999999999E-5</v>
      </c>
      <c r="DJ8" s="10">
        <v>8.6399999999999999E-5</v>
      </c>
      <c r="DK8" s="10">
        <v>8.6399999999999999E-5</v>
      </c>
      <c r="DL8" s="10">
        <v>8.6399999999999999E-5</v>
      </c>
      <c r="DM8" s="10">
        <v>8.6399999999999999E-5</v>
      </c>
      <c r="DN8" s="10">
        <v>8.6399999999999999E-5</v>
      </c>
      <c r="DO8" s="10">
        <v>8.6399999999999999E-5</v>
      </c>
      <c r="DP8" s="10">
        <v>2.5920000000000001E-4</v>
      </c>
      <c r="DQ8" s="10">
        <v>2.5920000000000001E-4</v>
      </c>
      <c r="DR8" s="10">
        <v>2.5920000000000001E-4</v>
      </c>
      <c r="DS8" s="10">
        <v>2.5920000000000001E-4</v>
      </c>
      <c r="DT8" s="10">
        <v>2.5920000000000001E-4</v>
      </c>
      <c r="DU8" s="10">
        <v>2.5920000000000001E-4</v>
      </c>
      <c r="DV8" s="10">
        <v>2.5920000000000001E-4</v>
      </c>
      <c r="DW8" s="10">
        <v>2.5920000000000001E-4</v>
      </c>
      <c r="DX8" s="10">
        <v>2.5920000000000001E-4</v>
      </c>
      <c r="DY8" s="10">
        <v>8.6399999999999997E-4</v>
      </c>
      <c r="DZ8" s="10">
        <v>8.6399999999999997E-4</v>
      </c>
      <c r="EA8" s="10">
        <v>8.6399999999999997E-4</v>
      </c>
      <c r="EB8" s="10">
        <v>8.6399999999999997E-4</v>
      </c>
      <c r="EC8" s="10">
        <v>8.6399999999999997E-4</v>
      </c>
      <c r="ED8" s="10">
        <v>8.6399999999999997E-4</v>
      </c>
      <c r="EE8" s="10">
        <v>8.6399999999999997E-4</v>
      </c>
      <c r="EF8" s="10">
        <v>8.6399999999999997E-4</v>
      </c>
      <c r="EG8" s="10">
        <v>8.6399999999999997E-4</v>
      </c>
      <c r="EH8" s="10">
        <v>2.5920000000000001E-3</v>
      </c>
      <c r="EI8" s="10">
        <v>2.5920000000000001E-3</v>
      </c>
      <c r="EJ8" s="10">
        <v>2.5920000000000001E-3</v>
      </c>
      <c r="EK8" s="10">
        <v>2.5920000000000001E-3</v>
      </c>
      <c r="EL8" s="10">
        <v>2.5920000000000001E-3</v>
      </c>
      <c r="EM8" s="10">
        <v>2.5920000000000001E-3</v>
      </c>
      <c r="EN8" s="10">
        <v>2.5920000000000001E-3</v>
      </c>
      <c r="EO8" s="10">
        <v>2.5920000000000001E-3</v>
      </c>
      <c r="EP8" s="10">
        <v>2.5920000000000001E-3</v>
      </c>
      <c r="EQ8" s="10">
        <v>8.6400000000000001E-3</v>
      </c>
      <c r="ER8" s="10">
        <v>8.6400000000000001E-3</v>
      </c>
      <c r="ES8" s="10">
        <v>8.6400000000000001E-3</v>
      </c>
      <c r="ET8" s="10">
        <v>8.6400000000000001E-3</v>
      </c>
      <c r="EU8" s="10">
        <v>8.6400000000000001E-3</v>
      </c>
      <c r="EV8" s="10">
        <v>8.6400000000000001E-3</v>
      </c>
      <c r="EW8" s="10">
        <v>8.6400000000000001E-3</v>
      </c>
      <c r="EX8" s="10">
        <v>8.6400000000000001E-3</v>
      </c>
      <c r="EY8" s="10">
        <v>8.6400000000000001E-3</v>
      </c>
      <c r="EZ8" s="10">
        <v>2.5919999999999999E-2</v>
      </c>
      <c r="FA8" s="10">
        <v>2.5919999999999999E-2</v>
      </c>
      <c r="FB8" s="10">
        <v>2.5919999999999999E-2</v>
      </c>
      <c r="FC8" s="10">
        <v>2.5919999999999999E-2</v>
      </c>
      <c r="FD8" s="10">
        <v>2.5919999999999999E-2</v>
      </c>
      <c r="FE8" s="10">
        <v>2.5919999999999999E-2</v>
      </c>
      <c r="FF8" s="10">
        <v>2.5919999999999999E-2</v>
      </c>
      <c r="FG8" s="10">
        <v>2.5919999999999999E-2</v>
      </c>
      <c r="FH8" s="10">
        <v>2.5919999999999999E-2</v>
      </c>
      <c r="FI8" s="10">
        <v>8.6400000000000005E-2</v>
      </c>
      <c r="FJ8" s="10">
        <v>8.6400000000000005E-2</v>
      </c>
      <c r="FK8" s="10">
        <v>8.6400000000000005E-2</v>
      </c>
      <c r="FL8" s="10">
        <v>8.6400000000000005E-2</v>
      </c>
      <c r="FM8" s="10">
        <v>8.6400000000000005E-2</v>
      </c>
      <c r="FN8" s="10">
        <v>8.6400000000000005E-2</v>
      </c>
      <c r="FO8" s="10">
        <v>8.6400000000000005E-2</v>
      </c>
      <c r="FP8" s="10">
        <v>8.6400000000000005E-2</v>
      </c>
      <c r="FQ8" s="10">
        <v>8.6400000000000005E-2</v>
      </c>
      <c r="FR8" s="1">
        <v>8.6399999999999999E-9</v>
      </c>
      <c r="FS8" s="1">
        <v>2.592E-8</v>
      </c>
      <c r="FT8" s="1">
        <v>8.6399999999999993E-8</v>
      </c>
      <c r="FU8" s="1">
        <v>2.5919999999999999E-7</v>
      </c>
      <c r="FV8" s="1">
        <v>8.639999999999999E-7</v>
      </c>
      <c r="FW8" s="1">
        <v>2.5919999999999999E-6</v>
      </c>
      <c r="FX8" s="1">
        <v>8.6400000000000003E-6</v>
      </c>
      <c r="FY8" s="1">
        <v>2.5919999999999999E-5</v>
      </c>
      <c r="FZ8" s="1">
        <v>8.6399999999999999E-5</v>
      </c>
      <c r="GA8" s="1">
        <v>2.5920000000000001E-4</v>
      </c>
      <c r="GB8" s="1">
        <v>8.6399999999999997E-4</v>
      </c>
      <c r="GC8" s="1">
        <v>2.5920000000000001E-3</v>
      </c>
      <c r="GD8" s="1">
        <v>8.6400000000000001E-3</v>
      </c>
      <c r="GE8" s="1">
        <v>2.5919999999999999E-2</v>
      </c>
      <c r="GF8" s="1">
        <v>8.6399999999999991E-2</v>
      </c>
    </row>
    <row r="9" spans="1:188" x14ac:dyDescent="0.45">
      <c r="A9" t="s">
        <v>565</v>
      </c>
      <c r="B9">
        <v>252000</v>
      </c>
      <c r="C9" s="1">
        <v>3.4142469561537862E-4</v>
      </c>
      <c r="D9" s="1">
        <v>3.414246956153786E-6</v>
      </c>
      <c r="E9" s="1">
        <v>3.4142469561537862E-4</v>
      </c>
      <c r="F9" s="1">
        <v>3.414246956153786E-6</v>
      </c>
      <c r="G9" s="1">
        <v>3.4142469561537862E-4</v>
      </c>
      <c r="H9" s="2">
        <v>8</v>
      </c>
      <c r="I9">
        <v>36000</v>
      </c>
      <c r="R9" t="s">
        <v>376</v>
      </c>
      <c r="S9">
        <v>20000000</v>
      </c>
      <c r="U9">
        <v>1957</v>
      </c>
      <c r="V9">
        <v>2520</v>
      </c>
      <c r="W9" s="1">
        <v>6.3200610841889827E-4</v>
      </c>
      <c r="X9" s="1">
        <f t="shared" si="0"/>
        <v>6.3200610841889829E-6</v>
      </c>
      <c r="Y9" s="1">
        <f t="shared" si="1"/>
        <v>6.3200610841889827E-4</v>
      </c>
      <c r="Z9" s="1">
        <f t="shared" si="2"/>
        <v>6.3200610841889829E-6</v>
      </c>
      <c r="AA9" s="1">
        <f t="shared" si="3"/>
        <v>6.3200610841889827E-4</v>
      </c>
      <c r="AJ9" t="s">
        <v>376</v>
      </c>
      <c r="AK9">
        <v>20000000</v>
      </c>
      <c r="AM9" s="1">
        <v>8.6400000000000001E-3</v>
      </c>
      <c r="AN9" s="1">
        <v>2.5919999999999999E-2</v>
      </c>
      <c r="AO9" s="1">
        <v>8.6400000000000005E-2</v>
      </c>
      <c r="AP9" s="1">
        <v>0.25919999999999999</v>
      </c>
      <c r="AQ9" s="1">
        <v>0.86399999999999999</v>
      </c>
      <c r="AR9" s="1">
        <v>2.5920000000000001</v>
      </c>
      <c r="AS9" s="1">
        <v>8.64</v>
      </c>
      <c r="AT9" s="1">
        <v>25.92</v>
      </c>
      <c r="AU9" s="1">
        <v>86.4</v>
      </c>
      <c r="AV9" s="1">
        <v>8.6400000000000001E-3</v>
      </c>
      <c r="AW9" s="1">
        <v>2.5919999999999999E-2</v>
      </c>
      <c r="AX9" s="1">
        <v>8.6400000000000005E-2</v>
      </c>
      <c r="AY9" s="1">
        <v>0.25919999999999999</v>
      </c>
      <c r="AZ9" s="1">
        <v>0.86399999999999999</v>
      </c>
      <c r="BA9" s="1">
        <v>2.5920000000000001</v>
      </c>
      <c r="BB9" s="1">
        <v>8.64</v>
      </c>
      <c r="BC9" s="1">
        <v>25.92</v>
      </c>
      <c r="BD9" s="1">
        <v>86.4</v>
      </c>
      <c r="BE9" s="1">
        <v>8.6400000000000001E-3</v>
      </c>
      <c r="BF9" s="1">
        <v>2.5919999999999999E-2</v>
      </c>
      <c r="BG9" s="1">
        <v>8.6400000000000005E-2</v>
      </c>
      <c r="BH9" s="1">
        <v>0.25919999999999999</v>
      </c>
      <c r="BI9" s="1">
        <v>0.86399999999999999</v>
      </c>
      <c r="BJ9" s="1">
        <v>2.5920000000000001</v>
      </c>
      <c r="BK9" s="1">
        <v>8.64</v>
      </c>
      <c r="BL9" s="1">
        <v>25.92</v>
      </c>
      <c r="BM9" s="1">
        <v>86.4</v>
      </c>
      <c r="BN9" s="1">
        <v>8.6400000000000001E-3</v>
      </c>
      <c r="BO9" s="1">
        <v>2.5919999999999999E-2</v>
      </c>
      <c r="BP9" s="1">
        <v>8.6400000000000005E-2</v>
      </c>
      <c r="BQ9" s="1">
        <v>0.25919999999999999</v>
      </c>
      <c r="BR9" s="1">
        <v>0.86399999999999999</v>
      </c>
      <c r="BS9" s="1">
        <v>2.5920000000000001</v>
      </c>
      <c r="BT9" s="1">
        <v>8.64</v>
      </c>
      <c r="BU9" s="1">
        <v>25.92</v>
      </c>
      <c r="BV9" s="1">
        <v>86.4</v>
      </c>
      <c r="BW9" s="1">
        <v>8.6400000000000001E-3</v>
      </c>
      <c r="BX9" s="1">
        <v>2.5919999999999999E-2</v>
      </c>
      <c r="BY9" s="1">
        <v>8.6400000000000005E-2</v>
      </c>
      <c r="BZ9" s="1">
        <v>0.25919999999999999</v>
      </c>
      <c r="CA9" s="1">
        <v>0.86399999999999999</v>
      </c>
      <c r="CB9" s="1">
        <v>2.5920000000000001</v>
      </c>
      <c r="CC9" s="1">
        <v>8.64</v>
      </c>
      <c r="CD9" s="1">
        <v>25.92</v>
      </c>
      <c r="CE9" s="1">
        <v>86.4</v>
      </c>
      <c r="CF9" s="1">
        <v>8.6400000000000001E-3</v>
      </c>
      <c r="CG9" s="1">
        <v>2.5919999999999999E-2</v>
      </c>
      <c r="CH9" s="1">
        <v>8.6400000000000005E-2</v>
      </c>
      <c r="CI9" s="1">
        <v>0.25919999999999999</v>
      </c>
      <c r="CJ9" s="1">
        <v>0.86399999999999999</v>
      </c>
      <c r="CK9" s="1">
        <v>2.5920000000000001</v>
      </c>
      <c r="CL9" s="1">
        <v>8.64</v>
      </c>
      <c r="CM9" s="1">
        <v>25.92</v>
      </c>
      <c r="CN9" s="1">
        <v>86.4</v>
      </c>
      <c r="CO9" s="1">
        <v>8.6400000000000001E-3</v>
      </c>
      <c r="CP9" s="1">
        <v>2.5919999999999999E-2</v>
      </c>
      <c r="CQ9" s="1">
        <v>8.6400000000000005E-2</v>
      </c>
      <c r="CR9" s="1">
        <v>0.25919999999999999</v>
      </c>
      <c r="CS9" s="1">
        <v>0.86399999999999999</v>
      </c>
      <c r="CT9" s="1">
        <v>2.5920000000000001</v>
      </c>
      <c r="CU9" s="1">
        <v>8.64</v>
      </c>
      <c r="CV9" s="1">
        <v>25.92</v>
      </c>
      <c r="CW9" s="1">
        <v>86.4</v>
      </c>
      <c r="CX9" s="1">
        <v>8.6400000000000001E-3</v>
      </c>
      <c r="CY9" s="1">
        <v>2.5919999999999999E-2</v>
      </c>
      <c r="CZ9" s="1">
        <v>8.6400000000000005E-2</v>
      </c>
      <c r="DA9" s="1">
        <v>0.25919999999999999</v>
      </c>
      <c r="DB9" s="1">
        <v>0.86399999999999999</v>
      </c>
      <c r="DC9" s="1">
        <v>2.5920000000000001</v>
      </c>
      <c r="DD9" s="1">
        <v>8.64</v>
      </c>
      <c r="DE9" s="1">
        <v>25.92</v>
      </c>
      <c r="DF9" s="1">
        <v>86.4</v>
      </c>
      <c r="DG9" s="1">
        <v>8.6400000000000001E-3</v>
      </c>
      <c r="DH9" s="1">
        <v>2.5919999999999999E-2</v>
      </c>
      <c r="DI9" s="1">
        <v>8.6400000000000005E-2</v>
      </c>
      <c r="DJ9" s="1">
        <v>0.25919999999999999</v>
      </c>
      <c r="DK9" s="1">
        <v>0.86399999999999999</v>
      </c>
      <c r="DL9" s="1">
        <v>2.5920000000000001</v>
      </c>
      <c r="DM9" s="1">
        <v>8.64</v>
      </c>
      <c r="DN9" s="1">
        <v>25.92</v>
      </c>
      <c r="DO9" s="1">
        <v>86.4</v>
      </c>
      <c r="DP9" s="1">
        <v>8.6400000000000001E-3</v>
      </c>
      <c r="DQ9" s="1">
        <v>2.5919999999999999E-2</v>
      </c>
      <c r="DR9" s="1">
        <v>8.6400000000000005E-2</v>
      </c>
      <c r="DS9" s="1">
        <v>0.25919999999999999</v>
      </c>
      <c r="DT9" s="1">
        <v>0.86399999999999999</v>
      </c>
      <c r="DU9" s="1">
        <v>2.5920000000000001</v>
      </c>
      <c r="DV9" s="1">
        <v>8.64</v>
      </c>
      <c r="DW9" s="1">
        <v>25.92</v>
      </c>
      <c r="DX9" s="1">
        <v>86.4</v>
      </c>
      <c r="DY9" s="1">
        <v>8.6400000000000001E-3</v>
      </c>
      <c r="DZ9" s="1">
        <v>2.5919999999999999E-2</v>
      </c>
      <c r="EA9" s="1">
        <v>8.6400000000000005E-2</v>
      </c>
      <c r="EB9" s="1">
        <v>0.25919999999999999</v>
      </c>
      <c r="EC9" s="1">
        <v>0.86399999999999999</v>
      </c>
      <c r="ED9" s="1">
        <v>2.5920000000000001</v>
      </c>
      <c r="EE9" s="1">
        <v>8.64</v>
      </c>
      <c r="EF9" s="1">
        <v>25.92</v>
      </c>
      <c r="EG9" s="1">
        <v>86.4</v>
      </c>
      <c r="EH9" s="1">
        <v>8.6400000000000001E-3</v>
      </c>
      <c r="EI9" s="1">
        <v>2.5919999999999999E-2</v>
      </c>
      <c r="EJ9" s="1">
        <v>8.6400000000000005E-2</v>
      </c>
      <c r="EK9" s="1">
        <v>0.25919999999999999</v>
      </c>
      <c r="EL9" s="1">
        <v>0.86399999999999999</v>
      </c>
      <c r="EM9" s="1">
        <v>2.5920000000000001</v>
      </c>
      <c r="EN9" s="1">
        <v>8.64</v>
      </c>
      <c r="EO9" s="1">
        <v>25.92</v>
      </c>
      <c r="EP9" s="1">
        <v>86.4</v>
      </c>
      <c r="EQ9" s="1">
        <v>8.6400000000000001E-3</v>
      </c>
      <c r="ER9" s="1">
        <v>2.5919999999999999E-2</v>
      </c>
      <c r="ES9" s="1">
        <v>8.6400000000000005E-2</v>
      </c>
      <c r="ET9" s="1">
        <v>0.25919999999999999</v>
      </c>
      <c r="EU9" s="1">
        <v>0.86399999999999999</v>
      </c>
      <c r="EV9" s="1">
        <v>2.5920000000000001</v>
      </c>
      <c r="EW9" s="1">
        <v>8.64</v>
      </c>
      <c r="EX9" s="1">
        <v>25.92</v>
      </c>
      <c r="EY9" s="1">
        <v>86.4</v>
      </c>
      <c r="EZ9" s="1">
        <v>8.6400000000000001E-3</v>
      </c>
      <c r="FA9" s="1">
        <v>2.5919999999999999E-2</v>
      </c>
      <c r="FB9" s="1">
        <v>8.6400000000000005E-2</v>
      </c>
      <c r="FC9" s="1">
        <v>0.25919999999999999</v>
      </c>
      <c r="FD9" s="1">
        <v>0.86399999999999999</v>
      </c>
      <c r="FE9" s="1">
        <v>2.5920000000000001</v>
      </c>
      <c r="FF9" s="1">
        <v>8.64</v>
      </c>
      <c r="FG9" s="1">
        <v>25.92</v>
      </c>
      <c r="FH9" s="1">
        <v>86.4</v>
      </c>
      <c r="FI9" s="1">
        <v>8.6400000000000001E-3</v>
      </c>
      <c r="FJ9" s="1">
        <v>2.5919999999999999E-2</v>
      </c>
      <c r="FK9" s="1">
        <v>8.6400000000000005E-2</v>
      </c>
      <c r="FL9" s="1">
        <v>0.25919999999999999</v>
      </c>
      <c r="FM9" s="1">
        <v>0.86399999999999999</v>
      </c>
      <c r="FN9" s="1">
        <v>2.5920000000000001</v>
      </c>
      <c r="FO9" s="1">
        <v>8.64</v>
      </c>
      <c r="FP9" s="1">
        <v>25.92</v>
      </c>
      <c r="FQ9" s="1">
        <v>86.4</v>
      </c>
      <c r="FR9" s="1">
        <v>43.2</v>
      </c>
      <c r="FS9" s="1">
        <v>43.2</v>
      </c>
      <c r="FT9" s="1">
        <v>43.2</v>
      </c>
      <c r="FU9" s="1">
        <v>43.2</v>
      </c>
      <c r="FV9" s="1">
        <v>43.2</v>
      </c>
      <c r="FW9" s="1">
        <v>43.2</v>
      </c>
      <c r="FX9" s="1">
        <v>43.2</v>
      </c>
      <c r="FY9" s="1">
        <v>43.2</v>
      </c>
      <c r="FZ9" s="1">
        <v>43.2</v>
      </c>
      <c r="GA9" s="1">
        <v>43.2</v>
      </c>
      <c r="GB9" s="1">
        <v>43.2</v>
      </c>
      <c r="GC9" s="1">
        <v>43.2</v>
      </c>
      <c r="GD9" s="1">
        <v>43.2</v>
      </c>
      <c r="GE9" s="1">
        <v>43.2</v>
      </c>
      <c r="GF9" s="1">
        <v>43.2</v>
      </c>
    </row>
    <row r="10" spans="1:188" x14ac:dyDescent="0.45">
      <c r="A10" t="s">
        <v>566</v>
      </c>
      <c r="B10">
        <v>288000</v>
      </c>
      <c r="C10" s="1">
        <v>3.0352732326575341E-4</v>
      </c>
      <c r="D10" s="1">
        <v>3.0352732326575342E-6</v>
      </c>
      <c r="E10" s="1">
        <v>3.0352732326575341E-4</v>
      </c>
      <c r="F10" s="1">
        <v>3.0352732326575342E-6</v>
      </c>
      <c r="G10" s="1">
        <v>3.0352732326575341E-4</v>
      </c>
      <c r="H10" s="2">
        <v>9</v>
      </c>
      <c r="I10">
        <v>36000</v>
      </c>
      <c r="R10" t="s">
        <v>377</v>
      </c>
      <c r="S10">
        <v>0</v>
      </c>
      <c r="U10">
        <v>1958</v>
      </c>
      <c r="V10">
        <v>2880</v>
      </c>
      <c r="W10" s="1">
        <v>5.2246609042495211E-4</v>
      </c>
      <c r="X10" s="1">
        <f t="shared" si="0"/>
        <v>5.2246609042495213E-6</v>
      </c>
      <c r="Y10" s="1">
        <f t="shared" si="1"/>
        <v>5.2246609042495211E-4</v>
      </c>
      <c r="Z10" s="1">
        <f t="shared" si="2"/>
        <v>5.2246609042495213E-6</v>
      </c>
      <c r="AA10" s="1">
        <f t="shared" si="3"/>
        <v>5.2246609042495211E-4</v>
      </c>
      <c r="AJ10" t="s">
        <v>377</v>
      </c>
      <c r="AK10">
        <v>0</v>
      </c>
      <c r="AM10" s="10">
        <v>8.6399999999999999E-9</v>
      </c>
      <c r="AN10" s="10">
        <v>8.6399999999999999E-9</v>
      </c>
      <c r="AO10" s="10">
        <v>8.6399999999999999E-9</v>
      </c>
      <c r="AP10" s="10">
        <v>8.6399999999999999E-9</v>
      </c>
      <c r="AQ10" s="10">
        <v>8.6399999999999999E-9</v>
      </c>
      <c r="AR10" s="10">
        <v>8.6399999999999999E-9</v>
      </c>
      <c r="AS10" s="10">
        <v>8.6399999999999999E-9</v>
      </c>
      <c r="AT10" s="10">
        <v>8.6399999999999999E-9</v>
      </c>
      <c r="AU10" s="10">
        <v>8.6399999999999999E-9</v>
      </c>
      <c r="AV10" s="10">
        <v>2.592E-8</v>
      </c>
      <c r="AW10" s="10">
        <v>2.592E-8</v>
      </c>
      <c r="AX10" s="10">
        <v>2.592E-8</v>
      </c>
      <c r="AY10" s="10">
        <v>2.592E-8</v>
      </c>
      <c r="AZ10" s="10">
        <v>2.592E-8</v>
      </c>
      <c r="BA10" s="10">
        <v>2.592E-8</v>
      </c>
      <c r="BB10" s="10">
        <v>2.592E-8</v>
      </c>
      <c r="BC10" s="10">
        <v>2.592E-8</v>
      </c>
      <c r="BD10" s="10">
        <v>2.592E-8</v>
      </c>
      <c r="BE10" s="10">
        <v>8.6400000000000006E-8</v>
      </c>
      <c r="BF10" s="10">
        <v>8.6400000000000006E-8</v>
      </c>
      <c r="BG10" s="10">
        <v>8.6400000000000006E-8</v>
      </c>
      <c r="BH10" s="10">
        <v>8.6400000000000006E-8</v>
      </c>
      <c r="BI10" s="10">
        <v>8.6400000000000006E-8</v>
      </c>
      <c r="BJ10" s="10">
        <v>8.6400000000000006E-8</v>
      </c>
      <c r="BK10" s="10">
        <v>8.6400000000000006E-8</v>
      </c>
      <c r="BL10" s="10">
        <v>8.6400000000000006E-8</v>
      </c>
      <c r="BM10" s="10">
        <v>8.6400000000000006E-8</v>
      </c>
      <c r="BN10" s="10">
        <v>2.5919999999999999E-7</v>
      </c>
      <c r="BO10" s="10">
        <v>2.5919999999999999E-7</v>
      </c>
      <c r="BP10" s="10">
        <v>2.5919999999999999E-7</v>
      </c>
      <c r="BQ10" s="10">
        <v>2.5919999999999999E-7</v>
      </c>
      <c r="BR10" s="10">
        <v>2.5919999999999999E-7</v>
      </c>
      <c r="BS10" s="10">
        <v>2.5919999999999999E-7</v>
      </c>
      <c r="BT10" s="10">
        <v>2.5919999999999999E-7</v>
      </c>
      <c r="BU10" s="10">
        <v>2.5919999999999999E-7</v>
      </c>
      <c r="BV10" s="10">
        <v>2.5919999999999999E-7</v>
      </c>
      <c r="BW10" s="10">
        <v>8.6400000000000001E-7</v>
      </c>
      <c r="BX10" s="10">
        <v>8.6400000000000001E-7</v>
      </c>
      <c r="BY10" s="10">
        <v>8.6400000000000001E-7</v>
      </c>
      <c r="BZ10" s="10">
        <v>8.6400000000000001E-7</v>
      </c>
      <c r="CA10" s="10">
        <v>8.6400000000000001E-7</v>
      </c>
      <c r="CB10" s="10">
        <v>8.6400000000000001E-7</v>
      </c>
      <c r="CC10" s="10">
        <v>8.6400000000000001E-7</v>
      </c>
      <c r="CD10" s="10">
        <v>8.6400000000000001E-7</v>
      </c>
      <c r="CE10" s="10">
        <v>8.6400000000000001E-7</v>
      </c>
      <c r="CF10" s="10">
        <v>2.5919999999999999E-6</v>
      </c>
      <c r="CG10" s="10">
        <v>2.5919999999999999E-6</v>
      </c>
      <c r="CH10" s="10">
        <v>2.5919999999999999E-6</v>
      </c>
      <c r="CI10" s="10">
        <v>2.5919999999999999E-6</v>
      </c>
      <c r="CJ10" s="10">
        <v>2.5919999999999999E-6</v>
      </c>
      <c r="CK10" s="10">
        <v>2.5919999999999999E-6</v>
      </c>
      <c r="CL10" s="10">
        <v>2.5919999999999999E-6</v>
      </c>
      <c r="CM10" s="10">
        <v>2.5919999999999999E-6</v>
      </c>
      <c r="CN10" s="10">
        <v>2.5919999999999999E-6</v>
      </c>
      <c r="CO10" s="10">
        <v>8.6400000000000003E-6</v>
      </c>
      <c r="CP10" s="10">
        <v>8.6400000000000003E-6</v>
      </c>
      <c r="CQ10" s="10">
        <v>8.6400000000000003E-6</v>
      </c>
      <c r="CR10" s="10">
        <v>8.6400000000000003E-6</v>
      </c>
      <c r="CS10" s="10">
        <v>8.6400000000000003E-6</v>
      </c>
      <c r="CT10" s="10">
        <v>8.6400000000000003E-6</v>
      </c>
      <c r="CU10" s="10">
        <v>8.6400000000000003E-6</v>
      </c>
      <c r="CV10" s="10">
        <v>8.6400000000000003E-6</v>
      </c>
      <c r="CW10" s="10">
        <v>8.6400000000000003E-6</v>
      </c>
      <c r="CX10" s="10">
        <v>2.5919999999999999E-5</v>
      </c>
      <c r="CY10" s="10">
        <v>2.5919999999999999E-5</v>
      </c>
      <c r="CZ10" s="10">
        <v>2.5919999999999999E-5</v>
      </c>
      <c r="DA10" s="10">
        <v>2.5919999999999999E-5</v>
      </c>
      <c r="DB10" s="10">
        <v>2.5919999999999999E-5</v>
      </c>
      <c r="DC10" s="10">
        <v>2.5919999999999999E-5</v>
      </c>
      <c r="DD10" s="10">
        <v>2.5919999999999999E-5</v>
      </c>
      <c r="DE10" s="10">
        <v>2.5919999999999999E-5</v>
      </c>
      <c r="DF10" s="10">
        <v>2.5919999999999999E-5</v>
      </c>
      <c r="DG10" s="10">
        <v>8.6399999999999999E-5</v>
      </c>
      <c r="DH10" s="10">
        <v>8.6399999999999999E-5</v>
      </c>
      <c r="DI10" s="10">
        <v>8.6399999999999999E-5</v>
      </c>
      <c r="DJ10" s="10">
        <v>8.6399999999999999E-5</v>
      </c>
      <c r="DK10" s="10">
        <v>8.6399999999999999E-5</v>
      </c>
      <c r="DL10" s="10">
        <v>8.6399999999999999E-5</v>
      </c>
      <c r="DM10" s="10">
        <v>8.6399999999999999E-5</v>
      </c>
      <c r="DN10" s="10">
        <v>8.6399999999999999E-5</v>
      </c>
      <c r="DO10" s="10">
        <v>8.6399999999999999E-5</v>
      </c>
      <c r="DP10" s="10">
        <v>2.5920000000000001E-4</v>
      </c>
      <c r="DQ10" s="10">
        <v>2.5920000000000001E-4</v>
      </c>
      <c r="DR10" s="10">
        <v>2.5920000000000001E-4</v>
      </c>
      <c r="DS10" s="10">
        <v>2.5920000000000001E-4</v>
      </c>
      <c r="DT10" s="10">
        <v>2.5920000000000001E-4</v>
      </c>
      <c r="DU10" s="10">
        <v>2.5920000000000001E-4</v>
      </c>
      <c r="DV10" s="10">
        <v>2.5920000000000001E-4</v>
      </c>
      <c r="DW10" s="10">
        <v>2.5920000000000001E-4</v>
      </c>
      <c r="DX10" s="10">
        <v>2.5920000000000001E-4</v>
      </c>
      <c r="DY10" s="10">
        <v>8.6399999999999997E-4</v>
      </c>
      <c r="DZ10" s="10">
        <v>8.6399999999999997E-4</v>
      </c>
      <c r="EA10" s="10">
        <v>8.6399999999999997E-4</v>
      </c>
      <c r="EB10" s="10">
        <v>8.6399999999999997E-4</v>
      </c>
      <c r="EC10" s="10">
        <v>8.6399999999999997E-4</v>
      </c>
      <c r="ED10" s="10">
        <v>8.6399999999999997E-4</v>
      </c>
      <c r="EE10" s="10">
        <v>8.6399999999999997E-4</v>
      </c>
      <c r="EF10" s="10">
        <v>8.6399999999999997E-4</v>
      </c>
      <c r="EG10" s="10">
        <v>8.6399999999999997E-4</v>
      </c>
      <c r="EH10" s="10">
        <v>2.5920000000000001E-3</v>
      </c>
      <c r="EI10" s="10">
        <v>2.5920000000000001E-3</v>
      </c>
      <c r="EJ10" s="10">
        <v>2.5920000000000001E-3</v>
      </c>
      <c r="EK10" s="10">
        <v>2.5920000000000001E-3</v>
      </c>
      <c r="EL10" s="10">
        <v>2.5920000000000001E-3</v>
      </c>
      <c r="EM10" s="10">
        <v>2.5920000000000001E-3</v>
      </c>
      <c r="EN10" s="10">
        <v>2.5920000000000001E-3</v>
      </c>
      <c r="EO10" s="10">
        <v>2.5920000000000001E-3</v>
      </c>
      <c r="EP10" s="10">
        <v>2.5920000000000001E-3</v>
      </c>
      <c r="EQ10" s="10">
        <v>8.6400000000000001E-3</v>
      </c>
      <c r="ER10" s="10">
        <v>8.6400000000000001E-3</v>
      </c>
      <c r="ES10" s="10">
        <v>8.6400000000000001E-3</v>
      </c>
      <c r="ET10" s="10">
        <v>8.6400000000000001E-3</v>
      </c>
      <c r="EU10" s="10">
        <v>8.6400000000000001E-3</v>
      </c>
      <c r="EV10" s="10">
        <v>8.6400000000000001E-3</v>
      </c>
      <c r="EW10" s="10">
        <v>8.6400000000000001E-3</v>
      </c>
      <c r="EX10" s="10">
        <v>8.6400000000000001E-3</v>
      </c>
      <c r="EY10" s="10">
        <v>8.6400000000000001E-3</v>
      </c>
      <c r="EZ10" s="10">
        <v>2.5919999999999999E-2</v>
      </c>
      <c r="FA10" s="10">
        <v>2.5919999999999999E-2</v>
      </c>
      <c r="FB10" s="10">
        <v>2.5919999999999999E-2</v>
      </c>
      <c r="FC10" s="10">
        <v>2.5919999999999999E-2</v>
      </c>
      <c r="FD10" s="10">
        <v>2.5919999999999999E-2</v>
      </c>
      <c r="FE10" s="10">
        <v>2.5919999999999999E-2</v>
      </c>
      <c r="FF10" s="10">
        <v>2.5919999999999999E-2</v>
      </c>
      <c r="FG10" s="10">
        <v>2.5919999999999999E-2</v>
      </c>
      <c r="FH10" s="10">
        <v>2.5919999999999999E-2</v>
      </c>
      <c r="FI10" s="10">
        <v>8.6400000000000005E-2</v>
      </c>
      <c r="FJ10" s="10">
        <v>8.6400000000000005E-2</v>
      </c>
      <c r="FK10" s="10">
        <v>8.6400000000000005E-2</v>
      </c>
      <c r="FL10" s="10">
        <v>8.6400000000000005E-2</v>
      </c>
      <c r="FM10" s="10">
        <v>8.6400000000000005E-2</v>
      </c>
      <c r="FN10" s="10">
        <v>8.6400000000000005E-2</v>
      </c>
      <c r="FO10" s="10">
        <v>8.6400000000000005E-2</v>
      </c>
      <c r="FP10" s="10">
        <v>8.6400000000000005E-2</v>
      </c>
      <c r="FQ10" s="10">
        <v>8.6400000000000005E-2</v>
      </c>
      <c r="FR10" s="1">
        <v>8.6399999999999999E-9</v>
      </c>
      <c r="FS10" s="1">
        <v>2.592E-8</v>
      </c>
      <c r="FT10" s="1">
        <v>8.6399999999999993E-8</v>
      </c>
      <c r="FU10" s="1">
        <v>2.5919999999999999E-7</v>
      </c>
      <c r="FV10" s="1">
        <v>8.639999999999999E-7</v>
      </c>
      <c r="FW10" s="1">
        <v>2.5919999999999999E-6</v>
      </c>
      <c r="FX10" s="1">
        <v>8.6400000000000003E-6</v>
      </c>
      <c r="FY10" s="1">
        <v>2.5919999999999999E-5</v>
      </c>
      <c r="FZ10" s="1">
        <v>8.6399999999999999E-5</v>
      </c>
      <c r="GA10" s="1">
        <v>2.5920000000000001E-4</v>
      </c>
      <c r="GB10" s="1">
        <v>8.6399999999999997E-4</v>
      </c>
      <c r="GC10" s="1">
        <v>2.5920000000000001E-3</v>
      </c>
      <c r="GD10" s="1">
        <v>8.6400000000000001E-3</v>
      </c>
      <c r="GE10" s="1">
        <v>2.5919999999999999E-2</v>
      </c>
      <c r="GF10" s="1">
        <v>8.6399999999999991E-2</v>
      </c>
    </row>
    <row r="11" spans="1:188" x14ac:dyDescent="0.45">
      <c r="A11" t="s">
        <v>567</v>
      </c>
      <c r="B11">
        <v>324000</v>
      </c>
      <c r="C11" s="1">
        <v>2.9584149278148589E-4</v>
      </c>
      <c r="D11" s="1">
        <v>2.9584149278148592E-6</v>
      </c>
      <c r="E11" s="1">
        <v>2.9584149278148589E-4</v>
      </c>
      <c r="F11" s="1">
        <v>2.9584149278148592E-6</v>
      </c>
      <c r="G11" s="1">
        <v>2.9584149278148589E-4</v>
      </c>
      <c r="H11" s="2">
        <v>10</v>
      </c>
      <c r="I11">
        <v>36000</v>
      </c>
      <c r="K11" s="1"/>
      <c r="L11" s="1"/>
      <c r="M11" s="1"/>
      <c r="N11" s="2"/>
      <c r="R11" t="s">
        <v>377</v>
      </c>
      <c r="S11">
        <v>7587000</v>
      </c>
      <c r="U11">
        <v>1959</v>
      </c>
      <c r="V11">
        <v>3240</v>
      </c>
      <c r="W11" s="1">
        <v>5.7275828508846535E-4</v>
      </c>
      <c r="X11" s="1">
        <f t="shared" si="0"/>
        <v>5.7275828508846533E-6</v>
      </c>
      <c r="Y11" s="1">
        <f t="shared" si="1"/>
        <v>5.7275828508846535E-4</v>
      </c>
      <c r="Z11" s="1">
        <f t="shared" si="2"/>
        <v>5.7275828508846533E-6</v>
      </c>
      <c r="AA11" s="1">
        <f t="shared" si="3"/>
        <v>5.7275828508846535E-4</v>
      </c>
      <c r="AJ11" t="s">
        <v>377</v>
      </c>
      <c r="AK11">
        <v>27000</v>
      </c>
      <c r="AM11" s="1">
        <v>8.6400000000000001E-3</v>
      </c>
      <c r="AN11" s="1">
        <v>2.5919999999999999E-2</v>
      </c>
      <c r="AO11" s="1">
        <v>8.6400000000000005E-2</v>
      </c>
      <c r="AP11" s="1">
        <v>0.25919999999999999</v>
      </c>
      <c r="AQ11" s="1">
        <v>0.86399999999999999</v>
      </c>
      <c r="AR11" s="1">
        <v>2.5920000000000001</v>
      </c>
      <c r="AS11" s="1">
        <v>8.64</v>
      </c>
      <c r="AT11" s="1">
        <v>25.92</v>
      </c>
      <c r="AU11" s="1">
        <v>86.4</v>
      </c>
      <c r="AV11" s="1">
        <v>8.6400000000000001E-3</v>
      </c>
      <c r="AW11" s="1">
        <v>2.5919999999999999E-2</v>
      </c>
      <c r="AX11" s="1">
        <v>8.6400000000000005E-2</v>
      </c>
      <c r="AY11" s="1">
        <v>0.25919999999999999</v>
      </c>
      <c r="AZ11" s="1">
        <v>0.86399999999999999</v>
      </c>
      <c r="BA11" s="1">
        <v>2.5920000000000001</v>
      </c>
      <c r="BB11" s="1">
        <v>8.64</v>
      </c>
      <c r="BC11" s="1">
        <v>25.92</v>
      </c>
      <c r="BD11" s="1">
        <v>86.4</v>
      </c>
      <c r="BE11" s="1">
        <v>8.6400000000000001E-3</v>
      </c>
      <c r="BF11" s="1">
        <v>2.5919999999999999E-2</v>
      </c>
      <c r="BG11" s="1">
        <v>8.6400000000000005E-2</v>
      </c>
      <c r="BH11" s="1">
        <v>0.25919999999999999</v>
      </c>
      <c r="BI11" s="1">
        <v>0.86399999999999999</v>
      </c>
      <c r="BJ11" s="1">
        <v>2.5920000000000001</v>
      </c>
      <c r="BK11" s="1">
        <v>8.64</v>
      </c>
      <c r="BL11" s="1">
        <v>25.92</v>
      </c>
      <c r="BM11" s="1">
        <v>86.4</v>
      </c>
      <c r="BN11" s="1">
        <v>8.6400000000000001E-3</v>
      </c>
      <c r="BO11" s="1">
        <v>2.5919999999999999E-2</v>
      </c>
      <c r="BP11" s="1">
        <v>8.6400000000000005E-2</v>
      </c>
      <c r="BQ11" s="1">
        <v>0.25919999999999999</v>
      </c>
      <c r="BR11" s="1">
        <v>0.86399999999999999</v>
      </c>
      <c r="BS11" s="1">
        <v>2.5920000000000001</v>
      </c>
      <c r="BT11" s="1">
        <v>8.64</v>
      </c>
      <c r="BU11" s="1">
        <v>25.92</v>
      </c>
      <c r="BV11" s="1">
        <v>86.4</v>
      </c>
      <c r="BW11" s="1">
        <v>8.6400000000000001E-3</v>
      </c>
      <c r="BX11" s="1">
        <v>2.5919999999999999E-2</v>
      </c>
      <c r="BY11" s="1">
        <v>8.6400000000000005E-2</v>
      </c>
      <c r="BZ11" s="1">
        <v>0.25919999999999999</v>
      </c>
      <c r="CA11" s="1">
        <v>0.86399999999999999</v>
      </c>
      <c r="CB11" s="1">
        <v>2.5920000000000001</v>
      </c>
      <c r="CC11" s="1">
        <v>8.64</v>
      </c>
      <c r="CD11" s="1">
        <v>25.92</v>
      </c>
      <c r="CE11" s="1">
        <v>86.4</v>
      </c>
      <c r="CF11" s="1">
        <v>8.6400000000000001E-3</v>
      </c>
      <c r="CG11" s="1">
        <v>2.5919999999999999E-2</v>
      </c>
      <c r="CH11" s="1">
        <v>8.6400000000000005E-2</v>
      </c>
      <c r="CI11" s="1">
        <v>0.25919999999999999</v>
      </c>
      <c r="CJ11" s="1">
        <v>0.86399999999999999</v>
      </c>
      <c r="CK11" s="1">
        <v>2.5920000000000001</v>
      </c>
      <c r="CL11" s="1">
        <v>8.64</v>
      </c>
      <c r="CM11" s="1">
        <v>25.92</v>
      </c>
      <c r="CN11" s="1">
        <v>86.4</v>
      </c>
      <c r="CO11" s="1">
        <v>8.6400000000000001E-3</v>
      </c>
      <c r="CP11" s="1">
        <v>2.5919999999999999E-2</v>
      </c>
      <c r="CQ11" s="1">
        <v>8.6400000000000005E-2</v>
      </c>
      <c r="CR11" s="1">
        <v>0.25919999999999999</v>
      </c>
      <c r="CS11" s="1">
        <v>0.86399999999999999</v>
      </c>
      <c r="CT11" s="1">
        <v>2.5920000000000001</v>
      </c>
      <c r="CU11" s="1">
        <v>8.64</v>
      </c>
      <c r="CV11" s="1">
        <v>25.92</v>
      </c>
      <c r="CW11" s="1">
        <v>86.4</v>
      </c>
      <c r="CX11" s="1">
        <v>8.6400000000000001E-3</v>
      </c>
      <c r="CY11" s="1">
        <v>2.5919999999999999E-2</v>
      </c>
      <c r="CZ11" s="1">
        <v>8.6400000000000005E-2</v>
      </c>
      <c r="DA11" s="1">
        <v>0.25919999999999999</v>
      </c>
      <c r="DB11" s="1">
        <v>0.86399999999999999</v>
      </c>
      <c r="DC11" s="1">
        <v>2.5920000000000001</v>
      </c>
      <c r="DD11" s="1">
        <v>8.64</v>
      </c>
      <c r="DE11" s="1">
        <v>25.92</v>
      </c>
      <c r="DF11" s="1">
        <v>86.4</v>
      </c>
      <c r="DG11" s="1">
        <v>8.6400000000000001E-3</v>
      </c>
      <c r="DH11" s="1">
        <v>2.5919999999999999E-2</v>
      </c>
      <c r="DI11" s="1">
        <v>8.6400000000000005E-2</v>
      </c>
      <c r="DJ11" s="1">
        <v>0.25919999999999999</v>
      </c>
      <c r="DK11" s="1">
        <v>0.86399999999999999</v>
      </c>
      <c r="DL11" s="1">
        <v>2.5920000000000001</v>
      </c>
      <c r="DM11" s="1">
        <v>8.64</v>
      </c>
      <c r="DN11" s="1">
        <v>25.92</v>
      </c>
      <c r="DO11" s="1">
        <v>86.4</v>
      </c>
      <c r="DP11" s="1">
        <v>8.6400000000000001E-3</v>
      </c>
      <c r="DQ11" s="1">
        <v>2.5919999999999999E-2</v>
      </c>
      <c r="DR11" s="1">
        <v>8.6400000000000005E-2</v>
      </c>
      <c r="DS11" s="1">
        <v>0.25919999999999999</v>
      </c>
      <c r="DT11" s="1">
        <v>0.86399999999999999</v>
      </c>
      <c r="DU11" s="1">
        <v>2.5920000000000001</v>
      </c>
      <c r="DV11" s="1">
        <v>8.64</v>
      </c>
      <c r="DW11" s="1">
        <v>25.92</v>
      </c>
      <c r="DX11" s="1">
        <v>86.4</v>
      </c>
      <c r="DY11" s="1">
        <v>8.6400000000000001E-3</v>
      </c>
      <c r="DZ11" s="1">
        <v>2.5919999999999999E-2</v>
      </c>
      <c r="EA11" s="1">
        <v>8.6400000000000005E-2</v>
      </c>
      <c r="EB11" s="1">
        <v>0.25919999999999999</v>
      </c>
      <c r="EC11" s="1">
        <v>0.86399999999999999</v>
      </c>
      <c r="ED11" s="1">
        <v>2.5920000000000001</v>
      </c>
      <c r="EE11" s="1">
        <v>8.64</v>
      </c>
      <c r="EF11" s="1">
        <v>25.92</v>
      </c>
      <c r="EG11" s="1">
        <v>86.4</v>
      </c>
      <c r="EH11" s="1">
        <v>8.6400000000000001E-3</v>
      </c>
      <c r="EI11" s="1">
        <v>2.5919999999999999E-2</v>
      </c>
      <c r="EJ11" s="1">
        <v>8.6400000000000005E-2</v>
      </c>
      <c r="EK11" s="1">
        <v>0.25919999999999999</v>
      </c>
      <c r="EL11" s="1">
        <v>0.86399999999999999</v>
      </c>
      <c r="EM11" s="1">
        <v>2.5920000000000001</v>
      </c>
      <c r="EN11" s="1">
        <v>8.64</v>
      </c>
      <c r="EO11" s="1">
        <v>25.92</v>
      </c>
      <c r="EP11" s="1">
        <v>86.4</v>
      </c>
      <c r="EQ11" s="1">
        <v>8.6400000000000001E-3</v>
      </c>
      <c r="ER11" s="1">
        <v>2.5919999999999999E-2</v>
      </c>
      <c r="ES11" s="1">
        <v>8.6400000000000005E-2</v>
      </c>
      <c r="ET11" s="1">
        <v>0.25919999999999999</v>
      </c>
      <c r="EU11" s="1">
        <v>0.86399999999999999</v>
      </c>
      <c r="EV11" s="1">
        <v>2.5920000000000001</v>
      </c>
      <c r="EW11" s="1">
        <v>8.64</v>
      </c>
      <c r="EX11" s="1">
        <v>25.92</v>
      </c>
      <c r="EY11" s="1">
        <v>86.4</v>
      </c>
      <c r="EZ11" s="1">
        <v>8.6400000000000001E-3</v>
      </c>
      <c r="FA11" s="1">
        <v>2.5919999999999999E-2</v>
      </c>
      <c r="FB11" s="1">
        <v>8.6400000000000005E-2</v>
      </c>
      <c r="FC11" s="1">
        <v>0.25919999999999999</v>
      </c>
      <c r="FD11" s="1">
        <v>0.86399999999999999</v>
      </c>
      <c r="FE11" s="1">
        <v>2.5920000000000001</v>
      </c>
      <c r="FF11" s="1">
        <v>8.64</v>
      </c>
      <c r="FG11" s="1">
        <v>25.92</v>
      </c>
      <c r="FH11" s="1">
        <v>86.4</v>
      </c>
      <c r="FI11" s="1">
        <v>8.6400000000000001E-3</v>
      </c>
      <c r="FJ11" s="1">
        <v>2.5919999999999999E-2</v>
      </c>
      <c r="FK11" s="1">
        <v>8.6400000000000005E-2</v>
      </c>
      <c r="FL11" s="1">
        <v>0.25919999999999999</v>
      </c>
      <c r="FM11" s="1">
        <v>0.86399999999999999</v>
      </c>
      <c r="FN11" s="1">
        <v>2.5920000000000001</v>
      </c>
      <c r="FO11" s="1">
        <v>8.64</v>
      </c>
      <c r="FP11" s="1">
        <v>25.92</v>
      </c>
      <c r="FQ11" s="1">
        <v>86.4</v>
      </c>
      <c r="FR11" s="1">
        <v>43.2</v>
      </c>
      <c r="FS11" s="1">
        <v>43.2</v>
      </c>
      <c r="FT11" s="1">
        <v>43.2</v>
      </c>
      <c r="FU11" s="1">
        <v>43.2</v>
      </c>
      <c r="FV11" s="1">
        <v>43.2</v>
      </c>
      <c r="FW11" s="1">
        <v>43.2</v>
      </c>
      <c r="FX11" s="1">
        <v>43.2</v>
      </c>
      <c r="FY11" s="1">
        <v>43.2</v>
      </c>
      <c r="FZ11" s="1">
        <v>43.2</v>
      </c>
      <c r="GA11" s="1">
        <v>43.2</v>
      </c>
      <c r="GB11" s="1">
        <v>43.2</v>
      </c>
      <c r="GC11" s="1">
        <v>43.2</v>
      </c>
      <c r="GD11" s="1">
        <v>43.2</v>
      </c>
      <c r="GE11" s="1">
        <v>43.2</v>
      </c>
      <c r="GF11" s="1">
        <v>43.2</v>
      </c>
    </row>
    <row r="12" spans="1:188" x14ac:dyDescent="0.45">
      <c r="A12" t="s">
        <v>568</v>
      </c>
      <c r="B12">
        <v>360000</v>
      </c>
      <c r="C12" s="1">
        <v>3.635152413024668E-4</v>
      </c>
      <c r="D12" s="1">
        <v>3.6351524130246681E-6</v>
      </c>
      <c r="E12" s="1">
        <v>3.635152413024668E-4</v>
      </c>
      <c r="F12" s="1">
        <v>3.6351524130246681E-6</v>
      </c>
      <c r="G12" s="1">
        <v>3.635152413024668E-4</v>
      </c>
      <c r="H12" s="2">
        <v>11</v>
      </c>
      <c r="I12">
        <v>36000</v>
      </c>
      <c r="L12" s="1"/>
      <c r="M12" s="1"/>
      <c r="N12" s="2"/>
      <c r="R12" t="s">
        <v>377</v>
      </c>
      <c r="S12">
        <v>20000000</v>
      </c>
      <c r="U12">
        <v>1960</v>
      </c>
      <c r="V12">
        <v>3600</v>
      </c>
      <c r="W12" s="1">
        <v>3.572441303810297E-4</v>
      </c>
      <c r="X12" s="1">
        <f t="shared" si="0"/>
        <v>3.572441303810297E-6</v>
      </c>
      <c r="Y12" s="1">
        <f t="shared" si="1"/>
        <v>3.572441303810297E-4</v>
      </c>
      <c r="Z12" s="1">
        <f t="shared" si="2"/>
        <v>3.572441303810297E-6</v>
      </c>
      <c r="AA12" s="1">
        <f t="shared" si="3"/>
        <v>3.572441303810297E-4</v>
      </c>
      <c r="AJ12" t="s">
        <v>377</v>
      </c>
      <c r="AK12">
        <v>20000000</v>
      </c>
    </row>
    <row r="13" spans="1:188" x14ac:dyDescent="0.45">
      <c r="A13" t="s">
        <v>569</v>
      </c>
      <c r="B13">
        <v>396000</v>
      </c>
      <c r="C13" s="1">
        <v>3.4971949176605839E-4</v>
      </c>
      <c r="D13" s="1">
        <v>3.4971949176605839E-6</v>
      </c>
      <c r="E13" s="1">
        <v>3.4971949176605839E-4</v>
      </c>
      <c r="F13" s="1">
        <v>3.4971949176605839E-6</v>
      </c>
      <c r="G13" s="1">
        <v>3.4971949176605839E-4</v>
      </c>
      <c r="H13" s="2">
        <v>12</v>
      </c>
      <c r="I13">
        <v>36000</v>
      </c>
      <c r="L13" s="1"/>
      <c r="M13" s="1"/>
      <c r="N13" s="2"/>
      <c r="R13" t="s">
        <v>378</v>
      </c>
      <c r="S13">
        <v>0</v>
      </c>
      <c r="U13">
        <v>1961</v>
      </c>
      <c r="V13">
        <v>3960</v>
      </c>
      <c r="W13" s="1">
        <v>7.8115723463756577E-4</v>
      </c>
      <c r="X13" s="1">
        <f t="shared" si="0"/>
        <v>7.8115723463756584E-6</v>
      </c>
      <c r="Y13" s="1">
        <f t="shared" si="1"/>
        <v>7.8115723463756577E-4</v>
      </c>
      <c r="Z13" s="1">
        <f t="shared" si="2"/>
        <v>7.8115723463756584E-6</v>
      </c>
      <c r="AA13" s="1">
        <f t="shared" si="3"/>
        <v>7.8115723463756577E-4</v>
      </c>
      <c r="AJ13" t="s">
        <v>378</v>
      </c>
      <c r="AK13">
        <v>0</v>
      </c>
    </row>
    <row r="14" spans="1:188" x14ac:dyDescent="0.45">
      <c r="A14" t="s">
        <v>570</v>
      </c>
      <c r="B14">
        <v>432000</v>
      </c>
      <c r="C14" s="1">
        <v>3.6109497876529078E-4</v>
      </c>
      <c r="D14" s="1">
        <v>3.6109497876529081E-6</v>
      </c>
      <c r="E14" s="1">
        <v>3.6109497876529078E-4</v>
      </c>
      <c r="F14" s="1">
        <v>3.6109497876529081E-6</v>
      </c>
      <c r="G14" s="1">
        <v>3.6109497876529078E-4</v>
      </c>
      <c r="H14" s="2">
        <v>13</v>
      </c>
      <c r="I14">
        <v>36000</v>
      </c>
      <c r="L14" s="1"/>
      <c r="M14" s="1"/>
      <c r="N14" s="2"/>
      <c r="R14" t="s">
        <v>378</v>
      </c>
      <c r="S14">
        <v>7587000</v>
      </c>
      <c r="U14">
        <v>1962</v>
      </c>
      <c r="V14">
        <v>4320</v>
      </c>
      <c r="W14" s="1">
        <v>4.531689220324248E-4</v>
      </c>
      <c r="X14" s="1">
        <f t="shared" si="0"/>
        <v>4.531689220324248E-6</v>
      </c>
      <c r="Y14" s="1">
        <f t="shared" si="1"/>
        <v>4.531689220324248E-4</v>
      </c>
      <c r="Z14" s="1">
        <f t="shared" si="2"/>
        <v>4.531689220324248E-6</v>
      </c>
      <c r="AA14" s="1">
        <f t="shared" si="3"/>
        <v>4.531689220324248E-4</v>
      </c>
      <c r="AJ14" t="s">
        <v>378</v>
      </c>
      <c r="AK14">
        <v>27000</v>
      </c>
    </row>
    <row r="15" spans="1:188" x14ac:dyDescent="0.45">
      <c r="A15" t="s">
        <v>571</v>
      </c>
      <c r="B15">
        <v>468000</v>
      </c>
      <c r="C15" s="1">
        <v>3.4548609516076148E-4</v>
      </c>
      <c r="D15" s="1">
        <v>3.4548609516076149E-6</v>
      </c>
      <c r="E15" s="1">
        <v>3.4548609516076148E-4</v>
      </c>
      <c r="F15" s="1">
        <v>3.4548609516076149E-6</v>
      </c>
      <c r="G15" s="1">
        <v>3.4548609516076148E-4</v>
      </c>
      <c r="H15" s="2">
        <v>14</v>
      </c>
      <c r="I15">
        <v>36000</v>
      </c>
      <c r="R15" t="s">
        <v>378</v>
      </c>
      <c r="S15">
        <v>20000000</v>
      </c>
      <c r="U15">
        <v>1963</v>
      </c>
      <c r="V15">
        <v>4680</v>
      </c>
      <c r="W15" s="1">
        <v>5.7498094954749738E-4</v>
      </c>
      <c r="X15" s="1">
        <f t="shared" si="0"/>
        <v>5.7498094954749735E-6</v>
      </c>
      <c r="Y15" s="1">
        <f t="shared" si="1"/>
        <v>5.7498094954749738E-4</v>
      </c>
      <c r="Z15" s="1">
        <f t="shared" si="2"/>
        <v>5.7498094954749735E-6</v>
      </c>
      <c r="AA15" s="1">
        <f t="shared" si="3"/>
        <v>5.7498094954749738E-4</v>
      </c>
      <c r="AJ15" t="s">
        <v>378</v>
      </c>
      <c r="AK15">
        <v>20000000</v>
      </c>
    </row>
    <row r="16" spans="1:188" x14ac:dyDescent="0.45">
      <c r="A16" t="s">
        <v>572</v>
      </c>
      <c r="B16">
        <v>504000</v>
      </c>
      <c r="C16" s="1">
        <v>3.5900714127268599E-4</v>
      </c>
      <c r="D16" s="1">
        <v>3.5900714127268599E-6</v>
      </c>
      <c r="E16" s="1">
        <v>3.5900714127268599E-4</v>
      </c>
      <c r="F16" s="1">
        <v>3.5900714127268599E-6</v>
      </c>
      <c r="G16" s="1">
        <v>3.5900714127268599E-4</v>
      </c>
      <c r="H16" s="2">
        <v>15</v>
      </c>
      <c r="I16">
        <v>36000</v>
      </c>
      <c r="R16" t="s">
        <v>573</v>
      </c>
      <c r="S16">
        <v>0</v>
      </c>
      <c r="U16">
        <v>1964</v>
      </c>
      <c r="V16">
        <v>5040</v>
      </c>
      <c r="W16" s="1">
        <v>6.1715666405219582E-4</v>
      </c>
      <c r="X16" s="1">
        <f t="shared" si="0"/>
        <v>6.1715666405219582E-6</v>
      </c>
      <c r="Y16" s="1">
        <f t="shared" si="1"/>
        <v>6.1715666405219582E-4</v>
      </c>
      <c r="Z16" s="1">
        <f t="shared" si="2"/>
        <v>6.1715666405219582E-6</v>
      </c>
      <c r="AA16" s="1">
        <f t="shared" si="3"/>
        <v>6.1715666405219582E-4</v>
      </c>
      <c r="AJ16" t="s">
        <v>573</v>
      </c>
      <c r="AK16">
        <v>0</v>
      </c>
    </row>
    <row r="17" spans="1:37" x14ac:dyDescent="0.45">
      <c r="A17" t="s">
        <v>574</v>
      </c>
      <c r="B17">
        <v>540000</v>
      </c>
      <c r="C17" s="1">
        <v>3.9825147421760487E-4</v>
      </c>
      <c r="D17" s="1">
        <v>3.9825147421760489E-6</v>
      </c>
      <c r="E17" s="1">
        <v>3.9825147421760487E-4</v>
      </c>
      <c r="F17" s="1">
        <v>3.9825147421760489E-6</v>
      </c>
      <c r="G17" s="1">
        <v>3.9825147421760487E-4</v>
      </c>
      <c r="H17" s="2">
        <v>16</v>
      </c>
      <c r="I17">
        <v>36000</v>
      </c>
      <c r="R17" t="s">
        <v>573</v>
      </c>
      <c r="S17">
        <v>7587000</v>
      </c>
      <c r="U17">
        <v>1965</v>
      </c>
      <c r="V17">
        <v>5400</v>
      </c>
      <c r="W17" s="1">
        <v>7.2806814383172725E-4</v>
      </c>
      <c r="X17" s="1">
        <f t="shared" si="0"/>
        <v>7.2806814383172725E-6</v>
      </c>
      <c r="Y17" s="1">
        <f t="shared" si="1"/>
        <v>7.2806814383172725E-4</v>
      </c>
      <c r="Z17" s="1">
        <f t="shared" si="2"/>
        <v>7.2806814383172725E-6</v>
      </c>
      <c r="AA17" s="1">
        <f t="shared" si="3"/>
        <v>7.2806814383172725E-4</v>
      </c>
      <c r="AJ17" t="s">
        <v>573</v>
      </c>
      <c r="AK17">
        <v>27000</v>
      </c>
    </row>
    <row r="18" spans="1:37" x14ac:dyDescent="0.45">
      <c r="A18" t="s">
        <v>575</v>
      </c>
      <c r="B18">
        <v>576000</v>
      </c>
      <c r="C18" s="1">
        <v>3.2485995667842971E-4</v>
      </c>
      <c r="D18" s="1">
        <v>3.2485995667842971E-6</v>
      </c>
      <c r="E18" s="1">
        <v>3.2485995667842971E-4</v>
      </c>
      <c r="F18" s="1">
        <v>3.2485995667842971E-6</v>
      </c>
      <c r="G18" s="1">
        <v>3.2485995667842971E-4</v>
      </c>
      <c r="H18" s="2">
        <v>17</v>
      </c>
      <c r="I18">
        <v>36000</v>
      </c>
      <c r="K18" t="s">
        <v>576</v>
      </c>
      <c r="R18" t="s">
        <v>573</v>
      </c>
      <c r="S18">
        <v>20000000</v>
      </c>
      <c r="U18">
        <v>1966</v>
      </c>
      <c r="V18">
        <v>5760</v>
      </c>
      <c r="W18" s="1">
        <v>6.8133424917909079E-4</v>
      </c>
      <c r="X18" s="1">
        <f t="shared" si="0"/>
        <v>6.8133424917909083E-6</v>
      </c>
      <c r="Y18" s="1">
        <f t="shared" si="1"/>
        <v>6.8133424917909079E-4</v>
      </c>
      <c r="Z18" s="1">
        <f t="shared" si="2"/>
        <v>6.8133424917909083E-6</v>
      </c>
      <c r="AA18" s="1">
        <f t="shared" si="3"/>
        <v>6.8133424917909079E-4</v>
      </c>
      <c r="AJ18" t="s">
        <v>573</v>
      </c>
      <c r="AK18">
        <v>20000000</v>
      </c>
    </row>
    <row r="19" spans="1:37" x14ac:dyDescent="0.45">
      <c r="A19" t="s">
        <v>577</v>
      </c>
      <c r="B19">
        <v>612000</v>
      </c>
      <c r="C19" s="1">
        <v>3.4806887522932569E-4</v>
      </c>
      <c r="D19" s="1">
        <v>3.480688752293257E-6</v>
      </c>
      <c r="E19" s="1">
        <v>3.4806887522932569E-4</v>
      </c>
      <c r="F19" s="1">
        <v>3.480688752293257E-6</v>
      </c>
      <c r="G19" s="1">
        <v>3.4806887522932569E-4</v>
      </c>
      <c r="H19" s="2">
        <v>18</v>
      </c>
      <c r="I19">
        <v>36000</v>
      </c>
      <c r="U19">
        <v>1967</v>
      </c>
      <c r="V19">
        <v>6120</v>
      </c>
      <c r="W19" s="1">
        <v>5.5502136001665456E-4</v>
      </c>
      <c r="X19" s="1">
        <f t="shared" si="0"/>
        <v>5.5502136001665453E-6</v>
      </c>
      <c r="Y19" s="1">
        <f t="shared" si="1"/>
        <v>5.5502136001665456E-4</v>
      </c>
      <c r="Z19" s="1">
        <f t="shared" si="2"/>
        <v>5.5502136001665453E-6</v>
      </c>
      <c r="AA19" s="1">
        <f t="shared" si="3"/>
        <v>5.5502136001665456E-4</v>
      </c>
    </row>
    <row r="20" spans="1:37" x14ac:dyDescent="0.45">
      <c r="A20" t="s">
        <v>578</v>
      </c>
      <c r="B20">
        <v>648000</v>
      </c>
      <c r="C20" s="1">
        <v>3.4402610973202928E-4</v>
      </c>
      <c r="D20" s="1">
        <v>3.4402610973202929E-6</v>
      </c>
      <c r="E20" s="1">
        <v>3.4402610973202928E-4</v>
      </c>
      <c r="F20" s="1">
        <v>3.4402610973202929E-6</v>
      </c>
      <c r="G20" s="1">
        <v>3.4402610973202928E-4</v>
      </c>
      <c r="H20" s="2">
        <v>19</v>
      </c>
      <c r="I20">
        <v>36000</v>
      </c>
      <c r="K20" s="3" t="s">
        <v>100</v>
      </c>
      <c r="L20" s="3" t="s">
        <v>84</v>
      </c>
      <c r="M20" s="3" t="s">
        <v>86</v>
      </c>
      <c r="N20" s="3" t="s">
        <v>87</v>
      </c>
      <c r="O20" s="3" t="s">
        <v>88</v>
      </c>
      <c r="P20" s="3" t="s">
        <v>89</v>
      </c>
      <c r="U20">
        <v>1968</v>
      </c>
      <c r="V20">
        <v>6480</v>
      </c>
      <c r="W20" s="1">
        <v>7.1790398823913721E-4</v>
      </c>
      <c r="X20" s="1">
        <f t="shared" si="0"/>
        <v>7.1790398823913723E-6</v>
      </c>
      <c r="Y20" s="1">
        <f t="shared" si="1"/>
        <v>7.1790398823913721E-4</v>
      </c>
      <c r="Z20" s="1">
        <f t="shared" si="2"/>
        <v>7.1790398823913723E-6</v>
      </c>
      <c r="AA20" s="1">
        <f t="shared" si="3"/>
        <v>7.1790398823913721E-4</v>
      </c>
    </row>
    <row r="21" spans="1:37" x14ac:dyDescent="0.45">
      <c r="A21" t="s">
        <v>579</v>
      </c>
      <c r="B21">
        <v>684000</v>
      </c>
      <c r="C21" s="1">
        <v>3.4550724610428202E-4</v>
      </c>
      <c r="D21" s="1">
        <v>3.4550724610428202E-6</v>
      </c>
      <c r="E21" s="1">
        <v>3.4550724610428202E-4</v>
      </c>
      <c r="F21" s="1">
        <v>3.4550724610428202E-6</v>
      </c>
      <c r="G21" s="1">
        <v>3.4550724610428202E-4</v>
      </c>
      <c r="H21" s="2">
        <v>20</v>
      </c>
      <c r="I21">
        <v>36000</v>
      </c>
      <c r="K21" s="3">
        <v>0</v>
      </c>
      <c r="L21" s="1">
        <v>2.9999999999999997E-4</v>
      </c>
      <c r="M21" s="1">
        <v>3.0000000000000001E-6</v>
      </c>
      <c r="N21" s="1">
        <v>2.9999999999999997E-4</v>
      </c>
      <c r="O21" s="1">
        <v>3.0000000000000001E-6</v>
      </c>
      <c r="P21" s="1">
        <v>2.9999999999999997E-4</v>
      </c>
      <c r="U21">
        <v>1969</v>
      </c>
      <c r="V21">
        <v>6840</v>
      </c>
      <c r="W21" s="1">
        <v>6.247710440845614E-4</v>
      </c>
      <c r="X21" s="1">
        <f t="shared" si="0"/>
        <v>6.2477104408456143E-6</v>
      </c>
      <c r="Y21" s="1">
        <f t="shared" si="1"/>
        <v>6.247710440845614E-4</v>
      </c>
      <c r="Z21" s="1">
        <f t="shared" si="2"/>
        <v>6.2477104408456143E-6</v>
      </c>
      <c r="AA21" s="1">
        <f t="shared" si="3"/>
        <v>6.247710440845614E-4</v>
      </c>
    </row>
    <row r="22" spans="1:37" x14ac:dyDescent="0.45">
      <c r="A22" t="s">
        <v>580</v>
      </c>
      <c r="B22">
        <v>720000</v>
      </c>
      <c r="C22" s="1">
        <v>3.5383124631152378E-4</v>
      </c>
      <c r="D22" s="1">
        <v>3.5383124631152389E-6</v>
      </c>
      <c r="E22" s="1">
        <v>3.5383124631152378E-4</v>
      </c>
      <c r="F22" s="1">
        <v>3.5383124631152389E-6</v>
      </c>
      <c r="G22" s="1">
        <v>3.5383124631152378E-4</v>
      </c>
      <c r="H22" s="2">
        <v>21</v>
      </c>
      <c r="I22">
        <v>36000</v>
      </c>
      <c r="K22" s="3">
        <v>3600000</v>
      </c>
      <c r="L22" s="1">
        <v>1.5E-5</v>
      </c>
      <c r="M22" s="1">
        <v>1.4999999999999999E-7</v>
      </c>
      <c r="N22" s="1">
        <v>1.5E-5</v>
      </c>
      <c r="O22" s="1">
        <v>1.4999999999999999E-7</v>
      </c>
      <c r="P22" s="1">
        <v>1.5E-5</v>
      </c>
      <c r="U22">
        <v>1970</v>
      </c>
      <c r="V22">
        <v>7200</v>
      </c>
      <c r="W22" s="1">
        <v>7.1853251477000421E-4</v>
      </c>
      <c r="X22" s="1">
        <f t="shared" si="0"/>
        <v>7.1853251477000417E-6</v>
      </c>
      <c r="Y22" s="1">
        <f t="shared" si="1"/>
        <v>7.1853251477000421E-4</v>
      </c>
      <c r="Z22" s="1">
        <f t="shared" si="2"/>
        <v>7.1853251477000417E-6</v>
      </c>
      <c r="AA22" s="1">
        <f t="shared" si="3"/>
        <v>7.1853251477000421E-4</v>
      </c>
    </row>
    <row r="23" spans="1:37" x14ac:dyDescent="0.45">
      <c r="A23" t="s">
        <v>581</v>
      </c>
      <c r="B23">
        <v>756000</v>
      </c>
      <c r="C23" s="1">
        <v>4.0194545758826119E-4</v>
      </c>
      <c r="D23" s="1">
        <v>4.0194545758826129E-6</v>
      </c>
      <c r="E23" s="1">
        <v>4.0194545758826119E-4</v>
      </c>
      <c r="F23" s="1">
        <v>4.0194545758826129E-6</v>
      </c>
      <c r="G23" s="1">
        <v>4.0194545758826119E-4</v>
      </c>
      <c r="H23" s="2">
        <v>22</v>
      </c>
      <c r="I23">
        <v>36000</v>
      </c>
      <c r="K23" s="3">
        <v>400000000</v>
      </c>
      <c r="L23" s="1">
        <v>1.5E-5</v>
      </c>
      <c r="M23" s="1">
        <v>1.4999999999999999E-7</v>
      </c>
      <c r="N23" s="1">
        <v>1.5E-5</v>
      </c>
      <c r="O23" s="1">
        <v>1.4999999999999999E-7</v>
      </c>
      <c r="P23" s="1">
        <v>1.5E-5</v>
      </c>
      <c r="U23">
        <v>1971</v>
      </c>
      <c r="V23">
        <v>7560</v>
      </c>
      <c r="W23" s="1">
        <v>6.9554227893998163E-4</v>
      </c>
      <c r="X23" s="1">
        <f t="shared" si="0"/>
        <v>6.9554227893998164E-6</v>
      </c>
      <c r="Y23" s="1">
        <f t="shared" si="1"/>
        <v>6.9554227893998163E-4</v>
      </c>
      <c r="Z23" s="1">
        <f t="shared" si="2"/>
        <v>6.9554227893998164E-6</v>
      </c>
      <c r="AA23" s="1">
        <f t="shared" si="3"/>
        <v>6.9554227893998163E-4</v>
      </c>
    </row>
    <row r="24" spans="1:37" x14ac:dyDescent="0.45">
      <c r="A24" t="s">
        <v>582</v>
      </c>
      <c r="B24">
        <v>792000</v>
      </c>
      <c r="C24" s="1">
        <v>3.8985191691456687E-4</v>
      </c>
      <c r="D24" s="1">
        <v>3.8985191691456689E-6</v>
      </c>
      <c r="E24" s="1">
        <v>3.8985191691456687E-4</v>
      </c>
      <c r="F24" s="1">
        <v>3.8985191691456689E-6</v>
      </c>
      <c r="G24" s="1">
        <v>3.8985191691456687E-4</v>
      </c>
      <c r="H24" s="2">
        <v>23</v>
      </c>
      <c r="I24">
        <v>36000</v>
      </c>
      <c r="U24">
        <v>1972</v>
      </c>
      <c r="V24">
        <v>7920</v>
      </c>
      <c r="W24" s="1">
        <v>5.7253061645059339E-4</v>
      </c>
      <c r="X24" s="1">
        <f t="shared" si="0"/>
        <v>5.7253061645059336E-6</v>
      </c>
      <c r="Y24" s="1">
        <f t="shared" si="1"/>
        <v>5.7253061645059339E-4</v>
      </c>
      <c r="Z24" s="1">
        <f t="shared" si="2"/>
        <v>5.7253061645059336E-6</v>
      </c>
      <c r="AA24" s="1">
        <f t="shared" si="3"/>
        <v>5.7253061645059339E-4</v>
      </c>
    </row>
    <row r="25" spans="1:37" x14ac:dyDescent="0.45">
      <c r="A25" t="s">
        <v>583</v>
      </c>
      <c r="B25">
        <v>828000</v>
      </c>
      <c r="C25" s="1">
        <v>3.7594764554552509E-4</v>
      </c>
      <c r="D25" s="1">
        <v>3.759476455455251E-6</v>
      </c>
      <c r="E25" s="1">
        <v>3.7594764554552509E-4</v>
      </c>
      <c r="F25" s="1">
        <v>3.759476455455251E-6</v>
      </c>
      <c r="G25" s="1">
        <v>3.7594764554552509E-4</v>
      </c>
      <c r="H25" s="2">
        <v>24</v>
      </c>
      <c r="I25">
        <v>36000</v>
      </c>
      <c r="K25" t="s">
        <v>32</v>
      </c>
      <c r="L25" t="s">
        <v>33</v>
      </c>
      <c r="M25" t="s">
        <v>34</v>
      </c>
      <c r="N25" t="s">
        <v>35</v>
      </c>
      <c r="O25" t="s">
        <v>36</v>
      </c>
      <c r="U25">
        <v>1973</v>
      </c>
      <c r="V25">
        <v>8280</v>
      </c>
      <c r="W25" s="1">
        <v>7.5562383814068183E-4</v>
      </c>
      <c r="X25" s="1">
        <f t="shared" si="0"/>
        <v>7.556238381406818E-6</v>
      </c>
      <c r="Y25" s="1">
        <f t="shared" si="1"/>
        <v>7.5562383814068183E-4</v>
      </c>
      <c r="Z25" s="1">
        <f t="shared" si="2"/>
        <v>7.556238381406818E-6</v>
      </c>
      <c r="AA25" s="1">
        <f t="shared" si="3"/>
        <v>7.5562383814068183E-4</v>
      </c>
    </row>
    <row r="26" spans="1:37" x14ac:dyDescent="0.45">
      <c r="A26" t="s">
        <v>584</v>
      </c>
      <c r="B26">
        <v>864000</v>
      </c>
      <c r="C26" s="1">
        <v>3.6014054718294571E-4</v>
      </c>
      <c r="D26" s="1">
        <v>3.601405471829457E-6</v>
      </c>
      <c r="E26" s="1">
        <v>3.6014054718294571E-4</v>
      </c>
      <c r="F26" s="1">
        <v>3.601405471829457E-6</v>
      </c>
      <c r="G26" s="1">
        <v>3.6014054718294571E-4</v>
      </c>
      <c r="H26" s="2">
        <v>25</v>
      </c>
      <c r="I26">
        <v>36000</v>
      </c>
      <c r="K26">
        <v>0</v>
      </c>
      <c r="L26">
        <v>0</v>
      </c>
      <c r="M26">
        <v>1</v>
      </c>
      <c r="N26">
        <v>1</v>
      </c>
      <c r="O26" t="s">
        <v>37</v>
      </c>
      <c r="U26">
        <v>1974</v>
      </c>
      <c r="V26">
        <v>8640</v>
      </c>
      <c r="W26" s="1">
        <v>4.7956646402789609E-4</v>
      </c>
      <c r="X26" s="1">
        <f t="shared" si="0"/>
        <v>4.7956646402789611E-6</v>
      </c>
      <c r="Y26" s="1">
        <f t="shared" si="1"/>
        <v>4.7956646402789609E-4</v>
      </c>
      <c r="Z26" s="1">
        <f t="shared" si="2"/>
        <v>4.7956646402789611E-6</v>
      </c>
      <c r="AA26" s="1">
        <f t="shared" si="3"/>
        <v>4.7956646402789609E-4</v>
      </c>
    </row>
    <row r="27" spans="1:37" x14ac:dyDescent="0.45">
      <c r="A27" t="s">
        <v>585</v>
      </c>
      <c r="B27">
        <v>900000</v>
      </c>
      <c r="C27" s="1">
        <v>3.8655381661571232E-4</v>
      </c>
      <c r="D27" s="1">
        <v>3.8655381661571232E-6</v>
      </c>
      <c r="E27" s="1">
        <v>3.8655381661571232E-4</v>
      </c>
      <c r="F27" s="1">
        <v>3.8655381661571232E-6</v>
      </c>
      <c r="G27" s="1">
        <v>3.8655381661571232E-4</v>
      </c>
      <c r="H27" s="2">
        <v>26</v>
      </c>
      <c r="I27">
        <v>36000</v>
      </c>
      <c r="K27">
        <v>1</v>
      </c>
      <c r="L27">
        <v>2520000</v>
      </c>
      <c r="M27">
        <v>100</v>
      </c>
      <c r="N27">
        <v>1</v>
      </c>
      <c r="O27" t="s">
        <v>586</v>
      </c>
      <c r="U27">
        <v>1975</v>
      </c>
      <c r="V27">
        <v>9000</v>
      </c>
      <c r="W27" s="1">
        <v>3.77861344903145E-4</v>
      </c>
      <c r="X27" s="1">
        <f t="shared" si="0"/>
        <v>3.77861344903145E-6</v>
      </c>
      <c r="Y27" s="1">
        <f t="shared" si="1"/>
        <v>3.77861344903145E-4</v>
      </c>
      <c r="Z27" s="1">
        <f t="shared" si="2"/>
        <v>3.77861344903145E-6</v>
      </c>
      <c r="AA27" s="1">
        <f t="shared" si="3"/>
        <v>3.77861344903145E-4</v>
      </c>
    </row>
    <row r="28" spans="1:37" x14ac:dyDescent="0.45">
      <c r="A28" t="s">
        <v>587</v>
      </c>
      <c r="B28">
        <v>936000</v>
      </c>
      <c r="C28" s="1">
        <v>3.4059275703610109E-4</v>
      </c>
      <c r="D28" s="1">
        <v>3.4059275703610119E-6</v>
      </c>
      <c r="E28" s="1">
        <v>3.4059275703610109E-4</v>
      </c>
      <c r="F28" s="1">
        <v>3.4059275703610119E-6</v>
      </c>
      <c r="G28" s="1">
        <v>3.4059275703610109E-4</v>
      </c>
      <c r="H28" s="2">
        <v>27</v>
      </c>
      <c r="I28">
        <v>36000</v>
      </c>
      <c r="K28">
        <v>2</v>
      </c>
      <c r="L28">
        <v>1080000</v>
      </c>
      <c r="M28">
        <v>200</v>
      </c>
      <c r="N28">
        <v>1</v>
      </c>
      <c r="O28" t="s">
        <v>588</v>
      </c>
      <c r="U28">
        <v>1976</v>
      </c>
      <c r="V28">
        <v>9360</v>
      </c>
      <c r="W28" s="1">
        <v>6.3076157488416986E-4</v>
      </c>
      <c r="X28" s="1">
        <f t="shared" si="0"/>
        <v>6.3076157488416987E-6</v>
      </c>
      <c r="Y28" s="1">
        <f t="shared" si="1"/>
        <v>6.3076157488416986E-4</v>
      </c>
      <c r="Z28" s="1">
        <f t="shared" si="2"/>
        <v>6.3076157488416987E-6</v>
      </c>
      <c r="AA28" s="1">
        <f t="shared" si="3"/>
        <v>6.3076157488416986E-4</v>
      </c>
    </row>
    <row r="29" spans="1:37" x14ac:dyDescent="0.45">
      <c r="A29" t="s">
        <v>589</v>
      </c>
      <c r="B29">
        <v>972000</v>
      </c>
      <c r="C29" s="1">
        <v>3.6386116377204171E-4</v>
      </c>
      <c r="D29" s="1">
        <v>3.6386116377204171E-6</v>
      </c>
      <c r="E29" s="1">
        <v>3.6386116377204171E-4</v>
      </c>
      <c r="F29" s="1">
        <v>3.6386116377204171E-6</v>
      </c>
      <c r="G29" s="1">
        <v>3.6386116377204171E-4</v>
      </c>
      <c r="H29" s="2">
        <v>28</v>
      </c>
      <c r="I29">
        <v>36000</v>
      </c>
      <c r="K29">
        <v>3</v>
      </c>
      <c r="L29">
        <v>180000</v>
      </c>
      <c r="M29">
        <v>500</v>
      </c>
      <c r="N29">
        <v>1</v>
      </c>
      <c r="O29" t="s">
        <v>590</v>
      </c>
      <c r="U29">
        <v>1977</v>
      </c>
      <c r="V29">
        <v>9720</v>
      </c>
      <c r="W29" s="1">
        <v>5.3573866388844803E-4</v>
      </c>
      <c r="X29" s="1">
        <f t="shared" si="0"/>
        <v>5.35738663888448E-6</v>
      </c>
      <c r="Y29" s="1">
        <f t="shared" si="1"/>
        <v>5.3573866388844803E-4</v>
      </c>
      <c r="Z29" s="1">
        <f t="shared" si="2"/>
        <v>5.35738663888448E-6</v>
      </c>
      <c r="AA29" s="1">
        <f t="shared" si="3"/>
        <v>5.3573866388844803E-4</v>
      </c>
    </row>
    <row r="30" spans="1:37" x14ac:dyDescent="0.45">
      <c r="A30" t="s">
        <v>591</v>
      </c>
      <c r="B30">
        <v>1008000</v>
      </c>
      <c r="C30" s="1">
        <v>3.5591905573941369E-4</v>
      </c>
      <c r="D30" s="1">
        <v>3.5591905573941368E-6</v>
      </c>
      <c r="E30" s="1">
        <v>3.5591905573941369E-4</v>
      </c>
      <c r="F30" s="1">
        <v>3.5591905573941368E-6</v>
      </c>
      <c r="G30" s="1">
        <v>3.5591905573941369E-4</v>
      </c>
      <c r="H30" s="2">
        <v>29</v>
      </c>
      <c r="I30">
        <v>36000</v>
      </c>
      <c r="K30">
        <v>4</v>
      </c>
      <c r="L30">
        <v>17820000</v>
      </c>
      <c r="M30">
        <v>495</v>
      </c>
      <c r="N30">
        <v>1</v>
      </c>
      <c r="O30" t="s">
        <v>592</v>
      </c>
      <c r="U30">
        <v>1978</v>
      </c>
      <c r="V30">
        <v>10080</v>
      </c>
      <c r="W30" s="1">
        <v>5.1650487503666432E-4</v>
      </c>
      <c r="X30" s="1">
        <f t="shared" si="0"/>
        <v>5.165048750366643E-6</v>
      </c>
      <c r="Y30" s="1">
        <f t="shared" si="1"/>
        <v>5.1650487503666432E-4</v>
      </c>
      <c r="Z30" s="1">
        <f t="shared" si="2"/>
        <v>5.165048750366643E-6</v>
      </c>
      <c r="AA30" s="1">
        <f t="shared" si="3"/>
        <v>5.1650487503666432E-4</v>
      </c>
      <c r="AD30" t="s">
        <v>593</v>
      </c>
      <c r="AE30" s="12">
        <v>200</v>
      </c>
      <c r="AF30" s="12">
        <v>200</v>
      </c>
      <c r="AG30" s="12">
        <v>200</v>
      </c>
      <c r="AH30" s="12">
        <v>200</v>
      </c>
      <c r="AI30" s="12">
        <v>200</v>
      </c>
      <c r="AJ30" s="12">
        <v>200</v>
      </c>
    </row>
    <row r="31" spans="1:37" x14ac:dyDescent="0.45">
      <c r="A31" t="s">
        <v>594</v>
      </c>
      <c r="B31">
        <v>1044000</v>
      </c>
      <c r="C31" s="1">
        <v>3.8112619742308008E-4</v>
      </c>
      <c r="D31" s="1">
        <v>3.811261974230801E-6</v>
      </c>
      <c r="E31" s="1">
        <v>3.8112619742308008E-4</v>
      </c>
      <c r="F31" s="1">
        <v>3.811261974230801E-6</v>
      </c>
      <c r="G31" s="1">
        <v>3.8112619742308008E-4</v>
      </c>
      <c r="H31" s="2">
        <v>30</v>
      </c>
      <c r="I31">
        <v>36000</v>
      </c>
      <c r="K31">
        <v>5</v>
      </c>
      <c r="L31">
        <v>360000000</v>
      </c>
      <c r="M31">
        <v>100</v>
      </c>
      <c r="N31">
        <v>1</v>
      </c>
      <c r="O31" t="s">
        <v>595</v>
      </c>
      <c r="U31">
        <v>1979</v>
      </c>
      <c r="V31">
        <v>10440</v>
      </c>
      <c r="W31" s="1">
        <v>6.206520086059846E-4</v>
      </c>
      <c r="X31" s="1">
        <f t="shared" si="0"/>
        <v>6.2065200860598463E-6</v>
      </c>
      <c r="Y31" s="1">
        <f t="shared" si="1"/>
        <v>6.206520086059846E-4</v>
      </c>
      <c r="Z31" s="1">
        <f t="shared" si="2"/>
        <v>6.2065200860598463E-6</v>
      </c>
      <c r="AA31" s="1">
        <f t="shared" si="3"/>
        <v>6.206520086059846E-4</v>
      </c>
      <c r="AE31" s="11">
        <v>0.75</v>
      </c>
      <c r="AF31" s="11">
        <v>0.5</v>
      </c>
      <c r="AG31" s="11">
        <v>0.25</v>
      </c>
      <c r="AH31" s="11">
        <v>0.1</v>
      </c>
      <c r="AI31" s="11">
        <v>0.01</v>
      </c>
      <c r="AJ31" s="11">
        <v>0</v>
      </c>
    </row>
    <row r="32" spans="1:37" x14ac:dyDescent="0.45">
      <c r="A32" t="s">
        <v>596</v>
      </c>
      <c r="B32">
        <v>1080000</v>
      </c>
      <c r="C32" s="1">
        <v>3.8564983819733951E-4</v>
      </c>
      <c r="D32" s="1">
        <v>3.8564983819733944E-6</v>
      </c>
      <c r="E32" s="1">
        <v>3.8564983819733951E-4</v>
      </c>
      <c r="F32" s="1">
        <v>3.8564983819733944E-6</v>
      </c>
      <c r="G32" s="1">
        <v>3.8564983819733951E-4</v>
      </c>
      <c r="H32" s="2">
        <v>31</v>
      </c>
      <c r="I32">
        <v>36000</v>
      </c>
      <c r="U32">
        <v>1980</v>
      </c>
      <c r="V32">
        <v>10800</v>
      </c>
      <c r="W32" s="1">
        <v>7.195322821158302E-4</v>
      </c>
      <c r="X32" s="1">
        <f t="shared" si="0"/>
        <v>7.195322821158302E-6</v>
      </c>
      <c r="Y32" s="1">
        <f t="shared" si="1"/>
        <v>7.195322821158302E-4</v>
      </c>
      <c r="Z32" s="1">
        <f t="shared" si="2"/>
        <v>7.195322821158302E-6</v>
      </c>
      <c r="AA32" s="1">
        <f t="shared" si="3"/>
        <v>7.195322821158302E-4</v>
      </c>
      <c r="AD32" t="s">
        <v>597</v>
      </c>
      <c r="AE32" s="2">
        <f t="shared" ref="AE32:AJ32" si="4">+AE31*AE30</f>
        <v>150</v>
      </c>
      <c r="AF32" s="2">
        <f t="shared" si="4"/>
        <v>100</v>
      </c>
      <c r="AG32" s="2">
        <f t="shared" si="4"/>
        <v>50</v>
      </c>
      <c r="AH32" s="2">
        <f t="shared" si="4"/>
        <v>20</v>
      </c>
      <c r="AI32" s="2">
        <f t="shared" si="4"/>
        <v>2</v>
      </c>
      <c r="AJ32" s="2">
        <f t="shared" si="4"/>
        <v>0</v>
      </c>
    </row>
    <row r="33" spans="1:42" x14ac:dyDescent="0.45">
      <c r="A33" t="s">
        <v>598</v>
      </c>
      <c r="B33">
        <v>1116000</v>
      </c>
      <c r="C33" s="1">
        <v>4.0675340750954058E-4</v>
      </c>
      <c r="D33" s="1">
        <v>4.067534075095406E-6</v>
      </c>
      <c r="E33" s="1">
        <v>4.0675340750954058E-4</v>
      </c>
      <c r="F33" s="1">
        <v>4.067534075095406E-6</v>
      </c>
      <c r="G33" s="1">
        <v>4.0675340750954058E-4</v>
      </c>
      <c r="H33" s="2">
        <v>32</v>
      </c>
      <c r="I33">
        <v>36000</v>
      </c>
      <c r="U33">
        <v>1981</v>
      </c>
      <c r="V33">
        <v>11160</v>
      </c>
      <c r="W33" s="1">
        <v>2.9134882445236649E-4</v>
      </c>
      <c r="X33" s="1">
        <f t="shared" si="0"/>
        <v>2.9134882445236648E-6</v>
      </c>
      <c r="Y33" s="1">
        <f t="shared" si="1"/>
        <v>2.9134882445236649E-4</v>
      </c>
      <c r="Z33" s="1">
        <f t="shared" si="2"/>
        <v>2.9134882445236648E-6</v>
      </c>
      <c r="AA33" s="1">
        <f t="shared" si="3"/>
        <v>2.9134882445236649E-4</v>
      </c>
    </row>
    <row r="34" spans="1:42" x14ac:dyDescent="0.45">
      <c r="A34" t="s">
        <v>599</v>
      </c>
      <c r="B34">
        <v>1152000</v>
      </c>
      <c r="C34" s="1">
        <v>4.3235256812404227E-4</v>
      </c>
      <c r="D34" s="1">
        <v>4.3235256812404232E-6</v>
      </c>
      <c r="E34" s="1">
        <v>4.3235256812404227E-4</v>
      </c>
      <c r="F34" s="1">
        <v>4.3235256812404232E-6</v>
      </c>
      <c r="G34" s="1">
        <v>4.3235256812404227E-4</v>
      </c>
      <c r="H34" s="2">
        <v>33</v>
      </c>
      <c r="I34">
        <v>36000</v>
      </c>
      <c r="U34">
        <v>1982</v>
      </c>
      <c r="V34">
        <v>11520</v>
      </c>
      <c r="W34" s="1">
        <v>5.0209969717145185E-4</v>
      </c>
      <c r="X34" s="1">
        <f t="shared" ref="X34:X65" si="5">+W34/100</f>
        <v>5.0209969717145189E-6</v>
      </c>
      <c r="Y34" s="1">
        <f t="shared" ref="Y34:Y65" si="6">+W34</f>
        <v>5.0209969717145185E-4</v>
      </c>
      <c r="Z34" s="1">
        <f t="shared" ref="Z34:Z65" si="7">+Y34/100</f>
        <v>5.0209969717145189E-6</v>
      </c>
      <c r="AA34" s="1">
        <f t="shared" ref="AA34:AA65" si="8">+W34</f>
        <v>5.0209969717145185E-4</v>
      </c>
      <c r="AD34" t="s">
        <v>600</v>
      </c>
      <c r="AE34" s="1">
        <f t="shared" ref="AE34:AJ34" si="9">AE32/(1000*360)</f>
        <v>4.1666666666666669E-4</v>
      </c>
      <c r="AF34" s="1">
        <f t="shared" si="9"/>
        <v>2.7777777777777778E-4</v>
      </c>
      <c r="AG34" s="1">
        <f t="shared" si="9"/>
        <v>1.3888888888888889E-4</v>
      </c>
      <c r="AH34" s="1">
        <f t="shared" si="9"/>
        <v>5.5555555555555558E-5</v>
      </c>
      <c r="AI34" s="1">
        <f t="shared" si="9"/>
        <v>5.5555555555555558E-6</v>
      </c>
      <c r="AJ34" s="1">
        <f t="shared" si="9"/>
        <v>0</v>
      </c>
    </row>
    <row r="35" spans="1:42" x14ac:dyDescent="0.45">
      <c r="A35" t="s">
        <v>601</v>
      </c>
      <c r="B35">
        <v>1188000</v>
      </c>
      <c r="C35" s="1">
        <v>4.0244531071091812E-4</v>
      </c>
      <c r="D35" s="1">
        <v>4.0244531071091813E-6</v>
      </c>
      <c r="E35" s="1">
        <v>4.0244531071091812E-4</v>
      </c>
      <c r="F35" s="1">
        <v>4.0244531071091813E-6</v>
      </c>
      <c r="G35" s="1">
        <v>4.0244531071091812E-4</v>
      </c>
      <c r="H35" s="2">
        <v>34</v>
      </c>
      <c r="I35">
        <v>36000</v>
      </c>
      <c r="U35">
        <v>1983</v>
      </c>
      <c r="V35">
        <v>11880</v>
      </c>
      <c r="W35" s="1">
        <v>7.4802277554614563E-4</v>
      </c>
      <c r="X35" s="1">
        <f t="shared" si="5"/>
        <v>7.4802277554614559E-6</v>
      </c>
      <c r="Y35" s="1">
        <f t="shared" si="6"/>
        <v>7.4802277554614563E-4</v>
      </c>
      <c r="Z35" s="1">
        <f t="shared" si="7"/>
        <v>7.4802277554614559E-6</v>
      </c>
      <c r="AA35" s="1">
        <f t="shared" si="8"/>
        <v>7.4802277554614563E-4</v>
      </c>
    </row>
    <row r="36" spans="1:42" x14ac:dyDescent="0.45">
      <c r="A36" t="s">
        <v>602</v>
      </c>
      <c r="B36">
        <v>1224000</v>
      </c>
      <c r="C36" s="1">
        <v>3.8279755187834249E-4</v>
      </c>
      <c r="D36" s="1">
        <v>3.827975518783425E-6</v>
      </c>
      <c r="E36" s="1">
        <v>3.8279755187834249E-4</v>
      </c>
      <c r="F36" s="1">
        <v>3.827975518783425E-6</v>
      </c>
      <c r="G36" s="1">
        <v>3.8279755187834249E-4</v>
      </c>
      <c r="H36" s="2">
        <v>35</v>
      </c>
      <c r="I36">
        <v>36000</v>
      </c>
      <c r="U36">
        <v>1984</v>
      </c>
      <c r="V36">
        <v>12240</v>
      </c>
      <c r="W36" s="1">
        <v>5.6061012672548299E-4</v>
      </c>
      <c r="X36" s="1">
        <f t="shared" si="5"/>
        <v>5.6061012672548299E-6</v>
      </c>
      <c r="Y36" s="1">
        <f t="shared" si="6"/>
        <v>5.6061012672548299E-4</v>
      </c>
      <c r="Z36" s="1">
        <f t="shared" si="7"/>
        <v>5.6061012672548299E-6</v>
      </c>
      <c r="AA36" s="1">
        <f t="shared" si="8"/>
        <v>5.6061012672548299E-4</v>
      </c>
    </row>
    <row r="37" spans="1:42" x14ac:dyDescent="0.45">
      <c r="A37" t="s">
        <v>603</v>
      </c>
      <c r="B37">
        <v>1260000</v>
      </c>
      <c r="C37" s="1">
        <v>4.1494006172118782E-4</v>
      </c>
      <c r="D37" s="1">
        <v>4.1494006172118781E-6</v>
      </c>
      <c r="E37" s="1">
        <v>4.1494006172118782E-4</v>
      </c>
      <c r="F37" s="1">
        <v>4.1494006172118781E-6</v>
      </c>
      <c r="G37" s="1">
        <v>4.1494006172118782E-4</v>
      </c>
      <c r="H37" s="2">
        <v>36</v>
      </c>
      <c r="I37">
        <v>36000</v>
      </c>
      <c r="U37">
        <v>1985</v>
      </c>
      <c r="V37">
        <v>12600</v>
      </c>
      <c r="W37" s="1">
        <v>8.2964178446747177E-4</v>
      </c>
      <c r="X37" s="1">
        <f t="shared" si="5"/>
        <v>8.2964178446747183E-6</v>
      </c>
      <c r="Y37" s="1">
        <f t="shared" si="6"/>
        <v>8.2964178446747177E-4</v>
      </c>
      <c r="Z37" s="1">
        <f t="shared" si="7"/>
        <v>8.2964178446747183E-6</v>
      </c>
      <c r="AA37" s="1">
        <f t="shared" si="8"/>
        <v>8.2964178446747177E-4</v>
      </c>
    </row>
    <row r="38" spans="1:42" x14ac:dyDescent="0.45">
      <c r="A38" t="s">
        <v>604</v>
      </c>
      <c r="B38">
        <v>1296000</v>
      </c>
      <c r="C38" s="1">
        <v>4.1241937948110141E-4</v>
      </c>
      <c r="D38" s="1">
        <v>4.1241937948110141E-6</v>
      </c>
      <c r="E38" s="1">
        <v>4.1241937948110141E-4</v>
      </c>
      <c r="F38" s="1">
        <v>4.1241937948110141E-6</v>
      </c>
      <c r="G38" s="1">
        <v>4.1241937948110141E-4</v>
      </c>
      <c r="H38" s="2">
        <v>37</v>
      </c>
      <c r="I38">
        <v>36000</v>
      </c>
      <c r="U38">
        <v>1986</v>
      </c>
      <c r="V38">
        <v>12960</v>
      </c>
      <c r="W38" s="1">
        <v>5.5192525783438826E-4</v>
      </c>
      <c r="X38" s="1">
        <f t="shared" si="5"/>
        <v>5.5192525783438831E-6</v>
      </c>
      <c r="Y38" s="1">
        <f t="shared" si="6"/>
        <v>5.5192525783438826E-4</v>
      </c>
      <c r="Z38" s="1">
        <f t="shared" si="7"/>
        <v>5.5192525783438831E-6</v>
      </c>
      <c r="AA38" s="1">
        <f t="shared" si="8"/>
        <v>5.5192525783438826E-4</v>
      </c>
    </row>
    <row r="39" spans="1:42" x14ac:dyDescent="0.45">
      <c r="A39" t="s">
        <v>605</v>
      </c>
      <c r="B39">
        <v>1332000</v>
      </c>
      <c r="C39" s="1">
        <v>3.9824513515693722E-4</v>
      </c>
      <c r="D39" s="1">
        <v>3.982451351569372E-6</v>
      </c>
      <c r="E39" s="1">
        <v>3.9824513515693722E-4</v>
      </c>
      <c r="F39" s="1">
        <v>3.982451351569372E-6</v>
      </c>
      <c r="G39" s="1">
        <v>3.9824513515693722E-4</v>
      </c>
      <c r="H39" s="2">
        <v>38</v>
      </c>
      <c r="I39">
        <v>36000</v>
      </c>
      <c r="U39">
        <v>1987</v>
      </c>
      <c r="V39">
        <v>13320</v>
      </c>
      <c r="W39" s="1">
        <v>2.594301690595899E-4</v>
      </c>
      <c r="X39" s="1">
        <f t="shared" si="5"/>
        <v>2.594301690595899E-6</v>
      </c>
      <c r="Y39" s="1">
        <f t="shared" si="6"/>
        <v>2.594301690595899E-4</v>
      </c>
      <c r="Z39" s="1">
        <f t="shared" si="7"/>
        <v>2.594301690595899E-6</v>
      </c>
      <c r="AA39" s="1">
        <f t="shared" si="8"/>
        <v>2.594301690595899E-4</v>
      </c>
    </row>
    <row r="40" spans="1:42" x14ac:dyDescent="0.45">
      <c r="A40" t="s">
        <v>606</v>
      </c>
      <c r="B40">
        <v>1368000</v>
      </c>
      <c r="C40" s="1">
        <v>4.1024957420026298E-4</v>
      </c>
      <c r="D40" s="1">
        <v>4.1024957420026276E-6</v>
      </c>
      <c r="E40" s="1">
        <v>4.1024957420026298E-4</v>
      </c>
      <c r="F40" s="1">
        <v>4.1024957420026276E-6</v>
      </c>
      <c r="G40" s="1">
        <v>4.1024957420026298E-4</v>
      </c>
      <c r="H40" s="2">
        <v>39</v>
      </c>
      <c r="I40">
        <v>36000</v>
      </c>
      <c r="U40">
        <v>1988</v>
      </c>
      <c r="V40">
        <v>13680</v>
      </c>
      <c r="W40" s="1">
        <v>5.8758806918154829E-4</v>
      </c>
      <c r="X40" s="1">
        <f t="shared" si="5"/>
        <v>5.875880691815483E-6</v>
      </c>
      <c r="Y40" s="1">
        <f t="shared" si="6"/>
        <v>5.8758806918154829E-4</v>
      </c>
      <c r="Z40" s="1">
        <f t="shared" si="7"/>
        <v>5.875880691815483E-6</v>
      </c>
      <c r="AA40" s="1">
        <f t="shared" si="8"/>
        <v>5.8758806918154829E-4</v>
      </c>
    </row>
    <row r="41" spans="1:42" x14ac:dyDescent="0.45">
      <c r="A41" t="s">
        <v>607</v>
      </c>
      <c r="B41">
        <v>1404000</v>
      </c>
      <c r="C41" s="1">
        <v>3.5337237147395041E-4</v>
      </c>
      <c r="D41" s="1">
        <v>3.5337237147395038E-6</v>
      </c>
      <c r="E41" s="1">
        <v>3.5337237147395041E-4</v>
      </c>
      <c r="F41" s="1">
        <v>3.5337237147395038E-6</v>
      </c>
      <c r="G41" s="1">
        <v>3.5337237147395041E-4</v>
      </c>
      <c r="H41" s="2">
        <v>40</v>
      </c>
      <c r="I41">
        <v>36000</v>
      </c>
      <c r="U41">
        <v>1989</v>
      </c>
      <c r="V41">
        <v>14040</v>
      </c>
      <c r="W41" s="1">
        <v>7.1827862361545337E-4</v>
      </c>
      <c r="X41" s="1">
        <f t="shared" si="5"/>
        <v>7.1827862361545341E-6</v>
      </c>
      <c r="Y41" s="1">
        <f t="shared" si="6"/>
        <v>7.1827862361545337E-4</v>
      </c>
      <c r="Z41" s="1">
        <f t="shared" si="7"/>
        <v>7.1827862361545341E-6</v>
      </c>
      <c r="AA41" s="1">
        <f t="shared" si="8"/>
        <v>7.1827862361545337E-4</v>
      </c>
    </row>
    <row r="42" spans="1:42" x14ac:dyDescent="0.45">
      <c r="A42" t="s">
        <v>608</v>
      </c>
      <c r="B42">
        <v>1440000</v>
      </c>
      <c r="C42" s="1">
        <v>3.562334261524308E-4</v>
      </c>
      <c r="D42" s="1">
        <v>3.5623342615243082E-6</v>
      </c>
      <c r="E42" s="1">
        <v>3.562334261524308E-4</v>
      </c>
      <c r="F42" s="1">
        <v>3.5623342615243082E-6</v>
      </c>
      <c r="G42" s="1">
        <v>3.562334261524308E-4</v>
      </c>
      <c r="H42" s="2">
        <v>41</v>
      </c>
      <c r="I42">
        <v>36000</v>
      </c>
      <c r="U42">
        <v>1990</v>
      </c>
      <c r="V42">
        <v>14400</v>
      </c>
      <c r="W42" s="1">
        <v>6.3964240766474305E-4</v>
      </c>
      <c r="X42" s="1">
        <f t="shared" si="5"/>
        <v>6.3964240766474304E-6</v>
      </c>
      <c r="Y42" s="1">
        <f t="shared" si="6"/>
        <v>6.3964240766474305E-4</v>
      </c>
      <c r="Z42" s="1">
        <f t="shared" si="7"/>
        <v>6.3964240766474304E-6</v>
      </c>
      <c r="AA42" s="1">
        <f t="shared" si="8"/>
        <v>6.3964240766474305E-4</v>
      </c>
    </row>
    <row r="43" spans="1:42" x14ac:dyDescent="0.45">
      <c r="A43" t="s">
        <v>609</v>
      </c>
      <c r="B43">
        <v>1476000</v>
      </c>
      <c r="C43" s="1">
        <v>3.4307615947849968E-4</v>
      </c>
      <c r="D43" s="1">
        <v>3.4307615947849972E-6</v>
      </c>
      <c r="E43" s="1">
        <v>3.4307615947849968E-4</v>
      </c>
      <c r="F43" s="1">
        <v>3.4307615947849972E-6</v>
      </c>
      <c r="G43" s="1">
        <v>3.4307615947849968E-4</v>
      </c>
      <c r="H43" s="2">
        <v>42</v>
      </c>
      <c r="I43">
        <v>36000</v>
      </c>
      <c r="U43">
        <v>1991</v>
      </c>
      <c r="V43">
        <v>14760</v>
      </c>
      <c r="W43" s="1">
        <v>6.4218380286974329E-4</v>
      </c>
      <c r="X43" s="1">
        <f t="shared" si="5"/>
        <v>6.4218380286974329E-6</v>
      </c>
      <c r="Y43" s="1">
        <f t="shared" si="6"/>
        <v>6.4218380286974329E-4</v>
      </c>
      <c r="Z43" s="1">
        <f t="shared" si="7"/>
        <v>6.4218380286974329E-6</v>
      </c>
      <c r="AA43" s="1">
        <f t="shared" si="8"/>
        <v>6.4218380286974329E-4</v>
      </c>
    </row>
    <row r="44" spans="1:42" x14ac:dyDescent="0.45">
      <c r="A44" t="s">
        <v>610</v>
      </c>
      <c r="B44">
        <v>1512000</v>
      </c>
      <c r="C44" s="1">
        <v>3.4153083830973011E-4</v>
      </c>
      <c r="D44" s="1">
        <v>3.4153083830973001E-6</v>
      </c>
      <c r="E44" s="1">
        <v>3.4153083830973011E-4</v>
      </c>
      <c r="F44" s="1">
        <v>3.4153083830973001E-6</v>
      </c>
      <c r="G44" s="1">
        <v>3.4153083830973011E-4</v>
      </c>
      <c r="H44" s="2">
        <v>43</v>
      </c>
      <c r="I44">
        <v>36000</v>
      </c>
      <c r="U44">
        <v>1992</v>
      </c>
      <c r="V44">
        <v>15120</v>
      </c>
      <c r="W44" s="1">
        <v>7.9556383137322937E-4</v>
      </c>
      <c r="X44" s="1">
        <f t="shared" si="5"/>
        <v>7.9556383137322939E-6</v>
      </c>
      <c r="Y44" s="1">
        <f t="shared" si="6"/>
        <v>7.9556383137322937E-4</v>
      </c>
      <c r="Z44" s="1">
        <f t="shared" si="7"/>
        <v>7.9556383137322939E-6</v>
      </c>
      <c r="AA44" s="1">
        <f t="shared" si="8"/>
        <v>7.9556383137322937E-4</v>
      </c>
    </row>
    <row r="45" spans="1:42" x14ac:dyDescent="0.45">
      <c r="A45" t="s">
        <v>611</v>
      </c>
      <c r="B45">
        <v>1548000</v>
      </c>
      <c r="C45" s="1">
        <v>3.2476584551830828E-4</v>
      </c>
      <c r="D45" s="1">
        <v>3.2476584551830828E-6</v>
      </c>
      <c r="E45" s="1">
        <v>3.2476584551830828E-4</v>
      </c>
      <c r="F45" s="1">
        <v>3.2476584551830828E-6</v>
      </c>
      <c r="G45" s="1">
        <v>3.2476584551830828E-4</v>
      </c>
      <c r="H45" s="2">
        <v>44</v>
      </c>
      <c r="I45">
        <v>36000</v>
      </c>
      <c r="U45">
        <v>1993</v>
      </c>
      <c r="V45">
        <v>15480</v>
      </c>
      <c r="W45" s="1">
        <v>4.7143997174482332E-4</v>
      </c>
      <c r="X45" s="1">
        <f t="shared" si="5"/>
        <v>4.7143997174482336E-6</v>
      </c>
      <c r="Y45" s="1">
        <f t="shared" si="6"/>
        <v>4.7143997174482332E-4</v>
      </c>
      <c r="Z45" s="1">
        <f t="shared" si="7"/>
        <v>4.7143997174482336E-6</v>
      </c>
      <c r="AA45" s="1">
        <f t="shared" si="8"/>
        <v>4.7143997174482332E-4</v>
      </c>
    </row>
    <row r="46" spans="1:42" x14ac:dyDescent="0.45">
      <c r="A46" t="s">
        <v>612</v>
      </c>
      <c r="B46">
        <v>1584000</v>
      </c>
      <c r="C46" s="1">
        <v>3.4480665038478159E-4</v>
      </c>
      <c r="D46" s="1">
        <v>3.4480665038478171E-6</v>
      </c>
      <c r="E46" s="1">
        <v>3.4480665038478159E-4</v>
      </c>
      <c r="F46" s="1">
        <v>3.4480665038478171E-6</v>
      </c>
      <c r="G46" s="1">
        <v>3.4480665038478159E-4</v>
      </c>
      <c r="H46" s="2">
        <v>45</v>
      </c>
      <c r="I46">
        <v>36000</v>
      </c>
      <c r="U46">
        <v>1994</v>
      </c>
      <c r="V46">
        <v>15840</v>
      </c>
      <c r="W46" s="1">
        <v>6.1579065355337435E-4</v>
      </c>
      <c r="X46" s="1">
        <f t="shared" si="5"/>
        <v>6.1579065355337439E-6</v>
      </c>
      <c r="Y46" s="1">
        <f t="shared" si="6"/>
        <v>6.1579065355337435E-4</v>
      </c>
      <c r="Z46" s="1">
        <f t="shared" si="7"/>
        <v>6.1579065355337439E-6</v>
      </c>
      <c r="AA46" s="1">
        <f t="shared" si="8"/>
        <v>6.1579065355337435E-4</v>
      </c>
      <c r="AD46" t="s">
        <v>372</v>
      </c>
      <c r="AE46" t="s">
        <v>100</v>
      </c>
      <c r="AF46" t="s">
        <v>402</v>
      </c>
      <c r="AG46" t="s">
        <v>397</v>
      </c>
      <c r="AH46" t="s">
        <v>398</v>
      </c>
      <c r="AI46" t="s">
        <v>399</v>
      </c>
      <c r="AJ46" t="s">
        <v>400</v>
      </c>
      <c r="AK46" t="s">
        <v>401</v>
      </c>
      <c r="AL46" t="s">
        <v>613</v>
      </c>
      <c r="AM46" t="s">
        <v>614</v>
      </c>
      <c r="AN46" t="s">
        <v>615</v>
      </c>
      <c r="AO46" t="s">
        <v>616</v>
      </c>
      <c r="AP46" t="s">
        <v>617</v>
      </c>
    </row>
    <row r="47" spans="1:42" x14ac:dyDescent="0.45">
      <c r="A47" t="s">
        <v>618</v>
      </c>
      <c r="B47">
        <v>1620000</v>
      </c>
      <c r="C47" s="1">
        <v>3.3771327481351879E-4</v>
      </c>
      <c r="D47" s="1">
        <v>3.3771327481351882E-6</v>
      </c>
      <c r="E47" s="1">
        <v>3.3771327481351879E-4</v>
      </c>
      <c r="F47" s="1">
        <v>3.3771327481351882E-6</v>
      </c>
      <c r="G47" s="1">
        <v>3.3771327481351879E-4</v>
      </c>
      <c r="H47" s="2">
        <v>46</v>
      </c>
      <c r="I47">
        <v>36000</v>
      </c>
      <c r="U47">
        <v>1995</v>
      </c>
      <c r="V47">
        <v>16200</v>
      </c>
      <c r="W47" s="1">
        <v>6.1124317251300023E-4</v>
      </c>
      <c r="X47" s="1">
        <f t="shared" si="5"/>
        <v>6.1124317251300025E-6</v>
      </c>
      <c r="Y47" s="1">
        <f t="shared" si="6"/>
        <v>6.1124317251300023E-4</v>
      </c>
      <c r="Z47" s="1">
        <f t="shared" si="7"/>
        <v>6.1124317251300025E-6</v>
      </c>
      <c r="AA47" s="1">
        <f t="shared" si="8"/>
        <v>6.1124317251300023E-4</v>
      </c>
      <c r="AD47" t="s">
        <v>374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45">
      <c r="A48" t="s">
        <v>619</v>
      </c>
      <c r="B48">
        <v>1656000</v>
      </c>
      <c r="C48" s="1">
        <v>3.5551618869470369E-4</v>
      </c>
      <c r="D48" s="1">
        <v>3.5551618869470369E-6</v>
      </c>
      <c r="E48" s="1">
        <v>3.5551618869470369E-4</v>
      </c>
      <c r="F48" s="1">
        <v>3.5551618869470369E-6</v>
      </c>
      <c r="G48" s="1">
        <v>3.5551618869470369E-4</v>
      </c>
      <c r="H48" s="2">
        <v>47</v>
      </c>
      <c r="I48">
        <v>36000</v>
      </c>
      <c r="U48">
        <v>1996</v>
      </c>
      <c r="V48">
        <v>16560</v>
      </c>
      <c r="W48" s="1">
        <v>8.2762994075904659E-4</v>
      </c>
      <c r="X48" s="1">
        <f t="shared" si="5"/>
        <v>8.2762994075904666E-6</v>
      </c>
      <c r="Y48" s="1">
        <f t="shared" si="6"/>
        <v>8.2762994075904659E-4</v>
      </c>
      <c r="Z48" s="1">
        <f t="shared" si="7"/>
        <v>8.2762994075904666E-6</v>
      </c>
      <c r="AA48" s="1">
        <f t="shared" si="8"/>
        <v>8.2762994075904659E-4</v>
      </c>
      <c r="AD48" t="s">
        <v>374</v>
      </c>
      <c r="AE48" s="3">
        <v>3600000</v>
      </c>
      <c r="AF48">
        <v>0</v>
      </c>
      <c r="AG48">
        <v>-0.02</v>
      </c>
      <c r="AH48">
        <v>-0.2</v>
      </c>
      <c r="AI48">
        <v>-1</v>
      </c>
      <c r="AJ48">
        <v>-2</v>
      </c>
      <c r="AK48">
        <v>-3</v>
      </c>
      <c r="AL48">
        <v>-5</v>
      </c>
      <c r="AM48">
        <v>-10</v>
      </c>
      <c r="AN48">
        <v>-20</v>
      </c>
      <c r="AO48">
        <v>-40</v>
      </c>
      <c r="AP48">
        <v>-60</v>
      </c>
    </row>
    <row r="49" spans="1:42" x14ac:dyDescent="0.45">
      <c r="A49" t="s">
        <v>620</v>
      </c>
      <c r="B49">
        <v>1692000</v>
      </c>
      <c r="C49" s="1">
        <v>3.27428783153395E-4</v>
      </c>
      <c r="D49" s="1">
        <v>3.2742878315339498E-6</v>
      </c>
      <c r="E49" s="1">
        <v>3.27428783153395E-4</v>
      </c>
      <c r="F49" s="1">
        <v>3.2742878315339498E-6</v>
      </c>
      <c r="G49" s="1">
        <v>3.27428783153395E-4</v>
      </c>
      <c r="H49" s="2">
        <v>48</v>
      </c>
      <c r="I49">
        <v>36000</v>
      </c>
      <c r="U49">
        <v>1997</v>
      </c>
      <c r="V49">
        <v>16920</v>
      </c>
      <c r="W49" s="1">
        <v>6.7528242245754738E-4</v>
      </c>
      <c r="X49" s="1">
        <f t="shared" si="5"/>
        <v>6.7528242245754739E-6</v>
      </c>
      <c r="Y49" s="1">
        <f t="shared" si="6"/>
        <v>6.7528242245754738E-4</v>
      </c>
      <c r="Z49" s="1">
        <f t="shared" si="7"/>
        <v>6.7528242245754739E-6</v>
      </c>
      <c r="AA49" s="1">
        <f t="shared" si="8"/>
        <v>6.7528242245754738E-4</v>
      </c>
      <c r="AD49" t="s">
        <v>374</v>
      </c>
      <c r="AE49">
        <v>400000000</v>
      </c>
      <c r="AF49">
        <v>0</v>
      </c>
      <c r="AG49">
        <v>-0.02</v>
      </c>
      <c r="AH49">
        <v>-0.2</v>
      </c>
      <c r="AI49">
        <v>-1</v>
      </c>
      <c r="AJ49">
        <v>-2</v>
      </c>
      <c r="AK49">
        <v>-3</v>
      </c>
      <c r="AL49">
        <v>-5</v>
      </c>
      <c r="AM49">
        <v>-10</v>
      </c>
      <c r="AN49">
        <v>-20</v>
      </c>
      <c r="AO49">
        <v>-40</v>
      </c>
      <c r="AP49">
        <v>-60</v>
      </c>
    </row>
    <row r="50" spans="1:42" x14ac:dyDescent="0.45">
      <c r="A50" t="s">
        <v>621</v>
      </c>
      <c r="B50">
        <v>1728000</v>
      </c>
      <c r="C50" s="1">
        <v>3.4061317940349491E-4</v>
      </c>
      <c r="D50" s="1">
        <v>3.4061317940349488E-6</v>
      </c>
      <c r="E50" s="1">
        <v>3.4061317940349491E-4</v>
      </c>
      <c r="F50" s="1">
        <v>3.4061317940349488E-6</v>
      </c>
      <c r="G50" s="1">
        <v>3.4061317940349491E-4</v>
      </c>
      <c r="H50" s="2">
        <v>49</v>
      </c>
      <c r="I50">
        <v>36000</v>
      </c>
      <c r="U50">
        <v>1998</v>
      </c>
      <c r="V50">
        <v>17280</v>
      </c>
      <c r="W50" s="1">
        <v>8.1609027804714629E-4</v>
      </c>
      <c r="X50" s="1">
        <f t="shared" si="5"/>
        <v>8.1609027804714623E-6</v>
      </c>
      <c r="Y50" s="1">
        <f t="shared" si="6"/>
        <v>8.1609027804714629E-4</v>
      </c>
      <c r="Z50" s="1">
        <f t="shared" si="7"/>
        <v>8.1609027804714623E-6</v>
      </c>
      <c r="AA50" s="1">
        <f t="shared" si="8"/>
        <v>8.1609027804714629E-4</v>
      </c>
      <c r="AD50" t="s">
        <v>375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45">
      <c r="A51" t="s">
        <v>622</v>
      </c>
      <c r="B51">
        <v>1764000</v>
      </c>
      <c r="C51" s="1">
        <v>3.3493586187940369E-4</v>
      </c>
      <c r="D51" s="1">
        <v>3.3493586187940372E-6</v>
      </c>
      <c r="E51" s="1">
        <v>3.3493586187940369E-4</v>
      </c>
      <c r="F51" s="1">
        <v>3.3493586187940372E-6</v>
      </c>
      <c r="G51" s="1">
        <v>3.3493586187940369E-4</v>
      </c>
      <c r="H51" s="2">
        <v>50</v>
      </c>
      <c r="I51">
        <v>36000</v>
      </c>
      <c r="U51">
        <v>1999</v>
      </c>
      <c r="V51">
        <v>17640</v>
      </c>
      <c r="W51" s="1">
        <v>3.4945422270553399E-4</v>
      </c>
      <c r="X51" s="1">
        <f t="shared" si="5"/>
        <v>3.4945422270553398E-6</v>
      </c>
      <c r="Y51" s="1">
        <f t="shared" si="6"/>
        <v>3.4945422270553399E-4</v>
      </c>
      <c r="Z51" s="1">
        <f t="shared" si="7"/>
        <v>3.4945422270553398E-6</v>
      </c>
      <c r="AA51" s="1">
        <f t="shared" si="8"/>
        <v>3.4945422270553399E-4</v>
      </c>
      <c r="AD51" t="s">
        <v>375</v>
      </c>
      <c r="AE51" s="3">
        <v>3600000</v>
      </c>
      <c r="AF51">
        <v>0</v>
      </c>
      <c r="AG51">
        <v>-0.02</v>
      </c>
      <c r="AH51">
        <v>-0.2</v>
      </c>
      <c r="AI51">
        <v>-1</v>
      </c>
      <c r="AJ51">
        <v>-2</v>
      </c>
      <c r="AK51">
        <v>-3</v>
      </c>
      <c r="AL51">
        <v>-5</v>
      </c>
      <c r="AM51">
        <v>-10</v>
      </c>
      <c r="AN51">
        <v>-20</v>
      </c>
      <c r="AO51">
        <v>-40</v>
      </c>
      <c r="AP51">
        <v>-60</v>
      </c>
    </row>
    <row r="52" spans="1:42" x14ac:dyDescent="0.45">
      <c r="A52" t="s">
        <v>623</v>
      </c>
      <c r="B52">
        <v>1800000</v>
      </c>
      <c r="C52" s="1">
        <v>4.2675552697665742E-4</v>
      </c>
      <c r="D52" s="1">
        <v>4.2675552697665748E-6</v>
      </c>
      <c r="E52" s="1">
        <v>4.2675552697665742E-4</v>
      </c>
      <c r="F52" s="1">
        <v>4.2675552697665748E-6</v>
      </c>
      <c r="G52" s="1">
        <v>4.2675552697665742E-4</v>
      </c>
      <c r="H52" s="2">
        <v>51</v>
      </c>
      <c r="I52">
        <v>36000</v>
      </c>
      <c r="U52">
        <v>2000</v>
      </c>
      <c r="V52">
        <v>18000</v>
      </c>
      <c r="W52" s="1">
        <v>5.5916517295822666E-4</v>
      </c>
      <c r="X52" s="1">
        <f t="shared" si="5"/>
        <v>5.5916517295822664E-6</v>
      </c>
      <c r="Y52" s="1">
        <f t="shared" si="6"/>
        <v>5.5916517295822666E-4</v>
      </c>
      <c r="Z52" s="1">
        <f t="shared" si="7"/>
        <v>5.5916517295822664E-6</v>
      </c>
      <c r="AA52" s="1">
        <f t="shared" si="8"/>
        <v>5.5916517295822666E-4</v>
      </c>
      <c r="AD52" t="s">
        <v>375</v>
      </c>
      <c r="AE52">
        <v>400000000</v>
      </c>
      <c r="AF52">
        <v>0</v>
      </c>
      <c r="AG52">
        <v>-0.02</v>
      </c>
      <c r="AH52">
        <v>-0.2</v>
      </c>
      <c r="AI52">
        <v>-1</v>
      </c>
      <c r="AJ52">
        <v>-2</v>
      </c>
      <c r="AK52">
        <v>-3</v>
      </c>
      <c r="AL52">
        <v>-5</v>
      </c>
      <c r="AM52">
        <v>-10</v>
      </c>
      <c r="AN52">
        <v>-20</v>
      </c>
      <c r="AO52">
        <v>-40</v>
      </c>
      <c r="AP52">
        <v>-60</v>
      </c>
    </row>
    <row r="53" spans="1:42" x14ac:dyDescent="0.45">
      <c r="A53" t="s">
        <v>624</v>
      </c>
      <c r="B53">
        <v>1836000</v>
      </c>
      <c r="C53" s="1">
        <v>3.7775611616101682E-4</v>
      </c>
      <c r="D53" s="1">
        <v>3.777561161610167E-6</v>
      </c>
      <c r="E53" s="1">
        <v>3.7775611616101682E-4</v>
      </c>
      <c r="F53" s="1">
        <v>3.777561161610167E-6</v>
      </c>
      <c r="G53" s="1">
        <v>3.7775611616101682E-4</v>
      </c>
      <c r="H53" s="2">
        <v>52</v>
      </c>
      <c r="I53">
        <v>36000</v>
      </c>
      <c r="U53">
        <v>2001</v>
      </c>
      <c r="V53">
        <v>18360</v>
      </c>
      <c r="W53" s="1">
        <v>7.3867228076687178E-4</v>
      </c>
      <c r="X53" s="1">
        <f t="shared" si="5"/>
        <v>7.3867228076687175E-6</v>
      </c>
      <c r="Y53" s="1">
        <f t="shared" si="6"/>
        <v>7.3867228076687178E-4</v>
      </c>
      <c r="Z53" s="1">
        <f t="shared" si="7"/>
        <v>7.3867228076687175E-6</v>
      </c>
      <c r="AA53" s="1">
        <f t="shared" si="8"/>
        <v>7.3867228076687178E-4</v>
      </c>
      <c r="AD53" t="s">
        <v>376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45">
      <c r="A54" t="s">
        <v>625</v>
      </c>
      <c r="B54">
        <v>1872000</v>
      </c>
      <c r="C54" s="1">
        <v>3.7177931201416828E-4</v>
      </c>
      <c r="D54" s="1">
        <v>3.717793120141683E-6</v>
      </c>
      <c r="E54" s="1">
        <v>3.7177931201416828E-4</v>
      </c>
      <c r="F54" s="1">
        <v>3.717793120141683E-6</v>
      </c>
      <c r="G54" s="1">
        <v>3.7177931201416828E-4</v>
      </c>
      <c r="H54" s="2">
        <v>53</v>
      </c>
      <c r="I54">
        <v>36000</v>
      </c>
      <c r="U54">
        <v>2002</v>
      </c>
      <c r="V54">
        <v>18720</v>
      </c>
      <c r="W54" s="1">
        <v>7.4209417307762092E-4</v>
      </c>
      <c r="X54" s="1">
        <f t="shared" si="5"/>
        <v>7.4209417307762091E-6</v>
      </c>
      <c r="Y54" s="1">
        <f t="shared" si="6"/>
        <v>7.4209417307762092E-4</v>
      </c>
      <c r="Z54" s="1">
        <f t="shared" si="7"/>
        <v>7.4209417307762091E-6</v>
      </c>
      <c r="AA54" s="1">
        <f t="shared" si="8"/>
        <v>7.4209417307762092E-4</v>
      </c>
      <c r="AD54" t="s">
        <v>376</v>
      </c>
      <c r="AE54" s="3">
        <v>3600000</v>
      </c>
      <c r="AF54">
        <v>0</v>
      </c>
      <c r="AG54">
        <v>-0.02</v>
      </c>
      <c r="AH54">
        <v>-0.2</v>
      </c>
      <c r="AI54">
        <v>-1</v>
      </c>
      <c r="AJ54">
        <v>-2</v>
      </c>
      <c r="AK54">
        <v>-3</v>
      </c>
      <c r="AL54">
        <v>-5</v>
      </c>
      <c r="AM54">
        <v>-10</v>
      </c>
      <c r="AN54">
        <v>-20</v>
      </c>
      <c r="AO54">
        <v>-40</v>
      </c>
      <c r="AP54">
        <v>-60</v>
      </c>
    </row>
    <row r="55" spans="1:42" x14ac:dyDescent="0.45">
      <c r="A55" t="s">
        <v>626</v>
      </c>
      <c r="B55">
        <v>1908000</v>
      </c>
      <c r="C55" s="1">
        <v>3.7494836142030791E-4</v>
      </c>
      <c r="D55" s="1">
        <v>3.749483614203079E-6</v>
      </c>
      <c r="E55" s="1">
        <v>3.7494836142030791E-4</v>
      </c>
      <c r="F55" s="1">
        <v>3.749483614203079E-6</v>
      </c>
      <c r="G55" s="1">
        <v>3.7494836142030791E-4</v>
      </c>
      <c r="H55" s="2">
        <v>54</v>
      </c>
      <c r="I55">
        <v>36000</v>
      </c>
      <c r="U55">
        <v>2003</v>
      </c>
      <c r="V55">
        <v>19080</v>
      </c>
      <c r="W55" s="1">
        <v>4.6396100700759078E-4</v>
      </c>
      <c r="X55" s="1">
        <f t="shared" si="5"/>
        <v>4.6396100700759076E-6</v>
      </c>
      <c r="Y55" s="1">
        <f t="shared" si="6"/>
        <v>4.6396100700759078E-4</v>
      </c>
      <c r="Z55" s="1">
        <f t="shared" si="7"/>
        <v>4.6396100700759076E-6</v>
      </c>
      <c r="AA55" s="1">
        <f t="shared" si="8"/>
        <v>4.6396100700759078E-4</v>
      </c>
      <c r="AD55" t="s">
        <v>376</v>
      </c>
      <c r="AE55">
        <v>400000000</v>
      </c>
      <c r="AF55">
        <v>0</v>
      </c>
      <c r="AG55">
        <v>-0.02</v>
      </c>
      <c r="AH55">
        <v>-0.2</v>
      </c>
      <c r="AI55">
        <v>-1</v>
      </c>
      <c r="AJ55">
        <v>-2</v>
      </c>
      <c r="AK55">
        <v>-3</v>
      </c>
      <c r="AL55">
        <v>-5</v>
      </c>
      <c r="AM55">
        <v>-10</v>
      </c>
      <c r="AN55">
        <v>-20</v>
      </c>
      <c r="AO55">
        <v>-40</v>
      </c>
      <c r="AP55">
        <v>-60</v>
      </c>
    </row>
    <row r="56" spans="1:42" x14ac:dyDescent="0.45">
      <c r="A56" t="s">
        <v>627</v>
      </c>
      <c r="B56">
        <v>1944000</v>
      </c>
      <c r="C56" s="1">
        <v>4.0689341494879838E-4</v>
      </c>
      <c r="D56" s="1">
        <v>4.0689341494879844E-6</v>
      </c>
      <c r="E56" s="1">
        <v>4.0689341494879838E-4</v>
      </c>
      <c r="F56" s="1">
        <v>4.0689341494879844E-6</v>
      </c>
      <c r="G56" s="1">
        <v>4.0689341494879838E-4</v>
      </c>
      <c r="H56" s="2">
        <v>55</v>
      </c>
      <c r="I56">
        <v>36000</v>
      </c>
      <c r="U56">
        <v>2004</v>
      </c>
      <c r="V56">
        <v>19440</v>
      </c>
      <c r="W56" s="1">
        <v>4.5068228800443209E-4</v>
      </c>
      <c r="X56" s="1">
        <f t="shared" si="5"/>
        <v>4.5068228800443208E-6</v>
      </c>
      <c r="Y56" s="1">
        <f t="shared" si="6"/>
        <v>4.5068228800443209E-4</v>
      </c>
      <c r="Z56" s="1">
        <f t="shared" si="7"/>
        <v>4.5068228800443208E-6</v>
      </c>
      <c r="AA56" s="1">
        <f t="shared" si="8"/>
        <v>4.5068228800443209E-4</v>
      </c>
      <c r="AD56" t="s">
        <v>377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45">
      <c r="A57" t="s">
        <v>628</v>
      </c>
      <c r="B57">
        <v>1980000</v>
      </c>
      <c r="C57" s="1">
        <v>4.1919268993745199E-4</v>
      </c>
      <c r="D57" s="1">
        <v>4.1919268993745206E-6</v>
      </c>
      <c r="E57" s="1">
        <v>4.1919268993745199E-4</v>
      </c>
      <c r="F57" s="1">
        <v>4.1919268993745206E-6</v>
      </c>
      <c r="G57" s="1">
        <v>4.1919268993745199E-4</v>
      </c>
      <c r="H57" s="2">
        <v>56</v>
      </c>
      <c r="I57">
        <v>36000</v>
      </c>
      <c r="U57">
        <v>2005</v>
      </c>
      <c r="V57">
        <v>19800</v>
      </c>
      <c r="W57" s="1">
        <v>3.7507530034252027E-4</v>
      </c>
      <c r="X57" s="1">
        <f t="shared" si="5"/>
        <v>3.7507530034252025E-6</v>
      </c>
      <c r="Y57" s="1">
        <f t="shared" si="6"/>
        <v>3.7507530034252027E-4</v>
      </c>
      <c r="Z57" s="1">
        <f t="shared" si="7"/>
        <v>3.7507530034252025E-6</v>
      </c>
      <c r="AA57" s="1">
        <f t="shared" si="8"/>
        <v>3.7507530034252027E-4</v>
      </c>
      <c r="AD57" t="s">
        <v>377</v>
      </c>
      <c r="AE57" s="3">
        <v>3600000</v>
      </c>
      <c r="AF57">
        <v>0</v>
      </c>
      <c r="AG57">
        <v>-0.02</v>
      </c>
      <c r="AH57">
        <v>-0.2</v>
      </c>
      <c r="AI57">
        <v>-1</v>
      </c>
      <c r="AJ57">
        <v>-2</v>
      </c>
      <c r="AK57">
        <v>-3</v>
      </c>
      <c r="AL57">
        <v>-5</v>
      </c>
      <c r="AM57">
        <v>-10</v>
      </c>
      <c r="AN57">
        <v>-20</v>
      </c>
      <c r="AO57">
        <v>-40</v>
      </c>
      <c r="AP57">
        <v>-60</v>
      </c>
    </row>
    <row r="58" spans="1:42" x14ac:dyDescent="0.45">
      <c r="A58" t="s">
        <v>629</v>
      </c>
      <c r="B58">
        <v>2016000</v>
      </c>
      <c r="C58" s="1">
        <v>3.4498545309459197E-4</v>
      </c>
      <c r="D58" s="1">
        <v>3.44985453094592E-6</v>
      </c>
      <c r="E58" s="1">
        <v>3.4498545309459197E-4</v>
      </c>
      <c r="F58" s="1">
        <v>3.44985453094592E-6</v>
      </c>
      <c r="G58" s="1">
        <v>3.4498545309459197E-4</v>
      </c>
      <c r="H58" s="2">
        <v>57</v>
      </c>
      <c r="I58">
        <v>36000</v>
      </c>
      <c r="U58">
        <v>2006</v>
      </c>
      <c r="V58">
        <v>20160</v>
      </c>
      <c r="W58" s="1">
        <v>5.0388556352573002E-4</v>
      </c>
      <c r="X58" s="1">
        <f t="shared" si="5"/>
        <v>5.0388556352573001E-6</v>
      </c>
      <c r="Y58" s="1">
        <f t="shared" si="6"/>
        <v>5.0388556352573002E-4</v>
      </c>
      <c r="Z58" s="1">
        <f t="shared" si="7"/>
        <v>5.0388556352573001E-6</v>
      </c>
      <c r="AA58" s="1">
        <f t="shared" si="8"/>
        <v>5.0388556352573002E-4</v>
      </c>
      <c r="AD58" t="s">
        <v>377</v>
      </c>
      <c r="AE58">
        <v>400000000</v>
      </c>
      <c r="AF58">
        <v>0</v>
      </c>
      <c r="AG58">
        <v>-0.02</v>
      </c>
      <c r="AH58">
        <v>-0.2</v>
      </c>
      <c r="AI58">
        <v>-1</v>
      </c>
      <c r="AJ58">
        <v>-2</v>
      </c>
      <c r="AK58">
        <v>-3</v>
      </c>
      <c r="AL58">
        <v>-5</v>
      </c>
      <c r="AM58">
        <v>-10</v>
      </c>
      <c r="AN58">
        <v>-20</v>
      </c>
      <c r="AO58">
        <v>-40</v>
      </c>
      <c r="AP58">
        <v>-60</v>
      </c>
    </row>
    <row r="59" spans="1:42" x14ac:dyDescent="0.45">
      <c r="A59" t="s">
        <v>630</v>
      </c>
      <c r="B59">
        <v>2052000</v>
      </c>
      <c r="C59" s="1">
        <v>3.7577605491857791E-4</v>
      </c>
      <c r="D59" s="1">
        <v>3.7577605491857799E-6</v>
      </c>
      <c r="E59" s="1">
        <v>3.7577605491857791E-4</v>
      </c>
      <c r="F59" s="1">
        <v>3.7577605491857799E-6</v>
      </c>
      <c r="G59" s="1">
        <v>3.7577605491857791E-4</v>
      </c>
      <c r="H59" s="2">
        <v>58</v>
      </c>
      <c r="I59">
        <v>36000</v>
      </c>
      <c r="U59">
        <v>2007</v>
      </c>
      <c r="V59">
        <v>20520</v>
      </c>
      <c r="W59" s="1">
        <v>8.0294967571109023E-4</v>
      </c>
      <c r="X59" s="1">
        <f t="shared" si="5"/>
        <v>8.029496757110902E-6</v>
      </c>
      <c r="Y59" s="1">
        <f t="shared" si="6"/>
        <v>8.0294967571109023E-4</v>
      </c>
      <c r="Z59" s="1">
        <f t="shared" si="7"/>
        <v>8.029496757110902E-6</v>
      </c>
      <c r="AA59" s="1">
        <f t="shared" si="8"/>
        <v>8.0294967571109023E-4</v>
      </c>
      <c r="AD59" t="s">
        <v>378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45">
      <c r="A60" t="s">
        <v>631</v>
      </c>
      <c r="B60">
        <v>2088000</v>
      </c>
      <c r="C60" s="1">
        <v>3.5111590640564449E-4</v>
      </c>
      <c r="D60" s="1">
        <v>3.5111590640564451E-6</v>
      </c>
      <c r="E60" s="1">
        <v>3.5111590640564449E-4</v>
      </c>
      <c r="F60" s="1">
        <v>3.5111590640564451E-6</v>
      </c>
      <c r="G60" s="1">
        <v>3.5111590640564449E-4</v>
      </c>
      <c r="H60" s="2">
        <v>59</v>
      </c>
      <c r="I60">
        <v>36000</v>
      </c>
      <c r="U60">
        <v>2008</v>
      </c>
      <c r="V60">
        <v>20880</v>
      </c>
      <c r="W60" s="1">
        <v>7.0007171819925801E-4</v>
      </c>
      <c r="X60" s="1">
        <f t="shared" si="5"/>
        <v>7.0007171819925804E-6</v>
      </c>
      <c r="Y60" s="1">
        <f t="shared" si="6"/>
        <v>7.0007171819925801E-4</v>
      </c>
      <c r="Z60" s="1">
        <f t="shared" si="7"/>
        <v>7.0007171819925804E-6</v>
      </c>
      <c r="AA60" s="1">
        <f t="shared" si="8"/>
        <v>7.0007171819925801E-4</v>
      </c>
      <c r="AD60" t="s">
        <v>378</v>
      </c>
      <c r="AE60" s="3">
        <v>3600000</v>
      </c>
      <c r="AF60">
        <v>0</v>
      </c>
      <c r="AG60">
        <v>-0.02</v>
      </c>
      <c r="AH60">
        <v>-0.2</v>
      </c>
      <c r="AI60">
        <v>-1</v>
      </c>
      <c r="AJ60">
        <v>-2</v>
      </c>
      <c r="AK60">
        <v>-3</v>
      </c>
      <c r="AL60">
        <v>-5</v>
      </c>
      <c r="AM60">
        <v>-10</v>
      </c>
      <c r="AN60">
        <v>-20</v>
      </c>
      <c r="AO60">
        <v>-40</v>
      </c>
      <c r="AP60">
        <v>-60</v>
      </c>
    </row>
    <row r="61" spans="1:42" x14ac:dyDescent="0.45">
      <c r="A61" t="s">
        <v>632</v>
      </c>
      <c r="B61">
        <v>2124000</v>
      </c>
      <c r="C61" s="1">
        <v>4.049665714614735E-4</v>
      </c>
      <c r="D61" s="1">
        <v>4.0496657146147353E-6</v>
      </c>
      <c r="E61" s="1">
        <v>4.049665714614735E-4</v>
      </c>
      <c r="F61" s="1">
        <v>4.0496657146147353E-6</v>
      </c>
      <c r="G61" s="1">
        <v>4.049665714614735E-4</v>
      </c>
      <c r="H61" s="2">
        <v>60</v>
      </c>
      <c r="I61">
        <v>36000</v>
      </c>
      <c r="U61">
        <v>2009</v>
      </c>
      <c r="V61">
        <v>21240</v>
      </c>
      <c r="W61" s="1">
        <v>5.6649151685696242E-4</v>
      </c>
      <c r="X61" s="1">
        <f t="shared" si="5"/>
        <v>5.6649151685696243E-6</v>
      </c>
      <c r="Y61" s="1">
        <f t="shared" si="6"/>
        <v>5.6649151685696242E-4</v>
      </c>
      <c r="Z61" s="1">
        <f t="shared" si="7"/>
        <v>5.6649151685696243E-6</v>
      </c>
      <c r="AA61" s="1">
        <f t="shared" si="8"/>
        <v>5.6649151685696242E-4</v>
      </c>
      <c r="AD61" t="s">
        <v>378</v>
      </c>
      <c r="AE61">
        <v>400000000</v>
      </c>
      <c r="AF61">
        <v>0</v>
      </c>
      <c r="AG61">
        <v>-0.02</v>
      </c>
      <c r="AH61">
        <v>-0.2</v>
      </c>
      <c r="AI61">
        <v>-1</v>
      </c>
      <c r="AJ61">
        <v>-2</v>
      </c>
      <c r="AK61">
        <v>-3</v>
      </c>
      <c r="AL61">
        <v>-5</v>
      </c>
      <c r="AM61">
        <v>-10</v>
      </c>
      <c r="AN61">
        <v>-20</v>
      </c>
      <c r="AO61">
        <v>-40</v>
      </c>
      <c r="AP61">
        <v>-60</v>
      </c>
    </row>
    <row r="62" spans="1:42" x14ac:dyDescent="0.45">
      <c r="A62" t="s">
        <v>633</v>
      </c>
      <c r="B62">
        <v>2160000</v>
      </c>
      <c r="C62" s="1">
        <v>4.3751858531029879E-4</v>
      </c>
      <c r="D62" s="1">
        <v>4.3751858531029876E-6</v>
      </c>
      <c r="E62" s="1">
        <v>4.3751858531029879E-4</v>
      </c>
      <c r="F62" s="1">
        <v>4.3751858531029876E-6</v>
      </c>
      <c r="G62" s="1">
        <v>4.3751858531029879E-4</v>
      </c>
      <c r="H62" s="2">
        <v>61</v>
      </c>
      <c r="I62">
        <v>36000</v>
      </c>
      <c r="U62">
        <v>2010</v>
      </c>
      <c r="V62">
        <v>21600</v>
      </c>
      <c r="W62" s="1">
        <v>4.2985466508481168E-4</v>
      </c>
      <c r="X62" s="1">
        <f t="shared" si="5"/>
        <v>4.2985466508481172E-6</v>
      </c>
      <c r="Y62" s="1">
        <f t="shared" si="6"/>
        <v>4.2985466508481168E-4</v>
      </c>
      <c r="Z62" s="1">
        <f t="shared" si="7"/>
        <v>4.2985466508481172E-6</v>
      </c>
      <c r="AA62" s="1">
        <f t="shared" si="8"/>
        <v>4.2985466508481168E-4</v>
      </c>
    </row>
    <row r="63" spans="1:42" x14ac:dyDescent="0.45">
      <c r="A63" t="s">
        <v>634</v>
      </c>
      <c r="B63">
        <v>2196000</v>
      </c>
      <c r="C63" s="1">
        <v>4.771855424796881E-4</v>
      </c>
      <c r="D63" s="1">
        <v>4.7718554247968811E-6</v>
      </c>
      <c r="E63" s="1">
        <v>4.771855424796881E-4</v>
      </c>
      <c r="F63" s="1">
        <v>4.7718554247968811E-6</v>
      </c>
      <c r="G63" s="1">
        <v>4.771855424796881E-4</v>
      </c>
      <c r="H63" s="2">
        <v>62</v>
      </c>
      <c r="I63">
        <v>36000</v>
      </c>
      <c r="U63">
        <v>2011</v>
      </c>
      <c r="V63">
        <v>21960</v>
      </c>
      <c r="W63" s="1">
        <v>3.0854060773305718E-4</v>
      </c>
      <c r="X63" s="1">
        <f t="shared" si="5"/>
        <v>3.0854060773305716E-6</v>
      </c>
      <c r="Y63" s="1">
        <f t="shared" si="6"/>
        <v>3.0854060773305718E-4</v>
      </c>
      <c r="Z63" s="1">
        <f t="shared" si="7"/>
        <v>3.0854060773305716E-6</v>
      </c>
      <c r="AA63" s="1">
        <f t="shared" si="8"/>
        <v>3.0854060773305718E-4</v>
      </c>
      <c r="AD63" t="s">
        <v>635</v>
      </c>
    </row>
    <row r="64" spans="1:42" x14ac:dyDescent="0.45">
      <c r="A64" t="s">
        <v>636</v>
      </c>
      <c r="B64">
        <v>2232000</v>
      </c>
      <c r="C64" s="1">
        <v>4.3841777594160782E-4</v>
      </c>
      <c r="D64" s="1">
        <v>4.3841777594160776E-6</v>
      </c>
      <c r="E64" s="1">
        <v>4.3841777594160782E-4</v>
      </c>
      <c r="F64" s="1">
        <v>4.3841777594160776E-6</v>
      </c>
      <c r="G64" s="1">
        <v>4.3841777594160782E-4</v>
      </c>
      <c r="H64" s="2">
        <v>63</v>
      </c>
      <c r="I64">
        <v>36000</v>
      </c>
      <c r="U64">
        <v>2012</v>
      </c>
      <c r="V64">
        <v>22320</v>
      </c>
      <c r="W64" s="1">
        <v>5.7701883542728865E-4</v>
      </c>
      <c r="X64" s="1">
        <f t="shared" si="5"/>
        <v>5.7701883542728862E-6</v>
      </c>
      <c r="Y64" s="1">
        <f t="shared" si="6"/>
        <v>5.7701883542728865E-4</v>
      </c>
      <c r="Z64" s="1">
        <f t="shared" si="7"/>
        <v>5.7701883542728862E-6</v>
      </c>
      <c r="AA64" s="1">
        <f t="shared" si="8"/>
        <v>5.7701883542728865E-4</v>
      </c>
      <c r="AD64" t="s">
        <v>32</v>
      </c>
      <c r="AE64" t="s">
        <v>33</v>
      </c>
      <c r="AF64" t="s">
        <v>34</v>
      </c>
      <c r="AG64" t="s">
        <v>35</v>
      </c>
      <c r="AH64" t="s">
        <v>36</v>
      </c>
    </row>
    <row r="65" spans="1:54" x14ac:dyDescent="0.45">
      <c r="A65" t="s">
        <v>637</v>
      </c>
      <c r="B65">
        <v>2268000</v>
      </c>
      <c r="C65" s="1">
        <v>4.603595684290796E-4</v>
      </c>
      <c r="D65" s="1">
        <v>4.603595684290796E-6</v>
      </c>
      <c r="E65" s="1">
        <v>4.603595684290796E-4</v>
      </c>
      <c r="F65" s="1">
        <v>4.603595684290796E-6</v>
      </c>
      <c r="G65" s="1">
        <v>4.603595684290796E-4</v>
      </c>
      <c r="H65" s="2">
        <v>64</v>
      </c>
      <c r="I65">
        <v>36000</v>
      </c>
      <c r="U65">
        <v>2013</v>
      </c>
      <c r="V65">
        <v>22680</v>
      </c>
      <c r="W65" s="1">
        <v>8.4426260266278266E-4</v>
      </c>
      <c r="X65" s="1">
        <f t="shared" si="5"/>
        <v>8.4426260266278264E-6</v>
      </c>
      <c r="Y65" s="1">
        <f t="shared" si="6"/>
        <v>8.4426260266278266E-4</v>
      </c>
      <c r="Z65" s="1">
        <f t="shared" si="7"/>
        <v>8.4426260266278264E-6</v>
      </c>
      <c r="AA65" s="1">
        <f t="shared" si="8"/>
        <v>8.4426260266278266E-4</v>
      </c>
      <c r="AD65">
        <v>0</v>
      </c>
      <c r="AE65">
        <v>0</v>
      </c>
      <c r="AF65">
        <v>1</v>
      </c>
      <c r="AG65">
        <v>1</v>
      </c>
      <c r="AH65" t="s">
        <v>37</v>
      </c>
    </row>
    <row r="66" spans="1:54" x14ac:dyDescent="0.45">
      <c r="A66" t="s">
        <v>638</v>
      </c>
      <c r="B66">
        <v>2304000</v>
      </c>
      <c r="C66" s="1">
        <v>4.7709322355515648E-4</v>
      </c>
      <c r="D66" s="1">
        <v>4.7709322355515646E-6</v>
      </c>
      <c r="E66" s="1">
        <v>4.7709322355515648E-4</v>
      </c>
      <c r="F66" s="1">
        <v>4.7709322355515646E-6</v>
      </c>
      <c r="G66" s="1">
        <v>4.7709322355515648E-4</v>
      </c>
      <c r="H66" s="2">
        <v>65</v>
      </c>
      <c r="I66">
        <v>36000</v>
      </c>
      <c r="U66">
        <v>2014</v>
      </c>
      <c r="V66">
        <v>23040</v>
      </c>
      <c r="W66" s="1">
        <v>9.552168804465085E-4</v>
      </c>
      <c r="X66" s="1">
        <f t="shared" ref="X66:X97" si="10">+W66/100</f>
        <v>9.5521688044650852E-6</v>
      </c>
      <c r="Y66" s="1">
        <f t="shared" ref="Y66:Y97" si="11">+W66</f>
        <v>9.552168804465085E-4</v>
      </c>
      <c r="Z66" s="1">
        <f t="shared" ref="Z66:Z97" si="12">+Y66/100</f>
        <v>9.5521688044650852E-6</v>
      </c>
      <c r="AA66" s="1">
        <f t="shared" ref="AA66:AA97" si="13">+W66</f>
        <v>9.552168804465085E-4</v>
      </c>
      <c r="AD66">
        <v>1</v>
      </c>
      <c r="AE66">
        <v>3600000</v>
      </c>
      <c r="AF66">
        <v>1</v>
      </c>
      <c r="AG66">
        <v>1</v>
      </c>
      <c r="AH66" t="s">
        <v>38</v>
      </c>
    </row>
    <row r="67" spans="1:54" x14ac:dyDescent="0.45">
      <c r="A67" t="s">
        <v>639</v>
      </c>
      <c r="B67">
        <v>2340000</v>
      </c>
      <c r="C67" s="1">
        <v>4.5755987914110558E-4</v>
      </c>
      <c r="D67" s="1">
        <v>4.575598791411056E-6</v>
      </c>
      <c r="E67" s="1">
        <v>4.5755987914110558E-4</v>
      </c>
      <c r="F67" s="1">
        <v>4.575598791411056E-6</v>
      </c>
      <c r="G67" s="1">
        <v>4.5755987914110558E-4</v>
      </c>
      <c r="H67" s="2">
        <v>66</v>
      </c>
      <c r="I67">
        <v>36000</v>
      </c>
      <c r="U67">
        <v>2015</v>
      </c>
      <c r="V67">
        <v>23400</v>
      </c>
      <c r="W67" s="1">
        <v>3.5786093692759128E-4</v>
      </c>
      <c r="X67" s="1">
        <f t="shared" si="10"/>
        <v>3.5786093692759129E-6</v>
      </c>
      <c r="Y67" s="1">
        <f t="shared" si="11"/>
        <v>3.5786093692759128E-4</v>
      </c>
      <c r="Z67" s="1">
        <f t="shared" si="12"/>
        <v>3.5786093692759129E-6</v>
      </c>
      <c r="AA67" s="1">
        <f t="shared" si="13"/>
        <v>3.5786093692759128E-4</v>
      </c>
      <c r="AD67">
        <v>2</v>
      </c>
      <c r="AE67">
        <v>18000</v>
      </c>
      <c r="AF67">
        <v>600</v>
      </c>
      <c r="AG67">
        <v>1</v>
      </c>
      <c r="AH67" t="s">
        <v>640</v>
      </c>
    </row>
    <row r="68" spans="1:54" x14ac:dyDescent="0.45">
      <c r="A68" t="s">
        <v>641</v>
      </c>
      <c r="B68">
        <v>2376000</v>
      </c>
      <c r="C68" s="1">
        <v>4.4729781468870803E-4</v>
      </c>
      <c r="D68" s="1">
        <v>4.4729781468870802E-6</v>
      </c>
      <c r="E68" s="1">
        <v>4.4729781468870803E-4</v>
      </c>
      <c r="F68" s="1">
        <v>4.4729781468870802E-6</v>
      </c>
      <c r="G68" s="1">
        <v>4.4729781468870803E-4</v>
      </c>
      <c r="H68" s="2">
        <v>67</v>
      </c>
      <c r="I68">
        <v>36000</v>
      </c>
      <c r="U68">
        <v>2016</v>
      </c>
      <c r="V68">
        <v>23760</v>
      </c>
      <c r="W68" s="1">
        <v>9.5065057852621645E-4</v>
      </c>
      <c r="X68" s="1">
        <f t="shared" si="10"/>
        <v>9.5065057852621648E-6</v>
      </c>
      <c r="Y68" s="1">
        <f t="shared" si="11"/>
        <v>9.5065057852621645E-4</v>
      </c>
      <c r="Z68" s="1">
        <f t="shared" si="12"/>
        <v>9.5065057852621648E-6</v>
      </c>
      <c r="AA68" s="1">
        <f t="shared" si="13"/>
        <v>9.5065057852621645E-4</v>
      </c>
      <c r="AD68">
        <v>3</v>
      </c>
      <c r="AE68">
        <v>180000</v>
      </c>
      <c r="AF68">
        <v>500</v>
      </c>
      <c r="AG68">
        <v>1</v>
      </c>
      <c r="AH68" t="s">
        <v>642</v>
      </c>
    </row>
    <row r="69" spans="1:54" x14ac:dyDescent="0.45">
      <c r="A69" t="s">
        <v>643</v>
      </c>
      <c r="B69">
        <v>2412000</v>
      </c>
      <c r="C69" s="1">
        <v>4.3701045070747681E-4</v>
      </c>
      <c r="D69" s="1">
        <v>4.3701045070747678E-6</v>
      </c>
      <c r="E69" s="1">
        <v>4.3701045070747681E-4</v>
      </c>
      <c r="F69" s="1">
        <v>4.3701045070747678E-6</v>
      </c>
      <c r="G69" s="1">
        <v>4.3701045070747681E-4</v>
      </c>
      <c r="H69" s="2">
        <v>68</v>
      </c>
      <c r="I69">
        <v>36000</v>
      </c>
      <c r="U69">
        <v>2017</v>
      </c>
      <c r="V69">
        <v>24120</v>
      </c>
      <c r="W69" s="1">
        <v>4.7094307374518279E-4</v>
      </c>
      <c r="X69" s="1">
        <f t="shared" si="10"/>
        <v>4.7094307374518279E-6</v>
      </c>
      <c r="Y69" s="1">
        <f t="shared" si="11"/>
        <v>4.7094307374518279E-4</v>
      </c>
      <c r="Z69" s="1">
        <f t="shared" si="12"/>
        <v>4.7094307374518279E-6</v>
      </c>
      <c r="AA69" s="1">
        <f t="shared" si="13"/>
        <v>4.7094307374518279E-4</v>
      </c>
      <c r="AD69">
        <v>4</v>
      </c>
      <c r="AE69">
        <v>18000000</v>
      </c>
      <c r="AF69">
        <v>500</v>
      </c>
      <c r="AG69">
        <v>1</v>
      </c>
      <c r="AH69" t="s">
        <v>644</v>
      </c>
      <c r="AR69" t="s">
        <v>645</v>
      </c>
    </row>
    <row r="70" spans="1:54" x14ac:dyDescent="0.45">
      <c r="A70" t="s">
        <v>646</v>
      </c>
      <c r="B70">
        <v>2448000</v>
      </c>
      <c r="C70" s="1">
        <v>4.456337430841119E-4</v>
      </c>
      <c r="D70" s="1">
        <v>4.4563374308411186E-6</v>
      </c>
      <c r="E70" s="1">
        <v>4.456337430841119E-4</v>
      </c>
      <c r="F70" s="1">
        <v>4.4563374308411186E-6</v>
      </c>
      <c r="G70" s="1">
        <v>4.456337430841119E-4</v>
      </c>
      <c r="H70" s="2">
        <v>69</v>
      </c>
      <c r="I70">
        <v>36000</v>
      </c>
      <c r="U70">
        <v>2018</v>
      </c>
      <c r="V70">
        <v>24480</v>
      </c>
      <c r="W70" s="1">
        <v>7.0474477053287924E-4</v>
      </c>
      <c r="X70" s="1">
        <f t="shared" si="10"/>
        <v>7.0474477053287921E-6</v>
      </c>
      <c r="Y70" s="1">
        <f t="shared" si="11"/>
        <v>7.0474477053287924E-4</v>
      </c>
      <c r="Z70" s="1">
        <f t="shared" si="12"/>
        <v>7.0474477053287921E-6</v>
      </c>
      <c r="AA70" s="1">
        <f t="shared" si="13"/>
        <v>7.0474477053287924E-4</v>
      </c>
      <c r="AD70">
        <v>5</v>
      </c>
      <c r="AE70">
        <v>360000000</v>
      </c>
      <c r="AF70">
        <v>1000</v>
      </c>
      <c r="AG70">
        <v>1</v>
      </c>
      <c r="AH70" t="s">
        <v>647</v>
      </c>
      <c r="AR70" t="s">
        <v>7</v>
      </c>
      <c r="AS70" t="s">
        <v>8</v>
      </c>
      <c r="AT70" t="s">
        <v>9</v>
      </c>
      <c r="AU70" t="s">
        <v>10</v>
      </c>
      <c r="AV70" t="s">
        <v>11</v>
      </c>
      <c r="AW70" t="s">
        <v>12</v>
      </c>
      <c r="AX70" t="s">
        <v>13</v>
      </c>
      <c r="AY70" t="s">
        <v>14</v>
      </c>
      <c r="AZ70" t="s">
        <v>15</v>
      </c>
      <c r="BA70" t="s">
        <v>16</v>
      </c>
      <c r="BB70" t="s">
        <v>17</v>
      </c>
    </row>
    <row r="71" spans="1:54" x14ac:dyDescent="0.45">
      <c r="A71" t="s">
        <v>648</v>
      </c>
      <c r="B71">
        <v>2484000</v>
      </c>
      <c r="C71" s="1">
        <v>4.8655371552782929E-4</v>
      </c>
      <c r="D71" s="1">
        <v>4.8655371552782931E-6</v>
      </c>
      <c r="E71" s="1">
        <v>4.8655371552782929E-4</v>
      </c>
      <c r="F71" s="1">
        <v>4.8655371552782931E-6</v>
      </c>
      <c r="G71" s="1">
        <v>4.8655371552782929E-4</v>
      </c>
      <c r="H71" s="2">
        <v>70</v>
      </c>
      <c r="I71">
        <v>36000</v>
      </c>
      <c r="U71">
        <v>2019</v>
      </c>
      <c r="V71">
        <v>24840</v>
      </c>
      <c r="W71" s="1">
        <v>6.47540851284781E-4</v>
      </c>
      <c r="X71" s="1">
        <f t="shared" si="10"/>
        <v>6.4754085128478099E-6</v>
      </c>
      <c r="Y71" s="1">
        <f t="shared" si="11"/>
        <v>6.47540851284781E-4</v>
      </c>
      <c r="Z71" s="1">
        <f t="shared" si="12"/>
        <v>6.4754085128478099E-6</v>
      </c>
      <c r="AA71" s="1">
        <f t="shared" si="13"/>
        <v>6.47540851284781E-4</v>
      </c>
      <c r="AD71">
        <v>6</v>
      </c>
      <c r="AE71">
        <v>360000000</v>
      </c>
      <c r="AF71">
        <v>10</v>
      </c>
      <c r="AG71">
        <v>1</v>
      </c>
      <c r="AH71" t="s">
        <v>649</v>
      </c>
      <c r="AR71" t="s">
        <v>18</v>
      </c>
      <c r="AS71" t="s">
        <v>19</v>
      </c>
      <c r="AT71">
        <v>100</v>
      </c>
      <c r="AU71">
        <v>0</v>
      </c>
      <c r="AV71">
        <v>100</v>
      </c>
      <c r="AW71">
        <v>200</v>
      </c>
      <c r="AX71">
        <v>300</v>
      </c>
      <c r="AY71">
        <v>5</v>
      </c>
      <c r="AZ71">
        <v>70</v>
      </c>
      <c r="BA71">
        <v>3</v>
      </c>
      <c r="BB71">
        <v>1</v>
      </c>
    </row>
    <row r="72" spans="1:54" x14ac:dyDescent="0.45">
      <c r="A72" t="s">
        <v>650</v>
      </c>
      <c r="B72">
        <v>2520000</v>
      </c>
      <c r="C72" s="1">
        <v>6.3231849758522464E-4</v>
      </c>
      <c r="D72" s="1">
        <v>6.3231849758522474E-6</v>
      </c>
      <c r="E72" s="1">
        <v>6.3231849758522464E-4</v>
      </c>
      <c r="F72" s="1">
        <v>6.3231849758522474E-6</v>
      </c>
      <c r="G72" s="1">
        <v>6.3231849758522464E-4</v>
      </c>
      <c r="H72" s="2">
        <v>71</v>
      </c>
      <c r="I72">
        <v>36000</v>
      </c>
      <c r="U72">
        <v>2020</v>
      </c>
      <c r="V72">
        <v>25200</v>
      </c>
      <c r="W72" s="1">
        <v>9.4119160098010126E-4</v>
      </c>
      <c r="X72" s="1">
        <f t="shared" si="10"/>
        <v>9.4119160098010124E-6</v>
      </c>
      <c r="Y72" s="1">
        <f t="shared" si="11"/>
        <v>9.4119160098010126E-4</v>
      </c>
      <c r="Z72" s="1">
        <f t="shared" si="12"/>
        <v>9.4119160098010124E-6</v>
      </c>
      <c r="AA72" s="1">
        <f t="shared" si="13"/>
        <v>9.4119160098010126E-4</v>
      </c>
      <c r="AR72" t="s">
        <v>20</v>
      </c>
      <c r="AS72" t="s">
        <v>21</v>
      </c>
      <c r="AT72">
        <v>150</v>
      </c>
      <c r="AU72">
        <v>100</v>
      </c>
      <c r="AV72">
        <v>150</v>
      </c>
      <c r="AW72">
        <v>150</v>
      </c>
      <c r="AX72">
        <v>250</v>
      </c>
      <c r="AY72">
        <v>5</v>
      </c>
      <c r="AZ72">
        <v>70</v>
      </c>
      <c r="BA72">
        <v>3</v>
      </c>
      <c r="BB72">
        <v>2</v>
      </c>
    </row>
    <row r="73" spans="1:54" x14ac:dyDescent="0.45">
      <c r="A73" t="s">
        <v>651</v>
      </c>
      <c r="B73">
        <v>2556000</v>
      </c>
      <c r="C73" s="1">
        <v>6.409415007452053E-4</v>
      </c>
      <c r="D73" s="1">
        <v>6.4094150074520529E-6</v>
      </c>
      <c r="E73" s="1">
        <v>6.409415007452053E-4</v>
      </c>
      <c r="F73" s="1">
        <v>6.4094150074520529E-6</v>
      </c>
      <c r="G73" s="1">
        <v>6.409415007452053E-4</v>
      </c>
      <c r="H73" s="2">
        <v>72</v>
      </c>
      <c r="I73">
        <v>36000</v>
      </c>
      <c r="U73">
        <v>2021</v>
      </c>
      <c r="V73">
        <v>25560</v>
      </c>
      <c r="W73" s="1">
        <v>5.0662494239123103E-4</v>
      </c>
      <c r="X73" s="1">
        <f t="shared" si="10"/>
        <v>5.0662494239123105E-6</v>
      </c>
      <c r="Y73" s="1">
        <f t="shared" si="11"/>
        <v>5.0662494239123103E-4</v>
      </c>
      <c r="Z73" s="1">
        <f t="shared" si="12"/>
        <v>5.0662494239123105E-6</v>
      </c>
      <c r="AA73" s="1">
        <f t="shared" si="13"/>
        <v>5.0662494239123103E-4</v>
      </c>
      <c r="AR73" t="s">
        <v>22</v>
      </c>
      <c r="AS73" t="s">
        <v>23</v>
      </c>
      <c r="AT73">
        <v>200</v>
      </c>
      <c r="AU73">
        <v>150</v>
      </c>
      <c r="AV73">
        <v>225</v>
      </c>
      <c r="AW73">
        <v>200</v>
      </c>
      <c r="AX73">
        <v>150</v>
      </c>
      <c r="AY73">
        <v>5</v>
      </c>
      <c r="AZ73">
        <v>70</v>
      </c>
      <c r="BA73">
        <v>3</v>
      </c>
      <c r="BB73">
        <v>3</v>
      </c>
    </row>
    <row r="74" spans="1:54" x14ac:dyDescent="0.45">
      <c r="A74" t="s">
        <v>652</v>
      </c>
      <c r="B74">
        <v>2592000</v>
      </c>
      <c r="C74" s="1">
        <v>6.3477537680003493E-4</v>
      </c>
      <c r="D74" s="1">
        <v>6.3477537680003486E-6</v>
      </c>
      <c r="E74" s="1">
        <v>6.3477537680003493E-4</v>
      </c>
      <c r="F74" s="1">
        <v>6.3477537680003486E-6</v>
      </c>
      <c r="G74" s="1">
        <v>6.3477537680003493E-4</v>
      </c>
      <c r="H74" s="2">
        <v>73</v>
      </c>
      <c r="I74">
        <v>36000</v>
      </c>
      <c r="U74">
        <v>2022</v>
      </c>
      <c r="V74">
        <v>25920</v>
      </c>
      <c r="W74" s="1">
        <v>5.5343966107292586E-4</v>
      </c>
      <c r="X74" s="1">
        <f t="shared" si="10"/>
        <v>5.534396610729259E-6</v>
      </c>
      <c r="Y74" s="1">
        <f t="shared" si="11"/>
        <v>5.5343966107292586E-4</v>
      </c>
      <c r="Z74" s="1">
        <f t="shared" si="12"/>
        <v>5.534396610729259E-6</v>
      </c>
      <c r="AA74" s="1">
        <f t="shared" si="13"/>
        <v>5.5343966107292586E-4</v>
      </c>
      <c r="AD74" t="s">
        <v>653</v>
      </c>
      <c r="AR74" t="s">
        <v>24</v>
      </c>
      <c r="AS74" t="s">
        <v>25</v>
      </c>
      <c r="AT74">
        <v>250</v>
      </c>
      <c r="AU74">
        <v>225</v>
      </c>
      <c r="AV74">
        <v>300</v>
      </c>
      <c r="AW74">
        <v>150</v>
      </c>
      <c r="AX74">
        <v>100</v>
      </c>
      <c r="AY74">
        <v>5</v>
      </c>
      <c r="AZ74">
        <v>70</v>
      </c>
      <c r="BA74">
        <v>3</v>
      </c>
      <c r="BB74">
        <v>4</v>
      </c>
    </row>
    <row r="75" spans="1:54" x14ac:dyDescent="0.45">
      <c r="A75" t="s">
        <v>654</v>
      </c>
      <c r="B75">
        <v>2628000</v>
      </c>
      <c r="C75" s="1">
        <v>6.197084556106375E-4</v>
      </c>
      <c r="D75" s="1">
        <v>6.1970845561063736E-6</v>
      </c>
      <c r="E75" s="1">
        <v>6.197084556106375E-4</v>
      </c>
      <c r="F75" s="1">
        <v>6.1970845561063736E-6</v>
      </c>
      <c r="G75" s="1">
        <v>6.197084556106375E-4</v>
      </c>
      <c r="H75" s="2">
        <v>74</v>
      </c>
      <c r="I75">
        <v>36000</v>
      </c>
      <c r="U75">
        <v>2023</v>
      </c>
      <c r="V75">
        <v>26280</v>
      </c>
      <c r="W75" s="1">
        <v>6.3697425558412722E-4</v>
      </c>
      <c r="X75" s="1">
        <f t="shared" si="10"/>
        <v>6.3697425558412719E-6</v>
      </c>
      <c r="Y75" s="1">
        <f t="shared" si="11"/>
        <v>6.3697425558412722E-4</v>
      </c>
      <c r="Z75" s="1">
        <f t="shared" si="12"/>
        <v>6.3697425558412719E-6</v>
      </c>
      <c r="AA75" s="1">
        <f t="shared" si="13"/>
        <v>6.3697425558412722E-4</v>
      </c>
      <c r="AD75" t="s">
        <v>32</v>
      </c>
      <c r="AE75" t="s">
        <v>33</v>
      </c>
      <c r="AF75" t="s">
        <v>34</v>
      </c>
      <c r="AG75" t="s">
        <v>35</v>
      </c>
      <c r="AH75" t="s">
        <v>655</v>
      </c>
      <c r="AI75" t="s">
        <v>656</v>
      </c>
      <c r="AR75" t="s">
        <v>26</v>
      </c>
      <c r="AS75" t="s">
        <v>27</v>
      </c>
      <c r="AT75">
        <v>350</v>
      </c>
      <c r="AU75">
        <v>300</v>
      </c>
      <c r="AV75">
        <v>350</v>
      </c>
      <c r="AW75">
        <v>200</v>
      </c>
      <c r="AX75">
        <v>0</v>
      </c>
      <c r="AY75">
        <v>5</v>
      </c>
      <c r="AZ75">
        <v>70</v>
      </c>
      <c r="BA75">
        <v>3</v>
      </c>
      <c r="BB75">
        <v>5</v>
      </c>
    </row>
    <row r="76" spans="1:54" x14ac:dyDescent="0.45">
      <c r="A76" t="s">
        <v>657</v>
      </c>
      <c r="B76">
        <v>2664000</v>
      </c>
      <c r="C76" s="1">
        <v>5.9994519873980408E-4</v>
      </c>
      <c r="D76" s="1">
        <v>5.9994519873980406E-6</v>
      </c>
      <c r="E76" s="1">
        <v>5.9994519873980408E-4</v>
      </c>
      <c r="F76" s="1">
        <v>5.9994519873980406E-6</v>
      </c>
      <c r="G76" s="1">
        <v>5.9994519873980408E-4</v>
      </c>
      <c r="H76" s="2">
        <v>75</v>
      </c>
      <c r="I76">
        <v>36000</v>
      </c>
      <c r="U76">
        <v>2024</v>
      </c>
      <c r="V76">
        <v>26640</v>
      </c>
      <c r="W76" s="1">
        <v>7.291229427225874E-4</v>
      </c>
      <c r="X76" s="1">
        <f t="shared" si="10"/>
        <v>7.2912294272258739E-6</v>
      </c>
      <c r="Y76" s="1">
        <f t="shared" si="11"/>
        <v>7.291229427225874E-4</v>
      </c>
      <c r="Z76" s="1">
        <f t="shared" si="12"/>
        <v>7.2912294272258739E-6</v>
      </c>
      <c r="AA76" s="1">
        <f t="shared" si="13"/>
        <v>7.291229427225874E-4</v>
      </c>
      <c r="AD76">
        <v>1</v>
      </c>
      <c r="AE76">
        <v>180000</v>
      </c>
      <c r="AF76">
        <v>200</v>
      </c>
      <c r="AG76">
        <v>1.0255057211429901</v>
      </c>
      <c r="AH76">
        <v>30</v>
      </c>
      <c r="AI76">
        <f>AE76/360</f>
        <v>500</v>
      </c>
    </row>
    <row r="77" spans="1:54" x14ac:dyDescent="0.45">
      <c r="A77" t="s">
        <v>658</v>
      </c>
      <c r="B77">
        <v>2700000</v>
      </c>
      <c r="C77" s="1">
        <v>6.5967464558974189E-4</v>
      </c>
      <c r="D77" s="1">
        <v>6.5967464558974191E-6</v>
      </c>
      <c r="E77" s="1">
        <v>6.5967464558974189E-4</v>
      </c>
      <c r="F77" s="1">
        <v>6.5967464558974191E-6</v>
      </c>
      <c r="G77" s="1">
        <v>6.5967464558974189E-4</v>
      </c>
      <c r="H77" s="2">
        <v>76</v>
      </c>
      <c r="I77">
        <v>36000</v>
      </c>
      <c r="U77">
        <v>2025</v>
      </c>
      <c r="V77">
        <v>27000</v>
      </c>
      <c r="W77" s="1">
        <v>6.4225139746381982E-4</v>
      </c>
      <c r="X77" s="1">
        <f t="shared" si="10"/>
        <v>6.4225139746381978E-6</v>
      </c>
      <c r="Y77" s="1">
        <f t="shared" si="11"/>
        <v>6.4225139746381982E-4</v>
      </c>
      <c r="Z77" s="1">
        <f t="shared" si="12"/>
        <v>6.4225139746381978E-6</v>
      </c>
      <c r="AA77" s="1">
        <f t="shared" si="13"/>
        <v>6.4225139746381982E-4</v>
      </c>
      <c r="AD77">
        <v>2</v>
      </c>
      <c r="AE77">
        <v>1800000</v>
      </c>
      <c r="AF77">
        <v>200</v>
      </c>
      <c r="AG77">
        <v>1.0396382277644101</v>
      </c>
      <c r="AH77">
        <v>30</v>
      </c>
      <c r="AI77">
        <f>AE77/360</f>
        <v>5000</v>
      </c>
    </row>
    <row r="78" spans="1:54" x14ac:dyDescent="0.45">
      <c r="A78" t="s">
        <v>659</v>
      </c>
      <c r="B78">
        <v>2736000</v>
      </c>
      <c r="C78" s="1">
        <v>6.5303656007541721E-4</v>
      </c>
      <c r="D78" s="1">
        <v>6.5303656007541726E-6</v>
      </c>
      <c r="E78" s="1">
        <v>6.5303656007541721E-4</v>
      </c>
      <c r="F78" s="1">
        <v>6.5303656007541726E-6</v>
      </c>
      <c r="G78" s="1">
        <v>6.5303656007541721E-4</v>
      </c>
      <c r="H78" s="2">
        <v>77</v>
      </c>
      <c r="I78">
        <v>36000</v>
      </c>
      <c r="U78">
        <v>2026</v>
      </c>
      <c r="V78">
        <v>27360</v>
      </c>
      <c r="W78" s="1">
        <v>4.8630228955171201E-4</v>
      </c>
      <c r="X78" s="1">
        <f t="shared" si="10"/>
        <v>4.86302289551712E-6</v>
      </c>
      <c r="Y78" s="1">
        <f t="shared" si="11"/>
        <v>4.8630228955171201E-4</v>
      </c>
      <c r="Z78" s="1">
        <f t="shared" si="12"/>
        <v>4.86302289551712E-6</v>
      </c>
      <c r="AA78" s="1">
        <f t="shared" si="13"/>
        <v>4.8630228955171201E-4</v>
      </c>
      <c r="AD78">
        <v>3</v>
      </c>
      <c r="AE78">
        <v>18000000</v>
      </c>
      <c r="AF78">
        <v>200</v>
      </c>
      <c r="AG78">
        <v>1.0532256549825301</v>
      </c>
      <c r="AH78">
        <v>30</v>
      </c>
      <c r="AI78">
        <f>AE78/360</f>
        <v>50000</v>
      </c>
      <c r="AR78" t="s">
        <v>660</v>
      </c>
    </row>
    <row r="79" spans="1:54" x14ac:dyDescent="0.45">
      <c r="A79" t="s">
        <v>661</v>
      </c>
      <c r="B79">
        <v>2772000</v>
      </c>
      <c r="C79" s="1">
        <v>6.3802248979882533E-4</v>
      </c>
      <c r="D79" s="1">
        <v>6.380224897988254E-6</v>
      </c>
      <c r="E79" s="1">
        <v>6.3802248979882533E-4</v>
      </c>
      <c r="F79" s="1">
        <v>6.380224897988254E-6</v>
      </c>
      <c r="G79" s="1">
        <v>6.3802248979882533E-4</v>
      </c>
      <c r="H79" s="2">
        <v>78</v>
      </c>
      <c r="I79">
        <v>36000</v>
      </c>
      <c r="U79">
        <v>2027</v>
      </c>
      <c r="V79">
        <v>27720</v>
      </c>
      <c r="W79" s="1">
        <v>7.8134219163826664E-4</v>
      </c>
      <c r="X79" s="1">
        <f t="shared" si="10"/>
        <v>7.8134219163826665E-6</v>
      </c>
      <c r="Y79" s="1">
        <f t="shared" si="11"/>
        <v>7.8134219163826664E-4</v>
      </c>
      <c r="Z79" s="1">
        <f t="shared" si="12"/>
        <v>7.8134219163826665E-6</v>
      </c>
      <c r="AA79" s="1">
        <f t="shared" si="13"/>
        <v>7.8134219163826664E-4</v>
      </c>
      <c r="AD79">
        <v>4</v>
      </c>
      <c r="AE79">
        <v>180000000</v>
      </c>
      <c r="AF79">
        <v>200</v>
      </c>
      <c r="AG79">
        <v>1.0666174958886401</v>
      </c>
      <c r="AH79">
        <v>30</v>
      </c>
      <c r="AI79">
        <f>AE79/360</f>
        <v>500000</v>
      </c>
      <c r="AR79" t="s">
        <v>7</v>
      </c>
      <c r="AS79" t="s">
        <v>8</v>
      </c>
      <c r="AT79" t="s">
        <v>9</v>
      </c>
      <c r="AU79" t="s">
        <v>10</v>
      </c>
      <c r="AV79" t="s">
        <v>11</v>
      </c>
      <c r="AW79" t="s">
        <v>12</v>
      </c>
      <c r="AX79" t="s">
        <v>13</v>
      </c>
      <c r="AY79" t="s">
        <v>14</v>
      </c>
      <c r="AZ79" t="s">
        <v>15</v>
      </c>
      <c r="BA79" t="s">
        <v>16</v>
      </c>
      <c r="BB79" t="s">
        <v>17</v>
      </c>
    </row>
    <row r="80" spans="1:54" x14ac:dyDescent="0.45">
      <c r="A80" t="s">
        <v>662</v>
      </c>
      <c r="B80">
        <v>2808000</v>
      </c>
      <c r="C80" s="1">
        <v>6.3105913071057659E-4</v>
      </c>
      <c r="D80" s="1">
        <v>6.3105913071057657E-6</v>
      </c>
      <c r="E80" s="1">
        <v>6.3105913071057659E-4</v>
      </c>
      <c r="F80" s="1">
        <v>6.3105913071057657E-6</v>
      </c>
      <c r="G80" s="1">
        <v>6.3105913071057659E-4</v>
      </c>
      <c r="H80" s="2">
        <v>79</v>
      </c>
      <c r="I80">
        <v>36000</v>
      </c>
      <c r="U80">
        <v>2028</v>
      </c>
      <c r="V80">
        <v>28080</v>
      </c>
      <c r="W80" s="1">
        <v>5.8506117777726231E-4</v>
      </c>
      <c r="X80" s="1">
        <f t="shared" si="10"/>
        <v>5.850611777772623E-6</v>
      </c>
      <c r="Y80" s="1">
        <f t="shared" si="11"/>
        <v>5.8506117777726231E-4</v>
      </c>
      <c r="Z80" s="1">
        <f t="shared" si="12"/>
        <v>5.850611777772623E-6</v>
      </c>
      <c r="AA80" s="1">
        <f t="shared" si="13"/>
        <v>5.8506117777726231E-4</v>
      </c>
      <c r="AD80">
        <v>5</v>
      </c>
      <c r="AE80">
        <v>720000000</v>
      </c>
      <c r="AF80">
        <v>200</v>
      </c>
      <c r="AG80">
        <v>1.0746477694404</v>
      </c>
      <c r="AH80">
        <v>30</v>
      </c>
      <c r="AI80">
        <f>AE80/360</f>
        <v>2000000</v>
      </c>
      <c r="AR80" t="s">
        <v>18</v>
      </c>
      <c r="AS80" t="s">
        <v>19</v>
      </c>
      <c r="AT80">
        <v>100</v>
      </c>
      <c r="AU80" s="13">
        <v>0</v>
      </c>
      <c r="AV80" s="13">
        <v>94</v>
      </c>
      <c r="AW80">
        <v>200</v>
      </c>
      <c r="AX80">
        <v>300</v>
      </c>
      <c r="AY80">
        <v>5</v>
      </c>
      <c r="AZ80">
        <v>70</v>
      </c>
      <c r="BA80">
        <v>3</v>
      </c>
      <c r="BB80">
        <v>1</v>
      </c>
    </row>
    <row r="81" spans="1:61" x14ac:dyDescent="0.45">
      <c r="A81" t="s">
        <v>663</v>
      </c>
      <c r="B81">
        <v>2844000</v>
      </c>
      <c r="C81" s="1">
        <v>6.138571147550685E-4</v>
      </c>
      <c r="D81" s="1">
        <v>6.1385711475506854E-6</v>
      </c>
      <c r="E81" s="1">
        <v>6.138571147550685E-4</v>
      </c>
      <c r="F81" s="1">
        <v>6.1385711475506854E-6</v>
      </c>
      <c r="G81" s="1">
        <v>6.138571147550685E-4</v>
      </c>
      <c r="H81" s="2">
        <v>80</v>
      </c>
      <c r="I81">
        <v>36000</v>
      </c>
      <c r="U81">
        <v>2029</v>
      </c>
      <c r="V81">
        <v>28440</v>
      </c>
      <c r="W81" s="1">
        <v>6.370758623671785E-4</v>
      </c>
      <c r="X81" s="1">
        <f t="shared" si="10"/>
        <v>6.3707586236717848E-6</v>
      </c>
      <c r="Y81" s="1">
        <f t="shared" si="11"/>
        <v>6.370758623671785E-4</v>
      </c>
      <c r="Z81" s="1">
        <f t="shared" si="12"/>
        <v>6.3707586236717848E-6</v>
      </c>
      <c r="AA81" s="1">
        <f t="shared" si="13"/>
        <v>6.370758623671785E-4</v>
      </c>
      <c r="AR81" t="s">
        <v>20</v>
      </c>
      <c r="AS81" t="s">
        <v>21</v>
      </c>
      <c r="AT81">
        <v>150</v>
      </c>
      <c r="AU81" s="13">
        <v>94</v>
      </c>
      <c r="AV81" s="13">
        <v>118</v>
      </c>
      <c r="AW81">
        <v>150</v>
      </c>
      <c r="AX81">
        <v>250</v>
      </c>
      <c r="AY81">
        <v>5</v>
      </c>
      <c r="AZ81">
        <v>70</v>
      </c>
      <c r="BA81">
        <v>3</v>
      </c>
      <c r="BB81">
        <v>2</v>
      </c>
    </row>
    <row r="82" spans="1:61" x14ac:dyDescent="0.45">
      <c r="A82" t="s">
        <v>664</v>
      </c>
      <c r="B82">
        <v>2880000</v>
      </c>
      <c r="C82" s="1">
        <v>6.8818150769884277E-4</v>
      </c>
      <c r="D82" s="1">
        <v>6.8818150769884281E-6</v>
      </c>
      <c r="E82" s="1">
        <v>6.8818150769884277E-4</v>
      </c>
      <c r="F82" s="1">
        <v>6.8818150769884281E-6</v>
      </c>
      <c r="G82" s="1">
        <v>6.8818150769884277E-4</v>
      </c>
      <c r="H82" s="2">
        <v>81</v>
      </c>
      <c r="I82">
        <v>36000</v>
      </c>
      <c r="U82">
        <v>2030</v>
      </c>
      <c r="V82">
        <v>28800</v>
      </c>
      <c r="W82" s="1">
        <v>8.0515352214514436E-4</v>
      </c>
      <c r="X82" s="1">
        <f t="shared" si="10"/>
        <v>8.0515352214514428E-6</v>
      </c>
      <c r="Y82" s="1">
        <f t="shared" si="11"/>
        <v>8.0515352214514436E-4</v>
      </c>
      <c r="Z82" s="1">
        <f t="shared" si="12"/>
        <v>8.0515352214514428E-6</v>
      </c>
      <c r="AA82" s="1">
        <f t="shared" si="13"/>
        <v>8.0515352214514436E-4</v>
      </c>
      <c r="AD82" t="s">
        <v>32</v>
      </c>
      <c r="AE82" t="s">
        <v>33</v>
      </c>
      <c r="AF82" t="s">
        <v>34</v>
      </c>
      <c r="AG82" t="s">
        <v>35</v>
      </c>
      <c r="AH82" t="s">
        <v>655</v>
      </c>
      <c r="AI82" t="s">
        <v>656</v>
      </c>
      <c r="AR82" t="s">
        <v>22</v>
      </c>
      <c r="AS82" t="s">
        <v>23</v>
      </c>
      <c r="AT82">
        <v>200</v>
      </c>
      <c r="AU82" s="13">
        <v>118</v>
      </c>
      <c r="AV82" s="13">
        <v>153</v>
      </c>
      <c r="AW82">
        <v>200</v>
      </c>
      <c r="AX82">
        <v>150</v>
      </c>
      <c r="AY82">
        <v>5</v>
      </c>
      <c r="AZ82">
        <v>70</v>
      </c>
      <c r="BA82">
        <v>3</v>
      </c>
      <c r="BB82">
        <v>3</v>
      </c>
    </row>
    <row r="83" spans="1:61" x14ac:dyDescent="0.45">
      <c r="A83" t="s">
        <v>665</v>
      </c>
      <c r="B83">
        <v>2916000</v>
      </c>
      <c r="C83" s="1">
        <v>6.5619239833718918E-4</v>
      </c>
      <c r="D83" s="1">
        <v>6.5619239833718916E-6</v>
      </c>
      <c r="E83" s="1">
        <v>6.5619239833718918E-4</v>
      </c>
      <c r="F83" s="1">
        <v>6.5619239833718916E-6</v>
      </c>
      <c r="G83" s="1">
        <v>6.5619239833718918E-4</v>
      </c>
      <c r="H83" s="2">
        <v>82</v>
      </c>
      <c r="I83">
        <v>36000</v>
      </c>
      <c r="U83">
        <v>2031</v>
      </c>
      <c r="V83">
        <v>29160</v>
      </c>
      <c r="W83" s="1">
        <v>5.750724982417129E-4</v>
      </c>
      <c r="X83" s="1">
        <f t="shared" si="10"/>
        <v>5.750724982417129E-6</v>
      </c>
      <c r="Y83" s="1">
        <f t="shared" si="11"/>
        <v>5.750724982417129E-4</v>
      </c>
      <c r="Z83" s="1">
        <f t="shared" si="12"/>
        <v>5.750724982417129E-6</v>
      </c>
      <c r="AA83" s="1">
        <f t="shared" si="13"/>
        <v>5.750724982417129E-4</v>
      </c>
      <c r="AD83" s="5">
        <v>1</v>
      </c>
      <c r="AE83">
        <v>180000</v>
      </c>
      <c r="AF83" s="5">
        <v>200</v>
      </c>
      <c r="AG83" s="5">
        <v>1.0373939999999999</v>
      </c>
      <c r="AH83" s="6">
        <v>1</v>
      </c>
      <c r="AI83">
        <f>AE83/360</f>
        <v>500</v>
      </c>
      <c r="AR83" t="s">
        <v>24</v>
      </c>
      <c r="AS83" t="s">
        <v>25</v>
      </c>
      <c r="AT83">
        <v>250</v>
      </c>
      <c r="AU83" s="13">
        <v>153</v>
      </c>
      <c r="AV83" s="13">
        <v>167</v>
      </c>
      <c r="AW83">
        <v>150</v>
      </c>
      <c r="AX83">
        <v>100</v>
      </c>
      <c r="AY83">
        <v>5</v>
      </c>
      <c r="AZ83">
        <v>70</v>
      </c>
      <c r="BA83">
        <v>3</v>
      </c>
      <c r="BB83">
        <v>4</v>
      </c>
    </row>
    <row r="84" spans="1:61" x14ac:dyDescent="0.45">
      <c r="A84" t="s">
        <v>666</v>
      </c>
      <c r="B84">
        <v>2952000</v>
      </c>
      <c r="C84" s="1">
        <v>6.3648659644083847E-4</v>
      </c>
      <c r="D84" s="1">
        <v>6.3648659644083847E-6</v>
      </c>
      <c r="E84" s="1">
        <v>6.3648659644083847E-4</v>
      </c>
      <c r="F84" s="1">
        <v>6.3648659644083847E-6</v>
      </c>
      <c r="G84" s="1">
        <v>6.3648659644083847E-4</v>
      </c>
      <c r="H84" s="2">
        <v>83</v>
      </c>
      <c r="I84">
        <v>36000</v>
      </c>
      <c r="U84">
        <v>2032</v>
      </c>
      <c r="V84">
        <v>29520</v>
      </c>
      <c r="W84" s="1">
        <v>6.7040596663695798E-4</v>
      </c>
      <c r="X84" s="1">
        <f t="shared" si="10"/>
        <v>6.7040596663695799E-6</v>
      </c>
      <c r="Y84" s="1">
        <f t="shared" si="11"/>
        <v>6.7040596663695798E-4</v>
      </c>
      <c r="Z84" s="1">
        <f t="shared" si="12"/>
        <v>6.7040596663695799E-6</v>
      </c>
      <c r="AA84" s="1">
        <f t="shared" si="13"/>
        <v>6.7040596663695798E-4</v>
      </c>
      <c r="AD84" s="5">
        <v>2</v>
      </c>
      <c r="AE84">
        <v>1800000</v>
      </c>
      <c r="AF84" s="5">
        <v>200</v>
      </c>
      <c r="AG84" s="5">
        <v>1.052738</v>
      </c>
      <c r="AH84" s="6">
        <v>1</v>
      </c>
      <c r="AI84">
        <f>AE84/360</f>
        <v>5000</v>
      </c>
      <c r="AR84" t="s">
        <v>26</v>
      </c>
      <c r="AS84" t="s">
        <v>27</v>
      </c>
      <c r="AT84">
        <v>350</v>
      </c>
      <c r="AU84" s="13">
        <v>167</v>
      </c>
      <c r="AV84" s="13">
        <v>200</v>
      </c>
      <c r="AW84">
        <v>200</v>
      </c>
      <c r="AX84">
        <v>0</v>
      </c>
      <c r="AY84">
        <v>5</v>
      </c>
      <c r="AZ84">
        <v>70</v>
      </c>
      <c r="BA84">
        <v>3</v>
      </c>
      <c r="BB84">
        <v>5</v>
      </c>
    </row>
    <row r="85" spans="1:61" x14ac:dyDescent="0.45">
      <c r="A85" t="s">
        <v>667</v>
      </c>
      <c r="B85">
        <v>2988000</v>
      </c>
      <c r="C85" s="1">
        <v>6.4073541828841857E-4</v>
      </c>
      <c r="D85" s="1">
        <v>6.4073541828841854E-6</v>
      </c>
      <c r="E85" s="1">
        <v>6.4073541828841857E-4</v>
      </c>
      <c r="F85" s="1">
        <v>6.4073541828841854E-6</v>
      </c>
      <c r="G85" s="1">
        <v>6.4073541828841857E-4</v>
      </c>
      <c r="H85" s="2">
        <v>84</v>
      </c>
      <c r="I85">
        <v>36000</v>
      </c>
      <c r="U85">
        <v>2033</v>
      </c>
      <c r="V85">
        <v>29880</v>
      </c>
      <c r="W85" s="1">
        <v>6.6752831004103605E-4</v>
      </c>
      <c r="X85" s="1">
        <f t="shared" si="10"/>
        <v>6.6752831004103607E-6</v>
      </c>
      <c r="Y85" s="1">
        <f t="shared" si="11"/>
        <v>6.6752831004103605E-4</v>
      </c>
      <c r="Z85" s="1">
        <f t="shared" si="12"/>
        <v>6.6752831004103607E-6</v>
      </c>
      <c r="AA85" s="1">
        <f t="shared" si="13"/>
        <v>6.6752831004103605E-4</v>
      </c>
      <c r="AD85" s="5">
        <v>3</v>
      </c>
      <c r="AE85">
        <v>18000000</v>
      </c>
      <c r="AF85" s="5">
        <v>200</v>
      </c>
      <c r="AG85" s="5">
        <v>1.0680700000000001</v>
      </c>
      <c r="AH85" s="6">
        <v>1</v>
      </c>
      <c r="AI85">
        <f>AE85/360</f>
        <v>50000</v>
      </c>
    </row>
    <row r="86" spans="1:61" x14ac:dyDescent="0.45">
      <c r="A86" t="s">
        <v>668</v>
      </c>
      <c r="B86">
        <v>3024000</v>
      </c>
      <c r="C86" s="1">
        <v>6.4697171841511763E-4</v>
      </c>
      <c r="D86" s="1">
        <v>6.4697171841511756E-6</v>
      </c>
      <c r="E86" s="1">
        <v>6.4697171841511763E-4</v>
      </c>
      <c r="F86" s="1">
        <v>6.4697171841511756E-6</v>
      </c>
      <c r="G86" s="1">
        <v>6.4697171841511763E-4</v>
      </c>
      <c r="H86" s="2">
        <v>85</v>
      </c>
      <c r="I86">
        <v>36000</v>
      </c>
      <c r="U86">
        <v>2034</v>
      </c>
      <c r="V86">
        <v>30240</v>
      </c>
      <c r="W86" s="1">
        <v>6.8681608077582183E-4</v>
      </c>
      <c r="X86" s="1">
        <f t="shared" si="10"/>
        <v>6.8681608077582185E-6</v>
      </c>
      <c r="Y86" s="1">
        <f t="shared" si="11"/>
        <v>6.8681608077582183E-4</v>
      </c>
      <c r="Z86" s="1">
        <f t="shared" si="12"/>
        <v>6.8681608077582185E-6</v>
      </c>
      <c r="AA86" s="1">
        <f t="shared" si="13"/>
        <v>6.8681608077582183E-4</v>
      </c>
      <c r="AD86" s="5">
        <v>4</v>
      </c>
      <c r="AE86">
        <v>180000000</v>
      </c>
      <c r="AF86" s="5">
        <v>200</v>
      </c>
      <c r="AG86" s="5">
        <v>1.0834010000000001</v>
      </c>
      <c r="AH86" s="6">
        <v>1</v>
      </c>
      <c r="AI86">
        <f>AE86/360</f>
        <v>500000</v>
      </c>
    </row>
    <row r="87" spans="1:61" x14ac:dyDescent="0.45">
      <c r="A87" t="s">
        <v>669</v>
      </c>
      <c r="B87">
        <v>3060000</v>
      </c>
      <c r="C87" s="1">
        <v>6.837139573482164E-4</v>
      </c>
      <c r="D87" s="1">
        <v>6.8371395734821638E-6</v>
      </c>
      <c r="E87" s="1">
        <v>6.837139573482164E-4</v>
      </c>
      <c r="F87" s="1">
        <v>6.8371395734821638E-6</v>
      </c>
      <c r="G87" s="1">
        <v>6.837139573482164E-4</v>
      </c>
      <c r="H87" s="2">
        <v>86</v>
      </c>
      <c r="I87">
        <v>36000</v>
      </c>
      <c r="U87">
        <v>2035</v>
      </c>
      <c r="V87">
        <v>30600</v>
      </c>
      <c r="W87" s="1">
        <v>8.5098987706838051E-4</v>
      </c>
      <c r="X87" s="1">
        <f t="shared" si="10"/>
        <v>8.5098987706838055E-6</v>
      </c>
      <c r="Y87" s="1">
        <f t="shared" si="11"/>
        <v>8.5098987706838051E-4</v>
      </c>
      <c r="Z87" s="1">
        <f t="shared" si="12"/>
        <v>8.5098987706838055E-6</v>
      </c>
      <c r="AA87" s="1">
        <f t="shared" si="13"/>
        <v>8.5098987706838051E-4</v>
      </c>
      <c r="AD87" s="5">
        <v>5</v>
      </c>
      <c r="AE87">
        <v>720000000</v>
      </c>
      <c r="AF87" s="5">
        <v>200</v>
      </c>
      <c r="AG87" s="5">
        <v>1.0909169999999999</v>
      </c>
      <c r="AH87" s="6">
        <v>1</v>
      </c>
      <c r="AI87">
        <f>AE87/360</f>
        <v>2000000</v>
      </c>
    </row>
    <row r="88" spans="1:61" x14ac:dyDescent="0.45">
      <c r="A88" t="s">
        <v>670</v>
      </c>
      <c r="B88">
        <v>3096000</v>
      </c>
      <c r="C88" s="1">
        <v>6.2540301291668461E-4</v>
      </c>
      <c r="D88" s="1">
        <v>6.2540301291668461E-6</v>
      </c>
      <c r="E88" s="1">
        <v>6.2540301291668461E-4</v>
      </c>
      <c r="F88" s="1">
        <v>6.2540301291668461E-6</v>
      </c>
      <c r="G88" s="1">
        <v>6.2540301291668461E-4</v>
      </c>
      <c r="H88" s="2">
        <v>87</v>
      </c>
      <c r="I88">
        <v>36000</v>
      </c>
      <c r="U88">
        <v>2036</v>
      </c>
      <c r="V88">
        <v>30960</v>
      </c>
      <c r="W88" s="1">
        <v>6.7755654381398901E-4</v>
      </c>
      <c r="X88" s="1">
        <f t="shared" si="10"/>
        <v>6.7755654381398902E-6</v>
      </c>
      <c r="Y88" s="1">
        <f t="shared" si="11"/>
        <v>6.7755654381398901E-4</v>
      </c>
      <c r="Z88" s="1">
        <f t="shared" si="12"/>
        <v>6.7755654381398902E-6</v>
      </c>
      <c r="AA88" s="1">
        <f t="shared" si="13"/>
        <v>6.7755654381398901E-4</v>
      </c>
    </row>
    <row r="89" spans="1:61" x14ac:dyDescent="0.45">
      <c r="A89" t="s">
        <v>671</v>
      </c>
      <c r="B89">
        <v>3132000</v>
      </c>
      <c r="C89" s="1">
        <v>6.7614766082081104E-4</v>
      </c>
      <c r="D89" s="1">
        <v>6.7614766082081103E-6</v>
      </c>
      <c r="E89" s="1">
        <v>6.7614766082081104E-4</v>
      </c>
      <c r="F89" s="1">
        <v>6.7614766082081103E-6</v>
      </c>
      <c r="G89" s="1">
        <v>6.7614766082081104E-4</v>
      </c>
      <c r="H89" s="2">
        <v>88</v>
      </c>
      <c r="I89">
        <v>36000</v>
      </c>
      <c r="U89">
        <v>2037</v>
      </c>
      <c r="V89">
        <v>31320</v>
      </c>
      <c r="W89" s="1">
        <v>9.4339543613295384E-4</v>
      </c>
      <c r="X89" s="1">
        <f t="shared" si="10"/>
        <v>9.4339543613295379E-6</v>
      </c>
      <c r="Y89" s="1">
        <f t="shared" si="11"/>
        <v>9.4339543613295384E-4</v>
      </c>
      <c r="Z89" s="1">
        <f t="shared" si="12"/>
        <v>9.4339543613295379E-6</v>
      </c>
      <c r="AA89" s="1">
        <f t="shared" si="13"/>
        <v>9.4339543613295384E-4</v>
      </c>
    </row>
    <row r="90" spans="1:61" x14ac:dyDescent="0.45">
      <c r="A90" t="s">
        <v>672</v>
      </c>
      <c r="B90">
        <v>3168000</v>
      </c>
      <c r="C90" s="1">
        <v>6.5782433676825477E-4</v>
      </c>
      <c r="D90" s="1">
        <v>6.5782433676825479E-6</v>
      </c>
      <c r="E90" s="1">
        <v>6.5782433676825477E-4</v>
      </c>
      <c r="F90" s="1">
        <v>6.5782433676825479E-6</v>
      </c>
      <c r="G90" s="1">
        <v>6.5782433676825477E-4</v>
      </c>
      <c r="H90" s="2">
        <v>89</v>
      </c>
      <c r="I90">
        <v>36000</v>
      </c>
      <c r="U90">
        <v>2038</v>
      </c>
      <c r="V90">
        <v>31680</v>
      </c>
      <c r="W90" s="1">
        <v>5.8085408169564559E-4</v>
      </c>
      <c r="X90" s="1">
        <f t="shared" si="10"/>
        <v>5.8085408169564563E-6</v>
      </c>
      <c r="Y90" s="1">
        <f t="shared" si="11"/>
        <v>5.8085408169564559E-4</v>
      </c>
      <c r="Z90" s="1">
        <f t="shared" si="12"/>
        <v>5.8085408169564563E-6</v>
      </c>
      <c r="AA90" s="1">
        <f t="shared" si="13"/>
        <v>5.8085408169564559E-4</v>
      </c>
      <c r="AE90" t="s">
        <v>673</v>
      </c>
      <c r="AO90" t="s">
        <v>674</v>
      </c>
    </row>
    <row r="91" spans="1:61" x14ac:dyDescent="0.45">
      <c r="A91" t="s">
        <v>675</v>
      </c>
      <c r="B91">
        <v>3204000</v>
      </c>
      <c r="C91" s="1">
        <v>6.2769081210918576E-4</v>
      </c>
      <c r="D91" s="1">
        <v>6.2769081210918566E-6</v>
      </c>
      <c r="E91" s="1">
        <v>6.2769081210918576E-4</v>
      </c>
      <c r="F91" s="1">
        <v>6.2769081210918566E-6</v>
      </c>
      <c r="G91" s="1">
        <v>6.2769081210918576E-4</v>
      </c>
      <c r="H91" s="2">
        <v>90</v>
      </c>
      <c r="I91">
        <v>36000</v>
      </c>
      <c r="U91">
        <v>2039</v>
      </c>
      <c r="V91">
        <v>32040</v>
      </c>
      <c r="W91" s="1">
        <v>3.6120501290660029E-4</v>
      </c>
      <c r="X91" s="1">
        <f t="shared" si="10"/>
        <v>3.6120501290660029E-6</v>
      </c>
      <c r="Y91" s="1">
        <f t="shared" si="11"/>
        <v>3.6120501290660029E-4</v>
      </c>
      <c r="Z91" s="1">
        <f t="shared" si="12"/>
        <v>3.6120501290660029E-6</v>
      </c>
      <c r="AA91" s="1">
        <f t="shared" si="13"/>
        <v>3.6120501290660029E-4</v>
      </c>
      <c r="AE91" t="s">
        <v>39</v>
      </c>
      <c r="AF91" t="s">
        <v>676</v>
      </c>
      <c r="AG91" t="s">
        <v>677</v>
      </c>
      <c r="AH91" t="s">
        <v>678</v>
      </c>
      <c r="AI91" t="s">
        <v>679</v>
      </c>
      <c r="AJ91" t="s">
        <v>680</v>
      </c>
      <c r="AK91" t="s">
        <v>681</v>
      </c>
      <c r="AL91" t="s">
        <v>682</v>
      </c>
      <c r="AM91" t="s">
        <v>683</v>
      </c>
      <c r="AO91" t="s">
        <v>39</v>
      </c>
      <c r="AP91" t="s">
        <v>676</v>
      </c>
      <c r="AQ91" t="s">
        <v>677</v>
      </c>
      <c r="AR91" t="s">
        <v>678</v>
      </c>
      <c r="AT91" t="s">
        <v>679</v>
      </c>
      <c r="AV91" t="s">
        <v>680</v>
      </c>
      <c r="AW91" t="s">
        <v>681</v>
      </c>
      <c r="AX91" t="s">
        <v>682</v>
      </c>
    </row>
    <row r="92" spans="1:61" x14ac:dyDescent="0.45">
      <c r="A92" t="s">
        <v>684</v>
      </c>
      <c r="B92">
        <v>3240000</v>
      </c>
      <c r="C92" s="1">
        <v>6.022594707592268E-4</v>
      </c>
      <c r="D92" s="1">
        <v>6.0225947075922676E-6</v>
      </c>
      <c r="E92" s="1">
        <v>6.022594707592268E-4</v>
      </c>
      <c r="F92" s="1">
        <v>6.0225947075922676E-6</v>
      </c>
      <c r="G92" s="1">
        <v>6.022594707592268E-4</v>
      </c>
      <c r="H92" s="2">
        <v>91</v>
      </c>
      <c r="I92">
        <v>36000</v>
      </c>
      <c r="U92">
        <v>2040</v>
      </c>
      <c r="V92">
        <v>32400</v>
      </c>
      <c r="W92" s="1">
        <v>6.2975536923403231E-4</v>
      </c>
      <c r="X92" s="1">
        <f t="shared" si="10"/>
        <v>6.2975536923403232E-6</v>
      </c>
      <c r="Y92" s="1">
        <f t="shared" si="11"/>
        <v>6.2975536923403231E-4</v>
      </c>
      <c r="Z92" s="1">
        <f t="shared" si="12"/>
        <v>6.2975536923403232E-6</v>
      </c>
      <c r="AA92" s="1">
        <f t="shared" si="13"/>
        <v>6.2975536923403231E-4</v>
      </c>
      <c r="AE92" s="8" t="s">
        <v>46</v>
      </c>
      <c r="AF92" s="1">
        <v>8.6400000000000001E-3</v>
      </c>
      <c r="AG92" s="1">
        <v>8.6400000000000001E-3</v>
      </c>
      <c r="AH92" s="1">
        <v>8.6400000000000001E-3</v>
      </c>
      <c r="AI92" s="1">
        <v>8.6400000000000001E-3</v>
      </c>
      <c r="AJ92" s="1">
        <v>8.6400000000000001E-3</v>
      </c>
      <c r="AK92" s="1">
        <v>8.6400000000000001E-3</v>
      </c>
      <c r="AL92" s="1">
        <v>8.6400000000000001E-3</v>
      </c>
      <c r="AM92" s="1">
        <v>8.6400000000000001E-3</v>
      </c>
      <c r="AO92" s="8" t="s">
        <v>46</v>
      </c>
      <c r="AP92" s="1">
        <v>8.6400000000000001E-3</v>
      </c>
      <c r="AQ92" s="1">
        <v>2.5919999999999999E-2</v>
      </c>
      <c r="AR92" s="1">
        <v>8.6400000000000005E-2</v>
      </c>
      <c r="AS92" s="1">
        <v>0.25919999999999999</v>
      </c>
      <c r="AT92" s="1">
        <v>0.86399999999999999</v>
      </c>
      <c r="AU92" s="1">
        <v>2.5920000000000001</v>
      </c>
      <c r="AV92" s="1">
        <v>8.64</v>
      </c>
      <c r="AW92" s="1">
        <v>25.92</v>
      </c>
      <c r="AX92" s="1">
        <v>86.4</v>
      </c>
    </row>
    <row r="93" spans="1:61" x14ac:dyDescent="0.45">
      <c r="A93" t="s">
        <v>685</v>
      </c>
      <c r="B93">
        <v>3276000</v>
      </c>
      <c r="C93" s="1">
        <v>6.161871615329845E-4</v>
      </c>
      <c r="D93" s="1">
        <v>6.1618716153298451E-6</v>
      </c>
      <c r="E93" s="1">
        <v>6.161871615329845E-4</v>
      </c>
      <c r="F93" s="1">
        <v>6.1618716153298451E-6</v>
      </c>
      <c r="G93" s="1">
        <v>6.161871615329845E-4</v>
      </c>
      <c r="H93" s="2">
        <v>92</v>
      </c>
      <c r="I93">
        <v>36000</v>
      </c>
      <c r="U93">
        <v>2041</v>
      </c>
      <c r="V93">
        <v>32760</v>
      </c>
      <c r="W93" s="1">
        <v>7.228323272845125E-4</v>
      </c>
      <c r="X93" s="1">
        <f t="shared" si="10"/>
        <v>7.228323272845125E-6</v>
      </c>
      <c r="Y93" s="1">
        <f t="shared" si="11"/>
        <v>7.228323272845125E-4</v>
      </c>
      <c r="Z93" s="1">
        <f t="shared" si="12"/>
        <v>7.228323272845125E-6</v>
      </c>
      <c r="AA93" s="1">
        <f t="shared" si="13"/>
        <v>7.228323272845125E-4</v>
      </c>
      <c r="AE93" s="9" t="s">
        <v>50</v>
      </c>
      <c r="AF93" s="10">
        <v>8.6399999999999999E-9</v>
      </c>
      <c r="AG93" s="10">
        <v>8.6400000000000006E-8</v>
      </c>
      <c r="AH93" s="10">
        <v>8.6400000000000001E-7</v>
      </c>
      <c r="AI93" s="10">
        <v>8.6400000000000003E-6</v>
      </c>
      <c r="AJ93" s="10">
        <v>8.6399999999999999E-5</v>
      </c>
      <c r="AK93" s="10">
        <v>8.6399999999999997E-4</v>
      </c>
      <c r="AL93" s="10">
        <v>8.6400000000000001E-3</v>
      </c>
      <c r="AM93" s="10">
        <v>8.6400000000000005E-2</v>
      </c>
      <c r="AO93" s="9" t="s">
        <v>50</v>
      </c>
      <c r="AP93" s="10">
        <v>8.6399999999999999E-9</v>
      </c>
      <c r="AQ93" s="10">
        <v>8.6399999999999999E-9</v>
      </c>
      <c r="AR93" s="10">
        <v>8.6399999999999999E-9</v>
      </c>
      <c r="AS93" s="10">
        <v>8.6399999999999999E-9</v>
      </c>
      <c r="AT93" s="10">
        <v>8.6399999999999999E-9</v>
      </c>
      <c r="AU93" s="10">
        <v>8.6399999999999999E-9</v>
      </c>
      <c r="AV93" s="10">
        <v>8.6399999999999999E-9</v>
      </c>
      <c r="AW93" s="10">
        <v>8.6399999999999999E-9</v>
      </c>
      <c r="AX93" s="10">
        <v>8.6399999999999999E-9</v>
      </c>
    </row>
    <row r="94" spans="1:61" x14ac:dyDescent="0.45">
      <c r="A94" t="s">
        <v>686</v>
      </c>
      <c r="B94">
        <v>3312000</v>
      </c>
      <c r="C94" s="1">
        <v>5.8966052090965275E-4</v>
      </c>
      <c r="D94" s="1">
        <v>5.8966052090965263E-6</v>
      </c>
      <c r="E94" s="1">
        <v>5.8966052090965275E-4</v>
      </c>
      <c r="F94" s="1">
        <v>5.8966052090965263E-6</v>
      </c>
      <c r="G94" s="1">
        <v>5.8966052090965275E-4</v>
      </c>
      <c r="H94" s="2">
        <v>93</v>
      </c>
      <c r="I94">
        <v>36000</v>
      </c>
      <c r="U94">
        <v>2042</v>
      </c>
      <c r="V94">
        <v>33120</v>
      </c>
      <c r="W94" s="1">
        <v>4.6803677487896461E-4</v>
      </c>
      <c r="X94" s="1">
        <f t="shared" si="10"/>
        <v>4.6803677487896461E-6</v>
      </c>
      <c r="Y94" s="1">
        <f t="shared" si="11"/>
        <v>4.6803677487896461E-4</v>
      </c>
      <c r="Z94" s="1">
        <f t="shared" si="12"/>
        <v>4.6803677487896461E-6</v>
      </c>
      <c r="AA94" s="1">
        <f t="shared" si="13"/>
        <v>4.6803677487896461E-4</v>
      </c>
      <c r="AE94" s="8" t="s">
        <v>52</v>
      </c>
      <c r="AF94" s="1">
        <v>8.6400000000000001E-3</v>
      </c>
      <c r="AG94" s="1">
        <v>8.6400000000000001E-3</v>
      </c>
      <c r="AH94" s="1">
        <v>8.6400000000000001E-3</v>
      </c>
      <c r="AI94" s="1">
        <v>8.6400000000000001E-3</v>
      </c>
      <c r="AJ94" s="1">
        <v>8.6400000000000001E-3</v>
      </c>
      <c r="AK94" s="1">
        <v>8.6400000000000001E-3</v>
      </c>
      <c r="AL94" s="1">
        <v>8.6400000000000001E-3</v>
      </c>
      <c r="AM94" s="1">
        <v>8.6400000000000001E-3</v>
      </c>
      <c r="AO94" s="8" t="s">
        <v>52</v>
      </c>
      <c r="AP94" s="1">
        <v>8.6400000000000001E-3</v>
      </c>
      <c r="AQ94" s="1">
        <v>2.5919999999999999E-2</v>
      </c>
      <c r="AR94" s="1">
        <v>8.6400000000000005E-2</v>
      </c>
      <c r="AS94" s="1">
        <v>0.25919999999999999</v>
      </c>
      <c r="AT94" s="1">
        <v>0.86399999999999999</v>
      </c>
      <c r="AU94" s="1">
        <v>2.5920000000000001</v>
      </c>
      <c r="AV94" s="1">
        <v>8.64</v>
      </c>
      <c r="AW94" s="1">
        <v>25.92</v>
      </c>
      <c r="AX94" s="1">
        <v>86.4</v>
      </c>
      <c r="AZ94" t="s">
        <v>39</v>
      </c>
      <c r="BA94" t="s">
        <v>676</v>
      </c>
      <c r="BB94" t="s">
        <v>677</v>
      </c>
      <c r="BC94" t="s">
        <v>678</v>
      </c>
      <c r="BE94" t="s">
        <v>679</v>
      </c>
      <c r="BG94" t="s">
        <v>680</v>
      </c>
      <c r="BH94" t="s">
        <v>681</v>
      </c>
      <c r="BI94" t="s">
        <v>682</v>
      </c>
    </row>
    <row r="95" spans="1:61" x14ac:dyDescent="0.45">
      <c r="A95" t="s">
        <v>687</v>
      </c>
      <c r="B95">
        <v>3348000</v>
      </c>
      <c r="C95" s="1">
        <v>6.184825996746351E-4</v>
      </c>
      <c r="D95" s="1">
        <v>6.1848259967463524E-6</v>
      </c>
      <c r="E95" s="1">
        <v>6.184825996746351E-4</v>
      </c>
      <c r="F95" s="1">
        <v>6.1848259967463524E-6</v>
      </c>
      <c r="G95" s="1">
        <v>6.184825996746351E-4</v>
      </c>
      <c r="H95" s="2">
        <v>94</v>
      </c>
      <c r="I95">
        <v>36000</v>
      </c>
      <c r="U95">
        <v>2043</v>
      </c>
      <c r="V95">
        <v>33480</v>
      </c>
      <c r="W95" s="1">
        <v>7.7336905885629418E-4</v>
      </c>
      <c r="X95" s="1">
        <f t="shared" si="10"/>
        <v>7.7336905885629418E-6</v>
      </c>
      <c r="Y95" s="1">
        <f t="shared" si="11"/>
        <v>7.7336905885629418E-4</v>
      </c>
      <c r="Z95" s="1">
        <f t="shared" si="12"/>
        <v>7.7336905885629418E-6</v>
      </c>
      <c r="AA95" s="1">
        <f t="shared" si="13"/>
        <v>7.7336905885629418E-4</v>
      </c>
      <c r="AE95" s="9" t="s">
        <v>54</v>
      </c>
      <c r="AF95" s="10">
        <v>8.6399999999999999E-9</v>
      </c>
      <c r="AG95" s="10">
        <v>8.6400000000000006E-8</v>
      </c>
      <c r="AH95" s="10">
        <v>8.6400000000000001E-7</v>
      </c>
      <c r="AI95" s="10">
        <v>8.6400000000000003E-6</v>
      </c>
      <c r="AJ95" s="10">
        <v>8.6399999999999999E-5</v>
      </c>
      <c r="AK95" s="10">
        <v>8.6399999999999997E-4</v>
      </c>
      <c r="AL95" s="10">
        <v>8.6400000000000001E-3</v>
      </c>
      <c r="AM95" s="10">
        <v>8.6400000000000005E-2</v>
      </c>
      <c r="AO95" s="9" t="s">
        <v>54</v>
      </c>
      <c r="AP95" s="10">
        <v>8.6399999999999999E-9</v>
      </c>
      <c r="AQ95" s="10">
        <v>8.6399999999999999E-9</v>
      </c>
      <c r="AR95" s="10">
        <v>8.6399999999999999E-9</v>
      </c>
      <c r="AS95" s="10">
        <v>8.6399999999999999E-9</v>
      </c>
      <c r="AT95" s="10">
        <v>8.6399999999999999E-9</v>
      </c>
      <c r="AU95" s="10">
        <v>8.6399999999999999E-9</v>
      </c>
      <c r="AV95" s="10">
        <v>8.6399999999999999E-9</v>
      </c>
      <c r="AW95" s="10">
        <v>8.6399999999999999E-9</v>
      </c>
      <c r="AX95" s="10">
        <v>8.6399999999999999E-9</v>
      </c>
      <c r="AZ95" s="8" t="s">
        <v>46</v>
      </c>
      <c r="BA95" s="1">
        <v>8.6400000000000001E-3</v>
      </c>
      <c r="BB95" s="1">
        <v>2.5919999999999999E-2</v>
      </c>
      <c r="BC95" s="1">
        <v>8.6400000000000005E-2</v>
      </c>
      <c r="BD95" s="1">
        <v>0.25919999999999999</v>
      </c>
      <c r="BE95" s="1">
        <v>0.86399999999999999</v>
      </c>
      <c r="BF95" s="1">
        <v>2.5920000000000001</v>
      </c>
      <c r="BG95" s="1">
        <v>8.64</v>
      </c>
      <c r="BH95" s="1">
        <v>25.92</v>
      </c>
      <c r="BI95" s="1">
        <v>86.4</v>
      </c>
    </row>
    <row r="96" spans="1:61" x14ac:dyDescent="0.45">
      <c r="A96" t="s">
        <v>688</v>
      </c>
      <c r="B96">
        <v>3384000</v>
      </c>
      <c r="C96" s="1">
        <v>6.2913306972049526E-4</v>
      </c>
      <c r="D96" s="1">
        <v>6.2913306972049533E-6</v>
      </c>
      <c r="E96" s="1">
        <v>6.2913306972049526E-4</v>
      </c>
      <c r="F96" s="1">
        <v>6.2913306972049533E-6</v>
      </c>
      <c r="G96" s="1">
        <v>6.2913306972049526E-4</v>
      </c>
      <c r="H96" s="2">
        <v>95</v>
      </c>
      <c r="I96">
        <v>36000</v>
      </c>
      <c r="U96">
        <v>2044</v>
      </c>
      <c r="V96">
        <v>33840</v>
      </c>
      <c r="W96" s="1">
        <v>5.6237098746364077E-4</v>
      </c>
      <c r="X96" s="1">
        <f t="shared" si="10"/>
        <v>5.6237098746364081E-6</v>
      </c>
      <c r="Y96" s="1">
        <f t="shared" si="11"/>
        <v>5.6237098746364077E-4</v>
      </c>
      <c r="Z96" s="1">
        <f t="shared" si="12"/>
        <v>5.6237098746364081E-6</v>
      </c>
      <c r="AA96" s="1">
        <f t="shared" si="13"/>
        <v>5.6237098746364077E-4</v>
      </c>
      <c r="AE96" s="8" t="s">
        <v>56</v>
      </c>
      <c r="AF96" s="1">
        <v>8.6400000000000001E-3</v>
      </c>
      <c r="AG96" s="1">
        <v>8.6400000000000001E-3</v>
      </c>
      <c r="AH96" s="1">
        <v>8.6400000000000001E-3</v>
      </c>
      <c r="AI96" s="1">
        <v>8.6400000000000001E-3</v>
      </c>
      <c r="AJ96" s="1">
        <v>8.6400000000000001E-3</v>
      </c>
      <c r="AK96" s="1">
        <v>8.6400000000000001E-3</v>
      </c>
      <c r="AL96" s="1">
        <v>8.6400000000000001E-3</v>
      </c>
      <c r="AM96" s="1">
        <v>8.6400000000000001E-3</v>
      </c>
      <c r="AO96" s="8" t="s">
        <v>56</v>
      </c>
      <c r="AP96" s="1">
        <v>8.6400000000000001E-3</v>
      </c>
      <c r="AQ96" s="1">
        <v>2.5919999999999999E-2</v>
      </c>
      <c r="AR96" s="1">
        <v>8.6400000000000005E-2</v>
      </c>
      <c r="AS96" s="1">
        <v>0.25919999999999999</v>
      </c>
      <c r="AT96" s="1">
        <v>0.86399999999999999</v>
      </c>
      <c r="AU96" s="1">
        <v>2.5920000000000001</v>
      </c>
      <c r="AV96" s="1">
        <v>8.64</v>
      </c>
      <c r="AW96" s="1">
        <v>25.92</v>
      </c>
      <c r="AX96" s="1">
        <v>86.4</v>
      </c>
      <c r="AZ96" s="9" t="s">
        <v>50</v>
      </c>
      <c r="BA96" s="10">
        <v>2.592E-8</v>
      </c>
      <c r="BB96" s="10">
        <v>2.592E-8</v>
      </c>
      <c r="BC96" s="10">
        <v>2.592E-8</v>
      </c>
      <c r="BD96" s="10">
        <v>2.592E-8</v>
      </c>
      <c r="BE96" s="10">
        <v>2.592E-8</v>
      </c>
      <c r="BF96" s="10">
        <v>2.592E-8</v>
      </c>
      <c r="BG96" s="10">
        <v>2.592E-8</v>
      </c>
      <c r="BH96" s="10">
        <v>2.592E-8</v>
      </c>
      <c r="BI96" s="10">
        <v>2.592E-8</v>
      </c>
    </row>
    <row r="97" spans="1:61" x14ac:dyDescent="0.45">
      <c r="A97" t="s">
        <v>689</v>
      </c>
      <c r="B97">
        <v>3420000</v>
      </c>
      <c r="C97" s="1">
        <v>5.9956195143206982E-4</v>
      </c>
      <c r="D97" s="1">
        <v>5.9956195143206978E-6</v>
      </c>
      <c r="E97" s="1">
        <v>5.9956195143206982E-4</v>
      </c>
      <c r="F97" s="1">
        <v>5.9956195143206978E-6</v>
      </c>
      <c r="G97" s="1">
        <v>5.9956195143206982E-4</v>
      </c>
      <c r="H97" s="2">
        <v>96</v>
      </c>
      <c r="I97">
        <v>36000</v>
      </c>
      <c r="U97">
        <v>2045</v>
      </c>
      <c r="V97">
        <v>34200</v>
      </c>
      <c r="W97" s="1">
        <v>8.1362777910270177E-4</v>
      </c>
      <c r="X97" s="1">
        <f t="shared" si="10"/>
        <v>8.1362777910270177E-6</v>
      </c>
      <c r="Y97" s="1">
        <f t="shared" si="11"/>
        <v>8.1362777910270177E-4</v>
      </c>
      <c r="Z97" s="1">
        <f t="shared" si="12"/>
        <v>8.1362777910270177E-6</v>
      </c>
      <c r="AA97" s="1">
        <f t="shared" si="13"/>
        <v>8.1362777910270177E-4</v>
      </c>
      <c r="AE97" s="8" t="s">
        <v>60</v>
      </c>
      <c r="AF97" s="1">
        <v>8.6400000000000001E-3</v>
      </c>
      <c r="AG97" s="1">
        <v>8.6400000000000001E-3</v>
      </c>
      <c r="AH97" s="1">
        <v>8.6400000000000001E-3</v>
      </c>
      <c r="AI97" s="1">
        <v>8.6400000000000001E-3</v>
      </c>
      <c r="AJ97" s="1">
        <v>8.6400000000000001E-3</v>
      </c>
      <c r="AK97" s="1">
        <v>8.6400000000000001E-3</v>
      </c>
      <c r="AL97" s="1">
        <v>8.6400000000000001E-3</v>
      </c>
      <c r="AM97" s="1">
        <v>8.6400000000000001E-3</v>
      </c>
      <c r="AO97" s="8" t="s">
        <v>60</v>
      </c>
      <c r="AP97" s="1">
        <v>8.6400000000000001E-3</v>
      </c>
      <c r="AQ97" s="1">
        <v>2.5919999999999999E-2</v>
      </c>
      <c r="AR97" s="1">
        <v>8.6400000000000005E-2</v>
      </c>
      <c r="AS97" s="1">
        <v>0.25919999999999999</v>
      </c>
      <c r="AT97" s="1">
        <v>0.86399999999999999</v>
      </c>
      <c r="AU97" s="1">
        <v>2.5920000000000001</v>
      </c>
      <c r="AV97" s="1">
        <v>8.64</v>
      </c>
      <c r="AW97" s="1">
        <v>25.92</v>
      </c>
      <c r="AX97" s="1">
        <v>86.4</v>
      </c>
      <c r="AZ97" s="8" t="s">
        <v>52</v>
      </c>
      <c r="BA97" s="1">
        <v>8.6400000000000001E-3</v>
      </c>
      <c r="BB97" s="1">
        <v>2.5919999999999999E-2</v>
      </c>
      <c r="BC97" s="1">
        <v>8.6400000000000005E-2</v>
      </c>
      <c r="BD97" s="1">
        <v>0.25919999999999999</v>
      </c>
      <c r="BE97" s="1">
        <v>0.86399999999999999</v>
      </c>
      <c r="BF97" s="1">
        <v>2.5920000000000001</v>
      </c>
      <c r="BG97" s="1">
        <v>8.64</v>
      </c>
      <c r="BH97" s="1">
        <v>25.92</v>
      </c>
      <c r="BI97" s="1">
        <v>86.4</v>
      </c>
    </row>
    <row r="98" spans="1:61" x14ac:dyDescent="0.45">
      <c r="A98" t="s">
        <v>690</v>
      </c>
      <c r="B98">
        <v>3456000</v>
      </c>
      <c r="C98" s="1">
        <v>5.9866325095863206E-4</v>
      </c>
      <c r="D98" s="1">
        <v>5.9866325095863209E-6</v>
      </c>
      <c r="E98" s="1">
        <v>5.9866325095863206E-4</v>
      </c>
      <c r="F98" s="1">
        <v>5.9866325095863209E-6</v>
      </c>
      <c r="G98" s="1">
        <v>5.9866325095863206E-4</v>
      </c>
      <c r="H98" s="2">
        <v>97</v>
      </c>
      <c r="I98">
        <v>36000</v>
      </c>
      <c r="U98">
        <v>2046</v>
      </c>
      <c r="V98">
        <v>34560</v>
      </c>
      <c r="W98" s="1">
        <v>4.356087488178263E-4</v>
      </c>
      <c r="X98" s="1">
        <f t="shared" ref="X98:X129" si="14">+W98/100</f>
        <v>4.3560874881782632E-6</v>
      </c>
      <c r="Y98" s="1">
        <f t="shared" ref="Y98:Y129" si="15">+W98</f>
        <v>4.356087488178263E-4</v>
      </c>
      <c r="Z98" s="1">
        <f t="shared" ref="Z98:Z129" si="16">+Y98/100</f>
        <v>4.3560874881782632E-6</v>
      </c>
      <c r="AA98" s="1">
        <f t="shared" ref="AA98:AA129" si="17">+W98</f>
        <v>4.356087488178263E-4</v>
      </c>
      <c r="AE98" s="9" t="s">
        <v>61</v>
      </c>
      <c r="AF98" s="10">
        <v>8.6399999999999999E-9</v>
      </c>
      <c r="AG98" s="10">
        <v>8.6400000000000006E-8</v>
      </c>
      <c r="AH98" s="10">
        <v>8.6400000000000001E-7</v>
      </c>
      <c r="AI98" s="10">
        <v>8.6400000000000003E-6</v>
      </c>
      <c r="AJ98" s="10">
        <v>8.6399999999999999E-5</v>
      </c>
      <c r="AK98" s="10">
        <v>8.6399999999999997E-4</v>
      </c>
      <c r="AL98" s="10">
        <v>8.6400000000000001E-3</v>
      </c>
      <c r="AM98" s="10">
        <v>8.6400000000000005E-2</v>
      </c>
      <c r="AO98" s="9" t="s">
        <v>61</v>
      </c>
      <c r="AP98" s="10">
        <v>8.6399999999999999E-9</v>
      </c>
      <c r="AQ98" s="10">
        <v>8.6399999999999999E-9</v>
      </c>
      <c r="AR98" s="10">
        <v>8.6399999999999999E-9</v>
      </c>
      <c r="AS98" s="10">
        <v>8.6399999999999999E-9</v>
      </c>
      <c r="AT98" s="10">
        <v>8.6399999999999999E-9</v>
      </c>
      <c r="AU98" s="10">
        <v>8.6399999999999999E-9</v>
      </c>
      <c r="AV98" s="10">
        <v>8.6399999999999999E-9</v>
      </c>
      <c r="AW98" s="10">
        <v>8.6399999999999999E-9</v>
      </c>
      <c r="AX98" s="10">
        <v>8.6399999999999999E-9</v>
      </c>
      <c r="AZ98" s="9" t="s">
        <v>54</v>
      </c>
      <c r="BA98" s="10">
        <v>2.592E-8</v>
      </c>
      <c r="BB98" s="10">
        <v>2.592E-8</v>
      </c>
      <c r="BC98" s="10">
        <v>2.592E-8</v>
      </c>
      <c r="BD98" s="10">
        <v>2.592E-8</v>
      </c>
      <c r="BE98" s="10">
        <v>2.592E-8</v>
      </c>
      <c r="BF98" s="10">
        <v>2.592E-8</v>
      </c>
      <c r="BG98" s="10">
        <v>2.592E-8</v>
      </c>
      <c r="BH98" s="10">
        <v>2.592E-8</v>
      </c>
      <c r="BI98" s="10">
        <v>2.592E-8</v>
      </c>
    </row>
    <row r="99" spans="1:61" x14ac:dyDescent="0.45">
      <c r="A99" t="s">
        <v>691</v>
      </c>
      <c r="B99">
        <v>3492000</v>
      </c>
      <c r="C99" s="1">
        <v>6.3791302803022922E-4</v>
      </c>
      <c r="D99" s="1">
        <v>6.3791302803022919E-6</v>
      </c>
      <c r="E99" s="1">
        <v>6.3791302803022922E-4</v>
      </c>
      <c r="F99" s="1">
        <v>6.3791302803022919E-6</v>
      </c>
      <c r="G99" s="1">
        <v>6.3791302803022922E-4</v>
      </c>
      <c r="H99" s="2">
        <v>98</v>
      </c>
      <c r="I99">
        <v>36000</v>
      </c>
      <c r="U99">
        <v>2047</v>
      </c>
      <c r="V99">
        <v>34920</v>
      </c>
      <c r="W99" s="1">
        <v>1.0028195602172999E-3</v>
      </c>
      <c r="X99" s="1">
        <f t="shared" si="14"/>
        <v>1.0028195602173E-5</v>
      </c>
      <c r="Y99" s="1">
        <f t="shared" si="15"/>
        <v>1.0028195602172999E-3</v>
      </c>
      <c r="Z99" s="1">
        <f t="shared" si="16"/>
        <v>1.0028195602173E-5</v>
      </c>
      <c r="AA99" s="1">
        <f t="shared" si="17"/>
        <v>1.0028195602172999E-3</v>
      </c>
      <c r="AE99" s="8" t="s">
        <v>62</v>
      </c>
      <c r="AF99" s="1">
        <v>8.6400000000000001E-3</v>
      </c>
      <c r="AG99" s="1">
        <v>8.6400000000000001E-3</v>
      </c>
      <c r="AH99" s="1">
        <v>8.6400000000000001E-3</v>
      </c>
      <c r="AI99" s="1">
        <v>8.6400000000000001E-3</v>
      </c>
      <c r="AJ99" s="1">
        <v>8.6400000000000001E-3</v>
      </c>
      <c r="AK99" s="1">
        <v>8.6400000000000001E-3</v>
      </c>
      <c r="AL99" s="1">
        <v>8.6400000000000001E-3</v>
      </c>
      <c r="AM99" s="1">
        <v>8.6400000000000001E-3</v>
      </c>
      <c r="AO99" s="8" t="s">
        <v>62</v>
      </c>
      <c r="AP99" s="1">
        <v>8.6400000000000001E-3</v>
      </c>
      <c r="AQ99" s="1">
        <v>2.5919999999999999E-2</v>
      </c>
      <c r="AR99" s="1">
        <v>8.6400000000000005E-2</v>
      </c>
      <c r="AS99" s="1">
        <v>0.25919999999999999</v>
      </c>
      <c r="AT99" s="1">
        <v>0.86399999999999999</v>
      </c>
      <c r="AU99" s="1">
        <v>2.5920000000000001</v>
      </c>
      <c r="AV99" s="1">
        <v>8.64</v>
      </c>
      <c r="AW99" s="1">
        <v>25.92</v>
      </c>
      <c r="AX99" s="1">
        <v>86.4</v>
      </c>
      <c r="AZ99" s="8" t="s">
        <v>56</v>
      </c>
      <c r="BA99" s="1">
        <v>8.6400000000000001E-3</v>
      </c>
      <c r="BB99" s="1">
        <v>2.5919999999999999E-2</v>
      </c>
      <c r="BC99" s="1">
        <v>8.6400000000000005E-2</v>
      </c>
      <c r="BD99" s="1">
        <v>0.25919999999999999</v>
      </c>
      <c r="BE99" s="1">
        <v>0.86399999999999999</v>
      </c>
      <c r="BF99" s="1">
        <v>2.5920000000000001</v>
      </c>
      <c r="BG99" s="1">
        <v>8.64</v>
      </c>
      <c r="BH99" s="1">
        <v>25.92</v>
      </c>
      <c r="BI99" s="1">
        <v>86.4</v>
      </c>
    </row>
    <row r="100" spans="1:61" x14ac:dyDescent="0.45">
      <c r="A100" t="s">
        <v>692</v>
      </c>
      <c r="B100">
        <v>3528000</v>
      </c>
      <c r="C100" s="1">
        <v>6.0289409948625179E-4</v>
      </c>
      <c r="D100" s="1">
        <v>6.0289409948625178E-6</v>
      </c>
      <c r="E100" s="1">
        <v>6.0289409948625179E-4</v>
      </c>
      <c r="F100" s="1">
        <v>6.0289409948625178E-6</v>
      </c>
      <c r="G100" s="1">
        <v>6.0289409948625179E-4</v>
      </c>
      <c r="H100" s="2">
        <v>99</v>
      </c>
      <c r="I100">
        <v>36000</v>
      </c>
      <c r="U100">
        <v>2048</v>
      </c>
      <c r="V100">
        <v>35280</v>
      </c>
      <c r="W100" s="1">
        <v>5.0364788225881177E-4</v>
      </c>
      <c r="X100" s="1">
        <f t="shared" si="14"/>
        <v>5.0364788225881174E-6</v>
      </c>
      <c r="Y100" s="1">
        <f t="shared" si="15"/>
        <v>5.0364788225881177E-4</v>
      </c>
      <c r="Z100" s="1">
        <f t="shared" si="16"/>
        <v>5.0364788225881174E-6</v>
      </c>
      <c r="AA100" s="1">
        <f t="shared" si="17"/>
        <v>5.0364788225881177E-4</v>
      </c>
      <c r="AE100" s="9" t="s">
        <v>63</v>
      </c>
      <c r="AF100" s="10">
        <v>8.6399999999999999E-9</v>
      </c>
      <c r="AG100" s="10">
        <v>8.6400000000000006E-8</v>
      </c>
      <c r="AH100" s="10">
        <v>8.6400000000000001E-7</v>
      </c>
      <c r="AI100" s="10">
        <v>8.6400000000000003E-6</v>
      </c>
      <c r="AJ100" s="10">
        <v>8.6399999999999999E-5</v>
      </c>
      <c r="AK100" s="10">
        <v>8.6399999999999997E-4</v>
      </c>
      <c r="AL100" s="10">
        <v>8.6400000000000001E-3</v>
      </c>
      <c r="AM100" s="10">
        <v>8.6400000000000005E-2</v>
      </c>
      <c r="AO100" s="9" t="s">
        <v>63</v>
      </c>
      <c r="AP100" s="10">
        <v>8.6399999999999999E-9</v>
      </c>
      <c r="AQ100" s="10">
        <v>8.6399999999999999E-9</v>
      </c>
      <c r="AR100" s="10">
        <v>8.6399999999999999E-9</v>
      </c>
      <c r="AS100" s="10">
        <v>8.6399999999999999E-9</v>
      </c>
      <c r="AT100" s="10">
        <v>8.6399999999999999E-9</v>
      </c>
      <c r="AU100" s="10">
        <v>8.6399999999999999E-9</v>
      </c>
      <c r="AV100" s="10">
        <v>8.6399999999999999E-9</v>
      </c>
      <c r="AW100" s="10">
        <v>8.6399999999999999E-9</v>
      </c>
      <c r="AX100" s="10">
        <v>8.6399999999999999E-9</v>
      </c>
      <c r="AZ100" s="8" t="s">
        <v>60</v>
      </c>
      <c r="BA100" s="1">
        <v>8.6400000000000001E-3</v>
      </c>
      <c r="BB100" s="1">
        <v>2.5919999999999999E-2</v>
      </c>
      <c r="BC100" s="1">
        <v>8.6400000000000005E-2</v>
      </c>
      <c r="BD100" s="1">
        <v>0.25919999999999999</v>
      </c>
      <c r="BE100" s="1">
        <v>0.86399999999999999</v>
      </c>
      <c r="BF100" s="1">
        <v>2.5920000000000001</v>
      </c>
      <c r="BG100" s="1">
        <v>8.64</v>
      </c>
      <c r="BH100" s="1">
        <v>25.92</v>
      </c>
      <c r="BI100" s="1">
        <v>86.4</v>
      </c>
    </row>
    <row r="101" spans="1:61" x14ac:dyDescent="0.45">
      <c r="A101" t="s">
        <v>693</v>
      </c>
      <c r="B101">
        <v>3564000</v>
      </c>
      <c r="C101" s="1">
        <v>6.1941513679506779E-4</v>
      </c>
      <c r="D101" s="1">
        <v>6.1941513679506778E-6</v>
      </c>
      <c r="E101" s="1">
        <v>6.1941513679506779E-4</v>
      </c>
      <c r="F101" s="1">
        <v>6.1941513679506778E-6</v>
      </c>
      <c r="G101" s="1">
        <v>6.1941513679506779E-4</v>
      </c>
      <c r="H101" s="2">
        <v>100</v>
      </c>
      <c r="I101">
        <v>36000</v>
      </c>
      <c r="U101">
        <v>2049</v>
      </c>
      <c r="V101">
        <v>35640</v>
      </c>
      <c r="W101" s="1">
        <v>7.9643019829107138E-4</v>
      </c>
      <c r="X101" s="1">
        <f t="shared" si="14"/>
        <v>7.9643019829107136E-6</v>
      </c>
      <c r="Y101" s="1">
        <f t="shared" si="15"/>
        <v>7.9643019829107138E-4</v>
      </c>
      <c r="Z101" s="1">
        <f t="shared" si="16"/>
        <v>7.9643019829107136E-6</v>
      </c>
      <c r="AA101" s="1">
        <f t="shared" si="17"/>
        <v>7.9643019829107138E-4</v>
      </c>
      <c r="AE101" s="8" t="s">
        <v>64</v>
      </c>
      <c r="AF101" s="1">
        <v>8.6400000000000001E-3</v>
      </c>
      <c r="AG101" s="1">
        <v>8.6400000000000001E-3</v>
      </c>
      <c r="AH101" s="1">
        <v>8.6400000000000001E-3</v>
      </c>
      <c r="AI101" s="1">
        <v>8.6400000000000001E-3</v>
      </c>
      <c r="AJ101" s="1">
        <v>8.6400000000000001E-3</v>
      </c>
      <c r="AK101" s="1">
        <v>8.6400000000000001E-3</v>
      </c>
      <c r="AL101" s="1">
        <v>8.6400000000000001E-3</v>
      </c>
      <c r="AM101" s="1">
        <v>8.6400000000000001E-3</v>
      </c>
      <c r="AO101" s="8" t="s">
        <v>64</v>
      </c>
      <c r="AP101" s="1">
        <v>8.6400000000000001E-3</v>
      </c>
      <c r="AQ101" s="1">
        <v>2.5919999999999999E-2</v>
      </c>
      <c r="AR101" s="1">
        <v>8.6400000000000005E-2</v>
      </c>
      <c r="AS101" s="1">
        <v>0.25919999999999999</v>
      </c>
      <c r="AT101" s="1">
        <v>0.86399999999999999</v>
      </c>
      <c r="AU101" s="1">
        <v>2.5920000000000001</v>
      </c>
      <c r="AV101" s="1">
        <v>8.64</v>
      </c>
      <c r="AW101" s="1">
        <v>25.92</v>
      </c>
      <c r="AX101" s="1">
        <v>86.4</v>
      </c>
      <c r="AZ101" s="9" t="s">
        <v>61</v>
      </c>
      <c r="BA101" s="10">
        <v>2.592E-8</v>
      </c>
      <c r="BB101" s="10">
        <v>2.592E-8</v>
      </c>
      <c r="BC101" s="10">
        <v>2.592E-8</v>
      </c>
      <c r="BD101" s="10">
        <v>2.592E-8</v>
      </c>
      <c r="BE101" s="10">
        <v>2.592E-8</v>
      </c>
      <c r="BF101" s="10">
        <v>2.592E-8</v>
      </c>
      <c r="BG101" s="10">
        <v>2.592E-8</v>
      </c>
      <c r="BH101" s="10">
        <v>2.592E-8</v>
      </c>
      <c r="BI101" s="10">
        <v>2.592E-8</v>
      </c>
    </row>
    <row r="102" spans="1:61" x14ac:dyDescent="0.45">
      <c r="A102" t="s">
        <v>694</v>
      </c>
      <c r="B102">
        <v>3600000</v>
      </c>
      <c r="C102" s="1">
        <v>5.3670187167978532E-4</v>
      </c>
      <c r="D102" s="1">
        <v>5.3670187167978527E-6</v>
      </c>
      <c r="E102" s="1">
        <v>5.3670187167978532E-4</v>
      </c>
      <c r="F102" s="1">
        <v>5.3670187167978527E-6</v>
      </c>
      <c r="G102" s="1">
        <v>5.3670187167978532E-4</v>
      </c>
      <c r="H102" s="2">
        <v>101</v>
      </c>
      <c r="I102">
        <v>36000</v>
      </c>
      <c r="U102">
        <v>2050</v>
      </c>
      <c r="V102">
        <v>36000</v>
      </c>
      <c r="W102" s="1">
        <v>4.7180228576033662E-4</v>
      </c>
      <c r="X102" s="1">
        <f t="shared" si="14"/>
        <v>4.7180228576033659E-6</v>
      </c>
      <c r="Y102" s="1">
        <f t="shared" si="15"/>
        <v>4.7180228576033662E-4</v>
      </c>
      <c r="Z102" s="1">
        <f t="shared" si="16"/>
        <v>4.7180228576033659E-6</v>
      </c>
      <c r="AA102" s="1">
        <f t="shared" si="17"/>
        <v>4.7180228576033662E-4</v>
      </c>
      <c r="AZ102" s="8" t="s">
        <v>62</v>
      </c>
      <c r="BA102" s="1">
        <v>8.6400000000000001E-3</v>
      </c>
      <c r="BB102" s="1">
        <v>2.5919999999999999E-2</v>
      </c>
      <c r="BC102" s="1">
        <v>8.6400000000000005E-2</v>
      </c>
      <c r="BD102" s="1">
        <v>0.25919999999999999</v>
      </c>
      <c r="BE102" s="1">
        <v>0.86399999999999999</v>
      </c>
      <c r="BF102" s="1">
        <v>2.5920000000000001</v>
      </c>
      <c r="BG102" s="1">
        <v>8.64</v>
      </c>
      <c r="BH102" s="1">
        <v>25.92</v>
      </c>
      <c r="BI102" s="1">
        <v>86.4</v>
      </c>
    </row>
    <row r="103" spans="1:61" x14ac:dyDescent="0.45">
      <c r="A103" t="s">
        <v>695</v>
      </c>
      <c r="B103">
        <v>3636000</v>
      </c>
      <c r="C103" s="1">
        <v>5.883177966047432E-4</v>
      </c>
      <c r="D103" s="1">
        <v>5.8831779660474319E-6</v>
      </c>
      <c r="E103" s="1">
        <v>5.883177966047432E-4</v>
      </c>
      <c r="F103" s="1">
        <v>5.8831779660474319E-6</v>
      </c>
      <c r="G103" s="1">
        <v>5.883177966047432E-4</v>
      </c>
      <c r="H103" s="2">
        <v>102</v>
      </c>
      <c r="I103">
        <v>36000</v>
      </c>
      <c r="U103">
        <v>2051</v>
      </c>
      <c r="V103">
        <v>36360</v>
      </c>
      <c r="W103" s="1">
        <v>6.1373542849109256E-4</v>
      </c>
      <c r="X103" s="1">
        <f t="shared" si="14"/>
        <v>6.137354284910926E-6</v>
      </c>
      <c r="Y103" s="1">
        <f t="shared" si="15"/>
        <v>6.1373542849109256E-4</v>
      </c>
      <c r="Z103" s="1">
        <f t="shared" si="16"/>
        <v>6.137354284910926E-6</v>
      </c>
      <c r="AA103" s="1">
        <f t="shared" si="17"/>
        <v>6.1373542849109256E-4</v>
      </c>
      <c r="AE103" t="s">
        <v>39</v>
      </c>
      <c r="AF103" t="s">
        <v>676</v>
      </c>
      <c r="AG103" t="s">
        <v>677</v>
      </c>
      <c r="AH103" t="s">
        <v>678</v>
      </c>
      <c r="AI103" t="s">
        <v>679</v>
      </c>
      <c r="AJ103" t="s">
        <v>680</v>
      </c>
      <c r="AK103" t="s">
        <v>681</v>
      </c>
      <c r="AL103" t="s">
        <v>682</v>
      </c>
      <c r="AM103" t="s">
        <v>683</v>
      </c>
      <c r="AO103" t="s">
        <v>39</v>
      </c>
      <c r="AP103" t="s">
        <v>676</v>
      </c>
      <c r="AQ103" t="s">
        <v>677</v>
      </c>
      <c r="AR103" t="s">
        <v>678</v>
      </c>
      <c r="AT103" t="s">
        <v>679</v>
      </c>
      <c r="AV103" t="s">
        <v>680</v>
      </c>
      <c r="AW103" t="s">
        <v>681</v>
      </c>
      <c r="AX103" t="s">
        <v>682</v>
      </c>
      <c r="AZ103" s="9" t="s">
        <v>63</v>
      </c>
      <c r="BA103" s="10">
        <v>2.592E-8</v>
      </c>
      <c r="BB103" s="10">
        <v>2.592E-8</v>
      </c>
      <c r="BC103" s="10">
        <v>2.592E-8</v>
      </c>
      <c r="BD103" s="10">
        <v>2.592E-8</v>
      </c>
      <c r="BE103" s="10">
        <v>2.592E-8</v>
      </c>
      <c r="BF103" s="10">
        <v>2.592E-8</v>
      </c>
      <c r="BG103" s="10">
        <v>2.592E-8</v>
      </c>
      <c r="BH103" s="10">
        <v>2.592E-8</v>
      </c>
      <c r="BI103" s="10">
        <v>2.592E-8</v>
      </c>
    </row>
    <row r="104" spans="1:61" x14ac:dyDescent="0.45">
      <c r="A104" t="s">
        <v>696</v>
      </c>
      <c r="B104">
        <v>3672000</v>
      </c>
      <c r="C104" s="1">
        <v>5.5475802515992355E-4</v>
      </c>
      <c r="D104" s="1">
        <v>5.5475802515992357E-6</v>
      </c>
      <c r="E104" s="1">
        <v>5.5475802515992355E-4</v>
      </c>
      <c r="F104" s="1">
        <v>5.5475802515992357E-6</v>
      </c>
      <c r="G104" s="1">
        <v>5.5475802515992355E-4</v>
      </c>
      <c r="H104" s="2">
        <v>103</v>
      </c>
      <c r="I104">
        <v>36000</v>
      </c>
      <c r="U104">
        <v>2052</v>
      </c>
      <c r="V104">
        <v>36720</v>
      </c>
      <c r="W104" s="1">
        <v>6.4311012308476624E-4</v>
      </c>
      <c r="X104" s="1">
        <f t="shared" si="14"/>
        <v>6.431101230847662E-6</v>
      </c>
      <c r="Y104" s="1">
        <f t="shared" si="15"/>
        <v>6.4311012308476624E-4</v>
      </c>
      <c r="Z104" s="1">
        <f t="shared" si="16"/>
        <v>6.431101230847662E-6</v>
      </c>
      <c r="AA104" s="1">
        <f t="shared" si="17"/>
        <v>6.4311012308476624E-4</v>
      </c>
      <c r="AE104" s="8" t="s">
        <v>46</v>
      </c>
      <c r="AF104" s="1">
        <v>4.3200000000000002E-2</v>
      </c>
      <c r="AG104" s="1">
        <v>4.3200000000000002E-2</v>
      </c>
      <c r="AH104" s="1">
        <v>4.3200000000000002E-2</v>
      </c>
      <c r="AI104" s="1">
        <v>4.3200000000000002E-2</v>
      </c>
      <c r="AJ104" s="1">
        <v>4.3200000000000002E-2</v>
      </c>
      <c r="AK104" s="1">
        <v>4.3200000000000002E-2</v>
      </c>
      <c r="AL104" s="1">
        <v>4.3200000000000002E-2</v>
      </c>
      <c r="AM104" s="1">
        <v>4.3200000000000002E-2</v>
      </c>
      <c r="AO104" s="8" t="s">
        <v>46</v>
      </c>
      <c r="AP104" s="1">
        <v>8.6400000000000001E-3</v>
      </c>
      <c r="AQ104" s="1">
        <v>2.5919999999999999E-2</v>
      </c>
      <c r="AR104" s="1">
        <v>8.6400000000000005E-2</v>
      </c>
      <c r="AS104" s="1">
        <v>0.25919999999999999</v>
      </c>
      <c r="AT104" s="1">
        <v>0.86399999999999999</v>
      </c>
      <c r="AU104" s="1">
        <v>2.5920000000000001</v>
      </c>
      <c r="AV104" s="1">
        <v>8.64</v>
      </c>
      <c r="AW104" s="1">
        <v>25.92</v>
      </c>
      <c r="AX104" s="1">
        <v>86.4</v>
      </c>
      <c r="AZ104" s="8" t="s">
        <v>64</v>
      </c>
      <c r="BA104" s="1">
        <v>8.6400000000000001E-3</v>
      </c>
      <c r="BB104" s="1">
        <v>2.5919999999999999E-2</v>
      </c>
      <c r="BC104" s="1">
        <v>8.6400000000000005E-2</v>
      </c>
      <c r="BD104" s="1">
        <v>0.25919999999999999</v>
      </c>
      <c r="BE104" s="1">
        <v>0.86399999999999999</v>
      </c>
      <c r="BF104" s="1">
        <v>2.5920000000000001</v>
      </c>
      <c r="BG104" s="1">
        <v>8.64</v>
      </c>
      <c r="BH104" s="1">
        <v>25.92</v>
      </c>
      <c r="BI104" s="1">
        <v>86.4</v>
      </c>
    </row>
    <row r="105" spans="1:61" x14ac:dyDescent="0.45">
      <c r="A105" t="s">
        <v>697</v>
      </c>
      <c r="B105">
        <v>3708000</v>
      </c>
      <c r="C105" s="1">
        <v>5.7647141815808092E-4</v>
      </c>
      <c r="D105" s="1">
        <v>5.7647141815808094E-6</v>
      </c>
      <c r="E105" s="1">
        <v>5.7647141815808092E-4</v>
      </c>
      <c r="F105" s="1">
        <v>5.7647141815808094E-6</v>
      </c>
      <c r="G105" s="1">
        <v>5.7647141815808092E-4</v>
      </c>
      <c r="H105" s="2">
        <v>104</v>
      </c>
      <c r="I105">
        <v>36000</v>
      </c>
      <c r="U105">
        <v>2053</v>
      </c>
      <c r="V105">
        <v>37080</v>
      </c>
      <c r="W105" s="1">
        <v>6.2770310871303756E-4</v>
      </c>
      <c r="X105" s="1">
        <f t="shared" si="14"/>
        <v>6.2770310871303753E-6</v>
      </c>
      <c r="Y105" s="1">
        <f t="shared" si="15"/>
        <v>6.2770310871303756E-4</v>
      </c>
      <c r="Z105" s="1">
        <f t="shared" si="16"/>
        <v>6.2770310871303753E-6</v>
      </c>
      <c r="AA105" s="1">
        <f t="shared" si="17"/>
        <v>6.2770310871303756E-4</v>
      </c>
      <c r="AE105" s="9" t="s">
        <v>50</v>
      </c>
      <c r="AF105" s="10">
        <v>8.6399999999999999E-9</v>
      </c>
      <c r="AG105" s="10">
        <v>8.6400000000000006E-8</v>
      </c>
      <c r="AH105" s="10">
        <v>8.6400000000000001E-7</v>
      </c>
      <c r="AI105" s="10">
        <v>8.6400000000000003E-6</v>
      </c>
      <c r="AJ105" s="10">
        <v>8.6399999999999999E-5</v>
      </c>
      <c r="AK105" s="10">
        <v>8.6399999999999997E-4</v>
      </c>
      <c r="AL105" s="10">
        <v>8.6400000000000001E-3</v>
      </c>
      <c r="AM105" s="10">
        <v>8.6400000000000005E-2</v>
      </c>
      <c r="AO105" s="9" t="s">
        <v>50</v>
      </c>
      <c r="AP105" s="10">
        <v>8.6400000000000006E-8</v>
      </c>
      <c r="AQ105" s="10">
        <v>8.6400000000000006E-8</v>
      </c>
      <c r="AR105" s="10">
        <v>8.6400000000000006E-8</v>
      </c>
      <c r="AS105" s="10">
        <v>8.6400000000000006E-8</v>
      </c>
      <c r="AT105" s="10">
        <v>8.6400000000000006E-8</v>
      </c>
      <c r="AU105" s="10">
        <v>8.6400000000000006E-8</v>
      </c>
      <c r="AV105" s="10">
        <v>8.6400000000000006E-8</v>
      </c>
      <c r="AW105" s="10">
        <v>8.6400000000000006E-8</v>
      </c>
      <c r="AX105" s="10">
        <v>8.6400000000000006E-8</v>
      </c>
    </row>
    <row r="106" spans="1:61" x14ac:dyDescent="0.45">
      <c r="A106" t="s">
        <v>698</v>
      </c>
      <c r="B106">
        <v>3744000</v>
      </c>
      <c r="C106" s="1">
        <v>5.3949443250051376E-4</v>
      </c>
      <c r="D106" s="1">
        <v>5.3949443250051376E-6</v>
      </c>
      <c r="E106" s="1">
        <v>5.3949443250051376E-4</v>
      </c>
      <c r="F106" s="1">
        <v>5.3949443250051376E-6</v>
      </c>
      <c r="G106" s="1">
        <v>5.3949443250051376E-4</v>
      </c>
      <c r="H106" s="2">
        <v>105</v>
      </c>
      <c r="I106">
        <v>36000</v>
      </c>
      <c r="U106">
        <v>2054</v>
      </c>
      <c r="V106">
        <v>37440</v>
      </c>
      <c r="W106" s="1">
        <v>5.7559569640524308E-4</v>
      </c>
      <c r="X106" s="1">
        <f t="shared" si="14"/>
        <v>5.7559569640524311E-6</v>
      </c>
      <c r="Y106" s="1">
        <f t="shared" si="15"/>
        <v>5.7559569640524308E-4</v>
      </c>
      <c r="Z106" s="1">
        <f t="shared" si="16"/>
        <v>5.7559569640524311E-6</v>
      </c>
      <c r="AA106" s="1">
        <f t="shared" si="17"/>
        <v>5.7559569640524308E-4</v>
      </c>
      <c r="AE106" s="8" t="s">
        <v>52</v>
      </c>
      <c r="AF106" s="1">
        <v>4.3200000000000002E-2</v>
      </c>
      <c r="AG106" s="1">
        <v>4.3200000000000002E-2</v>
      </c>
      <c r="AH106" s="1">
        <v>4.3200000000000002E-2</v>
      </c>
      <c r="AI106" s="1">
        <v>4.3200000000000002E-2</v>
      </c>
      <c r="AJ106" s="1">
        <v>4.3200000000000002E-2</v>
      </c>
      <c r="AK106" s="1">
        <v>4.3200000000000002E-2</v>
      </c>
      <c r="AL106" s="1">
        <v>4.3200000000000002E-2</v>
      </c>
      <c r="AM106" s="1">
        <v>4.3200000000000002E-2</v>
      </c>
      <c r="AO106" s="8" t="s">
        <v>52</v>
      </c>
      <c r="AP106" s="1">
        <v>8.6400000000000001E-3</v>
      </c>
      <c r="AQ106" s="1">
        <v>2.5919999999999999E-2</v>
      </c>
      <c r="AR106" s="1">
        <v>8.6400000000000005E-2</v>
      </c>
      <c r="AS106" s="1">
        <v>0.25919999999999999</v>
      </c>
      <c r="AT106" s="1">
        <v>0.86399999999999999</v>
      </c>
      <c r="AU106" s="1">
        <v>2.5920000000000001</v>
      </c>
      <c r="AV106" s="1">
        <v>8.64</v>
      </c>
      <c r="AW106" s="1">
        <v>25.92</v>
      </c>
      <c r="AX106" s="1">
        <v>86.4</v>
      </c>
      <c r="BA106" s="1"/>
    </row>
    <row r="107" spans="1:61" x14ac:dyDescent="0.45">
      <c r="A107" t="s">
        <v>699</v>
      </c>
      <c r="B107">
        <v>3780000</v>
      </c>
      <c r="C107" s="1">
        <v>5.8179711680716203E-4</v>
      </c>
      <c r="D107" s="1">
        <v>5.8179711680716197E-6</v>
      </c>
      <c r="E107" s="1">
        <v>5.8179711680716203E-4</v>
      </c>
      <c r="F107" s="1">
        <v>5.8179711680716197E-6</v>
      </c>
      <c r="G107" s="1">
        <v>5.8179711680716203E-4</v>
      </c>
      <c r="H107" s="2">
        <v>106</v>
      </c>
      <c r="I107">
        <v>36000</v>
      </c>
      <c r="U107">
        <v>2055</v>
      </c>
      <c r="V107">
        <v>37800</v>
      </c>
      <c r="W107" s="1">
        <v>5.3332641124062639E-4</v>
      </c>
      <c r="X107" s="1">
        <f t="shared" si="14"/>
        <v>5.3332641124062638E-6</v>
      </c>
      <c r="Y107" s="1">
        <f t="shared" si="15"/>
        <v>5.3332641124062639E-4</v>
      </c>
      <c r="Z107" s="1">
        <f t="shared" si="16"/>
        <v>5.3332641124062638E-6</v>
      </c>
      <c r="AA107" s="1">
        <f t="shared" si="17"/>
        <v>5.3332641124062639E-4</v>
      </c>
      <c r="AE107" s="9" t="s">
        <v>54</v>
      </c>
      <c r="AF107" s="10">
        <v>8.6399999999999999E-9</v>
      </c>
      <c r="AG107" s="10">
        <v>8.6400000000000006E-8</v>
      </c>
      <c r="AH107" s="10">
        <v>8.6400000000000001E-7</v>
      </c>
      <c r="AI107" s="10">
        <v>8.6400000000000003E-6</v>
      </c>
      <c r="AJ107" s="10">
        <v>8.6399999999999999E-5</v>
      </c>
      <c r="AK107" s="10">
        <v>8.6399999999999997E-4</v>
      </c>
      <c r="AL107" s="10">
        <v>8.6400000000000001E-3</v>
      </c>
      <c r="AM107" s="10">
        <v>8.6400000000000005E-2</v>
      </c>
      <c r="AO107" s="9" t="s">
        <v>54</v>
      </c>
      <c r="AP107" s="10">
        <v>8.6400000000000006E-8</v>
      </c>
      <c r="AQ107" s="10">
        <v>8.6400000000000006E-8</v>
      </c>
      <c r="AR107" s="10">
        <v>8.6400000000000006E-8</v>
      </c>
      <c r="AS107" s="10">
        <v>8.6400000000000006E-8</v>
      </c>
      <c r="AT107" s="10">
        <v>8.6400000000000006E-8</v>
      </c>
      <c r="AU107" s="10">
        <v>8.6400000000000006E-8</v>
      </c>
      <c r="AV107" s="10">
        <v>8.6400000000000006E-8</v>
      </c>
      <c r="AW107" s="10">
        <v>8.6400000000000006E-8</v>
      </c>
      <c r="AX107" s="10">
        <v>8.6400000000000006E-8</v>
      </c>
      <c r="AZ107" t="s">
        <v>39</v>
      </c>
      <c r="BA107" t="s">
        <v>676</v>
      </c>
      <c r="BB107" t="s">
        <v>677</v>
      </c>
      <c r="BC107" t="s">
        <v>678</v>
      </c>
      <c r="BE107" t="s">
        <v>679</v>
      </c>
      <c r="BG107" t="s">
        <v>680</v>
      </c>
      <c r="BH107" t="s">
        <v>681</v>
      </c>
      <c r="BI107" t="s">
        <v>682</v>
      </c>
    </row>
    <row r="108" spans="1:61" x14ac:dyDescent="0.45">
      <c r="A108" t="s">
        <v>700</v>
      </c>
      <c r="B108">
        <v>3816000</v>
      </c>
      <c r="C108" s="1">
        <v>5.2782982705747085E-4</v>
      </c>
      <c r="D108" s="1">
        <v>5.2782982705747083E-6</v>
      </c>
      <c r="E108" s="1">
        <v>5.2782982705747085E-4</v>
      </c>
      <c r="F108" s="1">
        <v>5.2782982705747083E-6</v>
      </c>
      <c r="G108" s="1">
        <v>5.2782982705747085E-4</v>
      </c>
      <c r="H108" s="2">
        <v>107</v>
      </c>
      <c r="I108">
        <v>36000</v>
      </c>
      <c r="U108">
        <v>2056</v>
      </c>
      <c r="V108">
        <v>38160</v>
      </c>
      <c r="W108" s="1">
        <v>8.2728508003655082E-4</v>
      </c>
      <c r="X108" s="1">
        <f t="shared" si="14"/>
        <v>8.2728508003655077E-6</v>
      </c>
      <c r="Y108" s="1">
        <f t="shared" si="15"/>
        <v>8.2728508003655082E-4</v>
      </c>
      <c r="Z108" s="1">
        <f t="shared" si="16"/>
        <v>8.2728508003655077E-6</v>
      </c>
      <c r="AA108" s="1">
        <f t="shared" si="17"/>
        <v>8.2728508003655082E-4</v>
      </c>
      <c r="AE108" s="8" t="s">
        <v>56</v>
      </c>
      <c r="AF108" s="1">
        <v>4.3200000000000002E-2</v>
      </c>
      <c r="AG108" s="1">
        <v>4.3200000000000002E-2</v>
      </c>
      <c r="AH108" s="1">
        <v>4.3200000000000002E-2</v>
      </c>
      <c r="AI108" s="1">
        <v>4.3200000000000002E-2</v>
      </c>
      <c r="AJ108" s="1">
        <v>4.3200000000000002E-2</v>
      </c>
      <c r="AK108" s="1">
        <v>4.3200000000000002E-2</v>
      </c>
      <c r="AL108" s="1">
        <v>4.3200000000000002E-2</v>
      </c>
      <c r="AM108" s="1">
        <v>4.3200000000000002E-2</v>
      </c>
      <c r="AO108" s="8" t="s">
        <v>56</v>
      </c>
      <c r="AP108" s="1">
        <v>8.6400000000000001E-3</v>
      </c>
      <c r="AQ108" s="1">
        <v>2.5919999999999999E-2</v>
      </c>
      <c r="AR108" s="1">
        <v>8.6400000000000005E-2</v>
      </c>
      <c r="AS108" s="1">
        <v>0.25919999999999999</v>
      </c>
      <c r="AT108" s="1">
        <v>0.86399999999999999</v>
      </c>
      <c r="AU108" s="1">
        <v>2.5920000000000001</v>
      </c>
      <c r="AV108" s="1">
        <v>8.64</v>
      </c>
      <c r="AW108" s="1">
        <v>25.92</v>
      </c>
      <c r="AX108" s="1">
        <v>86.4</v>
      </c>
      <c r="AZ108" s="8" t="s">
        <v>46</v>
      </c>
      <c r="BA108" s="1">
        <v>8.6400000000000001E-3</v>
      </c>
      <c r="BB108" s="1">
        <v>2.5919999999999999E-2</v>
      </c>
      <c r="BC108" s="1">
        <v>8.6400000000000005E-2</v>
      </c>
      <c r="BD108" s="1">
        <v>0.25919999999999999</v>
      </c>
      <c r="BE108" s="1">
        <v>0.86399999999999999</v>
      </c>
      <c r="BF108" s="1">
        <v>2.5920000000000001</v>
      </c>
      <c r="BG108" s="1">
        <v>8.64</v>
      </c>
      <c r="BH108" s="1">
        <v>25.92</v>
      </c>
      <c r="BI108" s="1">
        <v>86.4</v>
      </c>
    </row>
    <row r="109" spans="1:61" x14ac:dyDescent="0.45">
      <c r="A109" t="s">
        <v>701</v>
      </c>
      <c r="B109">
        <v>3852000</v>
      </c>
      <c r="C109" s="1">
        <v>5.8810752127706593E-4</v>
      </c>
      <c r="D109" s="1">
        <v>5.8810752127706591E-6</v>
      </c>
      <c r="E109" s="1">
        <v>5.8810752127706593E-4</v>
      </c>
      <c r="F109" s="1">
        <v>5.8810752127706591E-6</v>
      </c>
      <c r="G109" s="1">
        <v>5.8810752127706593E-4</v>
      </c>
      <c r="H109" s="2">
        <v>108</v>
      </c>
      <c r="I109">
        <v>36000</v>
      </c>
      <c r="U109">
        <v>2057</v>
      </c>
      <c r="V109">
        <v>38520</v>
      </c>
      <c r="W109" s="1">
        <v>9.7268368705790624E-4</v>
      </c>
      <c r="X109" s="1">
        <f t="shared" si="14"/>
        <v>9.7268368705790621E-6</v>
      </c>
      <c r="Y109" s="1">
        <f t="shared" si="15"/>
        <v>9.7268368705790624E-4</v>
      </c>
      <c r="Z109" s="1">
        <f t="shared" si="16"/>
        <v>9.7268368705790621E-6</v>
      </c>
      <c r="AA109" s="1">
        <f t="shared" si="17"/>
        <v>9.7268368705790624E-4</v>
      </c>
      <c r="AE109" s="8" t="s">
        <v>60</v>
      </c>
      <c r="AF109" s="1">
        <v>4.3200000000000002E-2</v>
      </c>
      <c r="AG109" s="1">
        <v>4.3200000000000002E-2</v>
      </c>
      <c r="AH109" s="1">
        <v>4.3200000000000002E-2</v>
      </c>
      <c r="AI109" s="1">
        <v>4.3200000000000002E-2</v>
      </c>
      <c r="AJ109" s="1">
        <v>4.3200000000000002E-2</v>
      </c>
      <c r="AK109" s="1">
        <v>4.3200000000000002E-2</v>
      </c>
      <c r="AL109" s="1">
        <v>4.3200000000000002E-2</v>
      </c>
      <c r="AM109" s="1">
        <v>4.3200000000000002E-2</v>
      </c>
      <c r="AO109" s="8" t="s">
        <v>60</v>
      </c>
      <c r="AP109" s="1">
        <v>8.6400000000000001E-3</v>
      </c>
      <c r="AQ109" s="1">
        <v>2.5919999999999999E-2</v>
      </c>
      <c r="AR109" s="1">
        <v>8.6400000000000005E-2</v>
      </c>
      <c r="AS109" s="1">
        <v>0.25919999999999999</v>
      </c>
      <c r="AT109" s="1">
        <v>0.86399999999999999</v>
      </c>
      <c r="AU109" s="1">
        <v>2.5920000000000001</v>
      </c>
      <c r="AV109" s="1">
        <v>8.64</v>
      </c>
      <c r="AW109" s="1">
        <v>25.92</v>
      </c>
      <c r="AX109" s="1">
        <v>86.4</v>
      </c>
      <c r="AZ109" s="9" t="s">
        <v>50</v>
      </c>
      <c r="BA109" s="10">
        <v>2.5919999999999999E-7</v>
      </c>
      <c r="BB109" s="10">
        <v>2.5919999999999999E-7</v>
      </c>
      <c r="BC109" s="10">
        <v>2.5919999999999999E-7</v>
      </c>
      <c r="BD109" s="10">
        <v>2.5919999999999999E-7</v>
      </c>
      <c r="BE109" s="10">
        <v>2.5919999999999999E-7</v>
      </c>
      <c r="BF109" s="10">
        <v>2.5919999999999999E-7</v>
      </c>
      <c r="BG109" s="10">
        <v>2.5919999999999999E-7</v>
      </c>
      <c r="BH109" s="10">
        <v>2.5919999999999999E-7</v>
      </c>
      <c r="BI109" s="10">
        <v>2.5919999999999999E-7</v>
      </c>
    </row>
    <row r="110" spans="1:61" x14ac:dyDescent="0.45">
      <c r="A110" t="s">
        <v>702</v>
      </c>
      <c r="B110">
        <v>3888000</v>
      </c>
      <c r="C110" s="1">
        <v>5.7619456389827349E-4</v>
      </c>
      <c r="D110" s="1">
        <v>5.7619456389827348E-6</v>
      </c>
      <c r="E110" s="1">
        <v>5.7619456389827349E-4</v>
      </c>
      <c r="F110" s="1">
        <v>5.7619456389827348E-6</v>
      </c>
      <c r="G110" s="1">
        <v>5.7619456389827349E-4</v>
      </c>
      <c r="H110" s="2">
        <v>109</v>
      </c>
      <c r="I110">
        <v>36000</v>
      </c>
      <c r="U110">
        <v>2058</v>
      </c>
      <c r="V110">
        <v>38880</v>
      </c>
      <c r="W110" s="1">
        <v>4.8961483057842047E-4</v>
      </c>
      <c r="X110" s="1">
        <f t="shared" si="14"/>
        <v>4.8961483057842049E-6</v>
      </c>
      <c r="Y110" s="1">
        <f t="shared" si="15"/>
        <v>4.8961483057842047E-4</v>
      </c>
      <c r="Z110" s="1">
        <f t="shared" si="16"/>
        <v>4.8961483057842049E-6</v>
      </c>
      <c r="AA110" s="1">
        <f t="shared" si="17"/>
        <v>4.8961483057842047E-4</v>
      </c>
      <c r="AE110" s="9" t="s">
        <v>61</v>
      </c>
      <c r="AF110" s="10">
        <v>8.6399999999999999E-9</v>
      </c>
      <c r="AG110" s="10">
        <v>8.6400000000000006E-8</v>
      </c>
      <c r="AH110" s="10">
        <v>8.6400000000000001E-7</v>
      </c>
      <c r="AI110" s="10">
        <v>8.6400000000000003E-6</v>
      </c>
      <c r="AJ110" s="10">
        <v>8.6399999999999999E-5</v>
      </c>
      <c r="AK110" s="10">
        <v>8.6399999999999997E-4</v>
      </c>
      <c r="AL110" s="10">
        <v>8.6400000000000001E-3</v>
      </c>
      <c r="AM110" s="10">
        <v>8.6400000000000005E-2</v>
      </c>
      <c r="AO110" s="9" t="s">
        <v>61</v>
      </c>
      <c r="AP110" s="10">
        <v>8.6400000000000006E-8</v>
      </c>
      <c r="AQ110" s="10">
        <v>8.6400000000000006E-8</v>
      </c>
      <c r="AR110" s="10">
        <v>8.6400000000000006E-8</v>
      </c>
      <c r="AS110" s="10">
        <v>8.6400000000000006E-8</v>
      </c>
      <c r="AT110" s="10">
        <v>8.6400000000000006E-8</v>
      </c>
      <c r="AU110" s="10">
        <v>8.6400000000000006E-8</v>
      </c>
      <c r="AV110" s="10">
        <v>8.6400000000000006E-8</v>
      </c>
      <c r="AW110" s="10">
        <v>8.6400000000000006E-8</v>
      </c>
      <c r="AX110" s="10">
        <v>8.6400000000000006E-8</v>
      </c>
      <c r="AZ110" s="8" t="s">
        <v>52</v>
      </c>
      <c r="BA110" s="1">
        <v>8.6400000000000001E-3</v>
      </c>
      <c r="BB110" s="1">
        <v>2.5919999999999999E-2</v>
      </c>
      <c r="BC110" s="1">
        <v>8.6400000000000005E-2</v>
      </c>
      <c r="BD110" s="1">
        <v>0.25919999999999999</v>
      </c>
      <c r="BE110" s="1">
        <v>0.86399999999999999</v>
      </c>
      <c r="BF110" s="1">
        <v>2.5920000000000001</v>
      </c>
      <c r="BG110" s="1">
        <v>8.64</v>
      </c>
      <c r="BH110" s="1">
        <v>25.92</v>
      </c>
      <c r="BI110" s="1">
        <v>86.4</v>
      </c>
    </row>
    <row r="111" spans="1:61" x14ac:dyDescent="0.45">
      <c r="A111" t="s">
        <v>703</v>
      </c>
      <c r="B111">
        <v>3924000</v>
      </c>
      <c r="C111" s="1">
        <v>5.7766213460612177E-4</v>
      </c>
      <c r="D111" s="1">
        <v>5.7766213460612176E-6</v>
      </c>
      <c r="E111" s="1">
        <v>5.7766213460612177E-4</v>
      </c>
      <c r="F111" s="1">
        <v>5.7766213460612176E-6</v>
      </c>
      <c r="G111" s="1">
        <v>5.7766213460612177E-4</v>
      </c>
      <c r="H111" s="2">
        <v>110</v>
      </c>
      <c r="I111">
        <v>36000</v>
      </c>
      <c r="U111">
        <v>2059</v>
      </c>
      <c r="V111">
        <v>39240</v>
      </c>
      <c r="W111" s="1">
        <v>5.6725746685323385E-4</v>
      </c>
      <c r="X111" s="1">
        <f t="shared" si="14"/>
        <v>5.6725746685323387E-6</v>
      </c>
      <c r="Y111" s="1">
        <f t="shared" si="15"/>
        <v>5.6725746685323385E-4</v>
      </c>
      <c r="Z111" s="1">
        <f t="shared" si="16"/>
        <v>5.6725746685323387E-6</v>
      </c>
      <c r="AA111" s="1">
        <f t="shared" si="17"/>
        <v>5.6725746685323385E-4</v>
      </c>
      <c r="AE111" s="8" t="s">
        <v>62</v>
      </c>
      <c r="AF111" s="1">
        <v>4.3200000000000002E-2</v>
      </c>
      <c r="AG111" s="1">
        <v>4.3200000000000002E-2</v>
      </c>
      <c r="AH111" s="1">
        <v>4.3200000000000002E-2</v>
      </c>
      <c r="AI111" s="1">
        <v>4.3200000000000002E-2</v>
      </c>
      <c r="AJ111" s="1">
        <v>4.3200000000000002E-2</v>
      </c>
      <c r="AK111" s="1">
        <v>4.3200000000000002E-2</v>
      </c>
      <c r="AL111" s="1">
        <v>4.3200000000000002E-2</v>
      </c>
      <c r="AM111" s="1">
        <v>4.3200000000000002E-2</v>
      </c>
      <c r="AO111" s="8" t="s">
        <v>62</v>
      </c>
      <c r="AP111" s="1">
        <v>8.6400000000000001E-3</v>
      </c>
      <c r="AQ111" s="1">
        <v>2.5919999999999999E-2</v>
      </c>
      <c r="AR111" s="1">
        <v>8.6400000000000005E-2</v>
      </c>
      <c r="AS111" s="1">
        <v>0.25919999999999999</v>
      </c>
      <c r="AT111" s="1">
        <v>0.86399999999999999</v>
      </c>
      <c r="AU111" s="1">
        <v>2.5920000000000001</v>
      </c>
      <c r="AV111" s="1">
        <v>8.64</v>
      </c>
      <c r="AW111" s="1">
        <v>25.92</v>
      </c>
      <c r="AX111" s="1">
        <v>86.4</v>
      </c>
      <c r="AZ111" s="9" t="s">
        <v>54</v>
      </c>
      <c r="BA111" s="10">
        <v>2.5919999999999999E-7</v>
      </c>
      <c r="BB111" s="10">
        <v>2.5919999999999999E-7</v>
      </c>
      <c r="BC111" s="10">
        <v>2.5919999999999999E-7</v>
      </c>
      <c r="BD111" s="10">
        <v>2.5919999999999999E-7</v>
      </c>
      <c r="BE111" s="10">
        <v>2.5919999999999999E-7</v>
      </c>
      <c r="BF111" s="10">
        <v>2.5919999999999999E-7</v>
      </c>
      <c r="BG111" s="10">
        <v>2.5919999999999999E-7</v>
      </c>
      <c r="BH111" s="10">
        <v>2.5919999999999999E-7</v>
      </c>
      <c r="BI111" s="10">
        <v>2.5919999999999999E-7</v>
      </c>
    </row>
    <row r="112" spans="1:61" x14ac:dyDescent="0.45">
      <c r="A112" t="s">
        <v>704</v>
      </c>
      <c r="B112">
        <v>3960000</v>
      </c>
      <c r="C112" s="1">
        <v>5.1832781184576104E-4</v>
      </c>
      <c r="D112" s="1">
        <v>5.1832781184576108E-6</v>
      </c>
      <c r="E112" s="1">
        <v>5.1832781184576104E-4</v>
      </c>
      <c r="F112" s="1">
        <v>5.1832781184576108E-6</v>
      </c>
      <c r="G112" s="1">
        <v>5.1832781184576104E-4</v>
      </c>
      <c r="H112" s="2">
        <v>111</v>
      </c>
      <c r="I112">
        <v>36000</v>
      </c>
      <c r="U112">
        <v>2060</v>
      </c>
      <c r="V112">
        <v>39600</v>
      </c>
      <c r="W112" s="1">
        <v>5.7586134556664864E-4</v>
      </c>
      <c r="X112" s="1">
        <f t="shared" si="14"/>
        <v>5.7586134556664866E-6</v>
      </c>
      <c r="Y112" s="1">
        <f t="shared" si="15"/>
        <v>5.7586134556664864E-4</v>
      </c>
      <c r="Z112" s="1">
        <f t="shared" si="16"/>
        <v>5.7586134556664866E-6</v>
      </c>
      <c r="AA112" s="1">
        <f t="shared" si="17"/>
        <v>5.7586134556664864E-4</v>
      </c>
      <c r="AE112" s="9" t="s">
        <v>63</v>
      </c>
      <c r="AF112" s="10">
        <v>8.6399999999999999E-9</v>
      </c>
      <c r="AG112" s="10">
        <v>8.6400000000000006E-8</v>
      </c>
      <c r="AH112" s="10">
        <v>8.6400000000000001E-7</v>
      </c>
      <c r="AI112" s="10">
        <v>8.6400000000000003E-6</v>
      </c>
      <c r="AJ112" s="10">
        <v>8.6399999999999999E-5</v>
      </c>
      <c r="AK112" s="10">
        <v>8.6399999999999997E-4</v>
      </c>
      <c r="AL112" s="10">
        <v>8.6400000000000001E-3</v>
      </c>
      <c r="AM112" s="10">
        <v>8.6400000000000005E-2</v>
      </c>
      <c r="AO112" s="9" t="s">
        <v>63</v>
      </c>
      <c r="AP112" s="10">
        <v>8.6400000000000006E-8</v>
      </c>
      <c r="AQ112" s="10">
        <v>8.6400000000000006E-8</v>
      </c>
      <c r="AR112" s="10">
        <v>8.6400000000000006E-8</v>
      </c>
      <c r="AS112" s="10">
        <v>8.6400000000000006E-8</v>
      </c>
      <c r="AT112" s="10">
        <v>8.6400000000000006E-8</v>
      </c>
      <c r="AU112" s="10">
        <v>8.6400000000000006E-8</v>
      </c>
      <c r="AV112" s="10">
        <v>8.6400000000000006E-8</v>
      </c>
      <c r="AW112" s="10">
        <v>8.6400000000000006E-8</v>
      </c>
      <c r="AX112" s="10">
        <v>8.6400000000000006E-8</v>
      </c>
      <c r="AZ112" s="8" t="s">
        <v>56</v>
      </c>
      <c r="BA112" s="1">
        <v>8.6400000000000001E-3</v>
      </c>
      <c r="BB112" s="1">
        <v>2.5919999999999999E-2</v>
      </c>
      <c r="BC112" s="1">
        <v>8.6400000000000005E-2</v>
      </c>
      <c r="BD112" s="1">
        <v>0.25919999999999999</v>
      </c>
      <c r="BE112" s="1">
        <v>0.86399999999999999</v>
      </c>
      <c r="BF112" s="1">
        <v>2.5920000000000001</v>
      </c>
      <c r="BG112" s="1">
        <v>8.64</v>
      </c>
      <c r="BH112" s="1">
        <v>25.92</v>
      </c>
      <c r="BI112" s="1">
        <v>86.4</v>
      </c>
    </row>
    <row r="113" spans="1:61" x14ac:dyDescent="0.45">
      <c r="A113" t="s">
        <v>705</v>
      </c>
      <c r="B113">
        <v>3996000</v>
      </c>
      <c r="C113" s="1">
        <v>5.185090275899504E-4</v>
      </c>
      <c r="D113" s="1">
        <v>5.1850902758995042E-6</v>
      </c>
      <c r="E113" s="1">
        <v>5.185090275899504E-4</v>
      </c>
      <c r="F113" s="1">
        <v>5.1850902758995042E-6</v>
      </c>
      <c r="G113" s="1">
        <v>5.185090275899504E-4</v>
      </c>
      <c r="H113" s="2">
        <v>112</v>
      </c>
      <c r="I113">
        <v>36000</v>
      </c>
      <c r="U113">
        <v>2061</v>
      </c>
      <c r="V113">
        <v>39960</v>
      </c>
      <c r="W113" s="1">
        <v>6.64750588599489E-4</v>
      </c>
      <c r="X113" s="1">
        <f t="shared" si="14"/>
        <v>6.6475058859948897E-6</v>
      </c>
      <c r="Y113" s="1">
        <f t="shared" si="15"/>
        <v>6.64750588599489E-4</v>
      </c>
      <c r="Z113" s="1">
        <f t="shared" si="16"/>
        <v>6.6475058859948897E-6</v>
      </c>
      <c r="AA113" s="1">
        <f t="shared" si="17"/>
        <v>6.64750588599489E-4</v>
      </c>
      <c r="AE113" s="8" t="s">
        <v>64</v>
      </c>
      <c r="AF113" s="1">
        <v>4.3200000000000002E-2</v>
      </c>
      <c r="AG113" s="1">
        <v>4.3200000000000002E-2</v>
      </c>
      <c r="AH113" s="1">
        <v>4.3200000000000002E-2</v>
      </c>
      <c r="AI113" s="1">
        <v>4.3200000000000002E-2</v>
      </c>
      <c r="AJ113" s="1">
        <v>4.3200000000000002E-2</v>
      </c>
      <c r="AK113" s="1">
        <v>4.3200000000000002E-2</v>
      </c>
      <c r="AL113" s="1">
        <v>4.3200000000000002E-2</v>
      </c>
      <c r="AM113" s="1">
        <v>4.3200000000000002E-2</v>
      </c>
      <c r="AO113" s="8" t="s">
        <v>64</v>
      </c>
      <c r="AP113" s="1">
        <v>8.6400000000000001E-3</v>
      </c>
      <c r="AQ113" s="1">
        <v>2.5919999999999999E-2</v>
      </c>
      <c r="AR113" s="1">
        <v>8.6400000000000005E-2</v>
      </c>
      <c r="AS113" s="1">
        <v>0.25919999999999999</v>
      </c>
      <c r="AT113" s="1">
        <v>0.86399999999999999</v>
      </c>
      <c r="AU113" s="1">
        <v>2.5920000000000001</v>
      </c>
      <c r="AV113" s="1">
        <v>8.64</v>
      </c>
      <c r="AW113" s="1">
        <v>25.92</v>
      </c>
      <c r="AX113" s="1">
        <v>86.4</v>
      </c>
      <c r="AZ113" s="8" t="s">
        <v>60</v>
      </c>
      <c r="BA113" s="1">
        <v>8.6400000000000001E-3</v>
      </c>
      <c r="BB113" s="1">
        <v>2.5919999999999999E-2</v>
      </c>
      <c r="BC113" s="1">
        <v>8.6400000000000005E-2</v>
      </c>
      <c r="BD113" s="1">
        <v>0.25919999999999999</v>
      </c>
      <c r="BE113" s="1">
        <v>0.86399999999999999</v>
      </c>
      <c r="BF113" s="1">
        <v>2.5920000000000001</v>
      </c>
      <c r="BG113" s="1">
        <v>8.64</v>
      </c>
      <c r="BH113" s="1">
        <v>25.92</v>
      </c>
      <c r="BI113" s="1">
        <v>86.4</v>
      </c>
    </row>
    <row r="114" spans="1:61" x14ac:dyDescent="0.45">
      <c r="A114" t="s">
        <v>706</v>
      </c>
      <c r="B114">
        <v>4032000</v>
      </c>
      <c r="C114" s="1">
        <v>5.1162191445292557E-4</v>
      </c>
      <c r="D114" s="1">
        <v>5.1162191445292561E-6</v>
      </c>
      <c r="E114" s="1">
        <v>5.1162191445292557E-4</v>
      </c>
      <c r="F114" s="1">
        <v>5.1162191445292561E-6</v>
      </c>
      <c r="G114" s="1">
        <v>5.1162191445292557E-4</v>
      </c>
      <c r="H114" s="2">
        <v>113</v>
      </c>
      <c r="I114">
        <v>36000</v>
      </c>
      <c r="U114">
        <v>2062</v>
      </c>
      <c r="V114">
        <v>40320</v>
      </c>
      <c r="W114" s="1">
        <v>9.4712108096549959E-4</v>
      </c>
      <c r="X114" s="1">
        <f t="shared" si="14"/>
        <v>9.4712108096549951E-6</v>
      </c>
      <c r="Y114" s="1">
        <f t="shared" si="15"/>
        <v>9.4712108096549959E-4</v>
      </c>
      <c r="Z114" s="1">
        <f t="shared" si="16"/>
        <v>9.4712108096549951E-6</v>
      </c>
      <c r="AA114" s="1">
        <f t="shared" si="17"/>
        <v>9.4712108096549959E-4</v>
      </c>
      <c r="AZ114" s="9" t="s">
        <v>61</v>
      </c>
      <c r="BA114" s="10">
        <v>2.5919999999999999E-7</v>
      </c>
      <c r="BB114" s="10">
        <v>2.5919999999999999E-7</v>
      </c>
      <c r="BC114" s="10">
        <v>2.5919999999999999E-7</v>
      </c>
      <c r="BD114" s="10">
        <v>2.5919999999999999E-7</v>
      </c>
      <c r="BE114" s="10">
        <v>2.5919999999999999E-7</v>
      </c>
      <c r="BF114" s="10">
        <v>2.5919999999999999E-7</v>
      </c>
      <c r="BG114" s="10">
        <v>2.5919999999999999E-7</v>
      </c>
      <c r="BH114" s="10">
        <v>2.5919999999999999E-7</v>
      </c>
      <c r="BI114" s="10">
        <v>2.5919999999999999E-7</v>
      </c>
    </row>
    <row r="115" spans="1:61" x14ac:dyDescent="0.45">
      <c r="A115" t="s">
        <v>707</v>
      </c>
      <c r="B115">
        <v>4068000</v>
      </c>
      <c r="C115" s="1">
        <v>5.1229716135493884E-4</v>
      </c>
      <c r="D115" s="1">
        <v>5.1229716135493883E-6</v>
      </c>
      <c r="E115" s="1">
        <v>5.1229716135493884E-4</v>
      </c>
      <c r="F115" s="1">
        <v>5.1229716135493883E-6</v>
      </c>
      <c r="G115" s="1">
        <v>5.1229716135493884E-4</v>
      </c>
      <c r="H115" s="2">
        <v>114</v>
      </c>
      <c r="I115">
        <v>36000</v>
      </c>
      <c r="U115">
        <v>2063</v>
      </c>
      <c r="V115">
        <v>40680</v>
      </c>
      <c r="W115" s="1">
        <v>5.5438130895789643E-4</v>
      </c>
      <c r="X115" s="1">
        <f t="shared" si="14"/>
        <v>5.5438130895789645E-6</v>
      </c>
      <c r="Y115" s="1">
        <f t="shared" si="15"/>
        <v>5.5438130895789643E-4</v>
      </c>
      <c r="Z115" s="1">
        <f t="shared" si="16"/>
        <v>5.5438130895789645E-6</v>
      </c>
      <c r="AA115" s="1">
        <f t="shared" si="17"/>
        <v>5.5438130895789643E-4</v>
      </c>
      <c r="AE115" t="s">
        <v>39</v>
      </c>
      <c r="AF115" t="s">
        <v>676</v>
      </c>
      <c r="AG115" t="s">
        <v>677</v>
      </c>
      <c r="AH115" t="s">
        <v>678</v>
      </c>
      <c r="AI115" t="s">
        <v>679</v>
      </c>
      <c r="AJ115" t="s">
        <v>680</v>
      </c>
      <c r="AK115" t="s">
        <v>681</v>
      </c>
      <c r="AL115" t="s">
        <v>682</v>
      </c>
      <c r="AM115" t="s">
        <v>683</v>
      </c>
      <c r="AO115" t="s">
        <v>39</v>
      </c>
      <c r="AP115" t="s">
        <v>676</v>
      </c>
      <c r="AQ115" t="s">
        <v>677</v>
      </c>
      <c r="AR115" t="s">
        <v>678</v>
      </c>
      <c r="AT115" t="s">
        <v>679</v>
      </c>
      <c r="AV115" t="s">
        <v>680</v>
      </c>
      <c r="AW115" t="s">
        <v>681</v>
      </c>
      <c r="AX115" t="s">
        <v>682</v>
      </c>
      <c r="AZ115" s="8" t="s">
        <v>62</v>
      </c>
      <c r="BA115" s="1">
        <v>8.6400000000000001E-3</v>
      </c>
      <c r="BB115" s="1">
        <v>2.5919999999999999E-2</v>
      </c>
      <c r="BC115" s="1">
        <v>8.6400000000000005E-2</v>
      </c>
      <c r="BD115" s="1">
        <v>0.25919999999999999</v>
      </c>
      <c r="BE115" s="1">
        <v>0.86399999999999999</v>
      </c>
      <c r="BF115" s="1">
        <v>2.5920000000000001</v>
      </c>
      <c r="BG115" s="1">
        <v>8.64</v>
      </c>
      <c r="BH115" s="1">
        <v>25.92</v>
      </c>
      <c r="BI115" s="1">
        <v>86.4</v>
      </c>
    </row>
    <row r="116" spans="1:61" x14ac:dyDescent="0.45">
      <c r="A116" t="s">
        <v>708</v>
      </c>
      <c r="B116">
        <v>4104000</v>
      </c>
      <c r="C116" s="1">
        <v>5.1331647824950336E-4</v>
      </c>
      <c r="D116" s="1">
        <v>5.1331647824950329E-6</v>
      </c>
      <c r="E116" s="1">
        <v>5.1331647824950336E-4</v>
      </c>
      <c r="F116" s="1">
        <v>5.1331647824950329E-6</v>
      </c>
      <c r="G116" s="1">
        <v>5.1331647824950336E-4</v>
      </c>
      <c r="H116" s="2">
        <v>115</v>
      </c>
      <c r="I116">
        <v>36000</v>
      </c>
      <c r="U116">
        <v>2064</v>
      </c>
      <c r="V116">
        <v>41040</v>
      </c>
      <c r="W116" s="1">
        <v>9.0184342071178349E-4</v>
      </c>
      <c r="X116" s="1">
        <f t="shared" si="14"/>
        <v>9.0184342071178342E-6</v>
      </c>
      <c r="Y116" s="1">
        <f t="shared" si="15"/>
        <v>9.0184342071178349E-4</v>
      </c>
      <c r="Z116" s="1">
        <f t="shared" si="16"/>
        <v>9.0184342071178342E-6</v>
      </c>
      <c r="AA116" s="1">
        <f t="shared" si="17"/>
        <v>9.0184342071178349E-4</v>
      </c>
      <c r="AE116" s="8" t="s">
        <v>46</v>
      </c>
      <c r="AF116" s="1">
        <v>8.6400000000000005E-2</v>
      </c>
      <c r="AG116" s="1">
        <v>8.6400000000000005E-2</v>
      </c>
      <c r="AH116" s="1">
        <v>8.6400000000000005E-2</v>
      </c>
      <c r="AI116" s="1">
        <v>8.6400000000000005E-2</v>
      </c>
      <c r="AJ116" s="1">
        <v>8.6400000000000005E-2</v>
      </c>
      <c r="AK116" s="1">
        <v>8.6400000000000005E-2</v>
      </c>
      <c r="AL116" s="1">
        <v>8.6400000000000005E-2</v>
      </c>
      <c r="AM116" s="1">
        <v>8.6400000000000005E-2</v>
      </c>
      <c r="AO116" s="8" t="s">
        <v>46</v>
      </c>
      <c r="AP116" s="1">
        <v>8.6400000000000001E-3</v>
      </c>
      <c r="AQ116" s="1">
        <v>2.5919999999999999E-2</v>
      </c>
      <c r="AR116" s="1">
        <v>8.6400000000000005E-2</v>
      </c>
      <c r="AS116" s="1">
        <v>0.25919999999999999</v>
      </c>
      <c r="AT116" s="1">
        <v>0.86399999999999999</v>
      </c>
      <c r="AU116" s="1">
        <v>2.5920000000000001</v>
      </c>
      <c r="AV116" s="1">
        <v>8.64</v>
      </c>
      <c r="AW116" s="1">
        <v>25.92</v>
      </c>
      <c r="AX116" s="1">
        <v>86.4</v>
      </c>
      <c r="AZ116" s="9" t="s">
        <v>63</v>
      </c>
      <c r="BA116" s="10">
        <v>2.5919999999999999E-7</v>
      </c>
      <c r="BB116" s="10">
        <v>2.5919999999999999E-7</v>
      </c>
      <c r="BC116" s="10">
        <v>2.5919999999999999E-7</v>
      </c>
      <c r="BD116" s="10">
        <v>2.5919999999999999E-7</v>
      </c>
      <c r="BE116" s="10">
        <v>2.5919999999999999E-7</v>
      </c>
      <c r="BF116" s="10">
        <v>2.5919999999999999E-7</v>
      </c>
      <c r="BG116" s="10">
        <v>2.5919999999999999E-7</v>
      </c>
      <c r="BH116" s="10">
        <v>2.5919999999999999E-7</v>
      </c>
      <c r="BI116" s="10">
        <v>2.5919999999999999E-7</v>
      </c>
    </row>
    <row r="117" spans="1:61" x14ac:dyDescent="0.45">
      <c r="A117" t="s">
        <v>709</v>
      </c>
      <c r="B117">
        <v>4140000</v>
      </c>
      <c r="C117" s="1">
        <v>5.4647138967454283E-4</v>
      </c>
      <c r="D117" s="1">
        <v>5.4647138967454279E-6</v>
      </c>
      <c r="E117" s="1">
        <v>5.4647138967454283E-4</v>
      </c>
      <c r="F117" s="1">
        <v>5.4647138967454279E-6</v>
      </c>
      <c r="G117" s="1">
        <v>5.4647138967454283E-4</v>
      </c>
      <c r="H117" s="2">
        <v>116</v>
      </c>
      <c r="I117">
        <v>36000</v>
      </c>
      <c r="U117">
        <v>2065</v>
      </c>
      <c r="V117">
        <v>41400</v>
      </c>
      <c r="W117" s="1">
        <v>6.2612911789142764E-4</v>
      </c>
      <c r="X117" s="1">
        <f t="shared" si="14"/>
        <v>6.261291178914276E-6</v>
      </c>
      <c r="Y117" s="1">
        <f t="shared" si="15"/>
        <v>6.2612911789142764E-4</v>
      </c>
      <c r="Z117" s="1">
        <f t="shared" si="16"/>
        <v>6.261291178914276E-6</v>
      </c>
      <c r="AA117" s="1">
        <f t="shared" si="17"/>
        <v>6.2612911789142764E-4</v>
      </c>
      <c r="AE117" s="9" t="s">
        <v>50</v>
      </c>
      <c r="AF117" s="10">
        <v>8.6399999999999999E-9</v>
      </c>
      <c r="AG117" s="10">
        <v>8.6400000000000006E-8</v>
      </c>
      <c r="AH117" s="10">
        <v>8.6400000000000001E-7</v>
      </c>
      <c r="AI117" s="10">
        <v>8.6400000000000003E-6</v>
      </c>
      <c r="AJ117" s="10">
        <v>8.6399999999999999E-5</v>
      </c>
      <c r="AK117" s="10">
        <v>8.6399999999999997E-4</v>
      </c>
      <c r="AL117" s="10">
        <v>8.6400000000000001E-3</v>
      </c>
      <c r="AM117" s="10">
        <v>8.6400000000000005E-2</v>
      </c>
      <c r="AO117" s="9" t="s">
        <v>50</v>
      </c>
      <c r="AP117" s="10">
        <v>8.6400000000000001E-7</v>
      </c>
      <c r="AQ117" s="10">
        <v>8.6400000000000001E-7</v>
      </c>
      <c r="AR117" s="10">
        <v>8.6400000000000001E-7</v>
      </c>
      <c r="AS117" s="10">
        <v>8.6400000000000001E-7</v>
      </c>
      <c r="AT117" s="10">
        <v>8.6400000000000001E-7</v>
      </c>
      <c r="AU117" s="10">
        <v>8.6400000000000001E-7</v>
      </c>
      <c r="AV117" s="10">
        <v>8.6400000000000001E-7</v>
      </c>
      <c r="AW117" s="10">
        <v>8.6400000000000001E-7</v>
      </c>
      <c r="AX117" s="10">
        <v>8.6400000000000001E-7</v>
      </c>
      <c r="AZ117" s="8" t="s">
        <v>64</v>
      </c>
      <c r="BA117" s="1">
        <v>8.6400000000000001E-3</v>
      </c>
      <c r="BB117" s="1">
        <v>2.5919999999999999E-2</v>
      </c>
      <c r="BC117" s="1">
        <v>8.6400000000000005E-2</v>
      </c>
      <c r="BD117" s="1">
        <v>0.25919999999999999</v>
      </c>
      <c r="BE117" s="1">
        <v>0.86399999999999999</v>
      </c>
      <c r="BF117" s="1">
        <v>2.5920000000000001</v>
      </c>
      <c r="BG117" s="1">
        <v>8.64</v>
      </c>
      <c r="BH117" s="1">
        <v>25.92</v>
      </c>
      <c r="BI117" s="1">
        <v>86.4</v>
      </c>
    </row>
    <row r="118" spans="1:61" x14ac:dyDescent="0.45">
      <c r="A118" t="s">
        <v>710</v>
      </c>
      <c r="B118">
        <v>4176000</v>
      </c>
      <c r="C118" s="1">
        <v>5.1427431743507465E-4</v>
      </c>
      <c r="D118" s="1">
        <v>5.1427431743507462E-6</v>
      </c>
      <c r="E118" s="1">
        <v>5.1427431743507465E-4</v>
      </c>
      <c r="F118" s="1">
        <v>5.1427431743507462E-6</v>
      </c>
      <c r="G118" s="1">
        <v>5.1427431743507465E-4</v>
      </c>
      <c r="H118" s="2">
        <v>117</v>
      </c>
      <c r="I118">
        <v>36000</v>
      </c>
      <c r="U118">
        <v>2066</v>
      </c>
      <c r="V118">
        <v>41760</v>
      </c>
      <c r="W118" s="1">
        <v>7.5873173424928584E-4</v>
      </c>
      <c r="X118" s="1">
        <f t="shared" si="14"/>
        <v>7.5873173424928586E-6</v>
      </c>
      <c r="Y118" s="1">
        <f t="shared" si="15"/>
        <v>7.5873173424928584E-4</v>
      </c>
      <c r="Z118" s="1">
        <f t="shared" si="16"/>
        <v>7.5873173424928586E-6</v>
      </c>
      <c r="AA118" s="1">
        <f t="shared" si="17"/>
        <v>7.5873173424928584E-4</v>
      </c>
      <c r="AE118" s="8" t="s">
        <v>52</v>
      </c>
      <c r="AF118" s="1">
        <v>8.6400000000000005E-2</v>
      </c>
      <c r="AG118" s="1">
        <v>8.6400000000000005E-2</v>
      </c>
      <c r="AH118" s="1">
        <v>8.6400000000000005E-2</v>
      </c>
      <c r="AI118" s="1">
        <v>8.6400000000000005E-2</v>
      </c>
      <c r="AJ118" s="1">
        <v>8.6400000000000005E-2</v>
      </c>
      <c r="AK118" s="1">
        <v>8.6400000000000005E-2</v>
      </c>
      <c r="AL118" s="1">
        <v>8.6400000000000005E-2</v>
      </c>
      <c r="AM118" s="1">
        <v>8.6400000000000005E-2</v>
      </c>
      <c r="AO118" s="8" t="s">
        <v>52</v>
      </c>
      <c r="AP118" s="1">
        <v>8.6400000000000001E-3</v>
      </c>
      <c r="AQ118" s="1">
        <v>2.5919999999999999E-2</v>
      </c>
      <c r="AR118" s="1">
        <v>8.6400000000000005E-2</v>
      </c>
      <c r="AS118" s="1">
        <v>0.25919999999999999</v>
      </c>
      <c r="AT118" s="1">
        <v>0.86399999999999999</v>
      </c>
      <c r="AU118" s="1">
        <v>2.5920000000000001</v>
      </c>
      <c r="AV118" s="1">
        <v>8.64</v>
      </c>
      <c r="AW118" s="1">
        <v>25.92</v>
      </c>
      <c r="AX118" s="1">
        <v>86.4</v>
      </c>
    </row>
    <row r="119" spans="1:61" x14ac:dyDescent="0.45">
      <c r="A119" t="s">
        <v>711</v>
      </c>
      <c r="B119">
        <v>4212000</v>
      </c>
      <c r="C119" s="1">
        <v>5.2626642278988845E-4</v>
      </c>
      <c r="D119" s="1">
        <v>5.2626642278988836E-6</v>
      </c>
      <c r="E119" s="1">
        <v>5.2626642278988845E-4</v>
      </c>
      <c r="F119" s="1">
        <v>5.2626642278988836E-6</v>
      </c>
      <c r="G119" s="1">
        <v>5.2626642278988845E-4</v>
      </c>
      <c r="H119" s="2">
        <v>118</v>
      </c>
      <c r="I119">
        <v>36000</v>
      </c>
      <c r="U119">
        <v>2067</v>
      </c>
      <c r="V119">
        <v>42120</v>
      </c>
      <c r="W119" s="1">
        <v>6.1259290710490542E-4</v>
      </c>
      <c r="X119" s="1">
        <f t="shared" si="14"/>
        <v>6.1259290710490544E-6</v>
      </c>
      <c r="Y119" s="1">
        <f t="shared" si="15"/>
        <v>6.1259290710490542E-4</v>
      </c>
      <c r="Z119" s="1">
        <f t="shared" si="16"/>
        <v>6.1259290710490544E-6</v>
      </c>
      <c r="AA119" s="1">
        <f t="shared" si="17"/>
        <v>6.1259290710490542E-4</v>
      </c>
      <c r="AE119" s="9" t="s">
        <v>54</v>
      </c>
      <c r="AF119" s="10">
        <v>8.6399999999999999E-9</v>
      </c>
      <c r="AG119" s="10">
        <v>8.6400000000000006E-8</v>
      </c>
      <c r="AH119" s="10">
        <v>8.6400000000000001E-7</v>
      </c>
      <c r="AI119" s="10">
        <v>8.6400000000000003E-6</v>
      </c>
      <c r="AJ119" s="10">
        <v>8.6399999999999999E-5</v>
      </c>
      <c r="AK119" s="10">
        <v>8.6399999999999997E-4</v>
      </c>
      <c r="AL119" s="10">
        <v>8.6400000000000001E-3</v>
      </c>
      <c r="AM119" s="10">
        <v>8.6400000000000005E-2</v>
      </c>
      <c r="AO119" s="9" t="s">
        <v>54</v>
      </c>
      <c r="AP119" s="10">
        <v>8.6400000000000001E-7</v>
      </c>
      <c r="AQ119" s="10">
        <v>8.6400000000000001E-7</v>
      </c>
      <c r="AR119" s="10">
        <v>8.6400000000000001E-7</v>
      </c>
      <c r="AS119" s="10">
        <v>8.6400000000000001E-7</v>
      </c>
      <c r="AT119" s="10">
        <v>8.6400000000000001E-7</v>
      </c>
      <c r="AU119" s="10">
        <v>8.6400000000000001E-7</v>
      </c>
      <c r="AV119" s="10">
        <v>8.6400000000000001E-7</v>
      </c>
      <c r="AW119" s="10">
        <v>8.6400000000000001E-7</v>
      </c>
      <c r="AX119" s="10">
        <v>8.6400000000000001E-7</v>
      </c>
    </row>
    <row r="120" spans="1:61" x14ac:dyDescent="0.45">
      <c r="A120" t="s">
        <v>712</v>
      </c>
      <c r="B120">
        <v>4248000</v>
      </c>
      <c r="C120" s="1">
        <v>4.8977719542421506E-4</v>
      </c>
      <c r="D120" s="1">
        <v>4.8977719542421494E-6</v>
      </c>
      <c r="E120" s="1">
        <v>4.8977719542421506E-4</v>
      </c>
      <c r="F120" s="1">
        <v>4.8977719542421494E-6</v>
      </c>
      <c r="G120" s="1">
        <v>4.8977719542421506E-4</v>
      </c>
      <c r="H120" s="2">
        <v>119</v>
      </c>
      <c r="I120">
        <v>36000</v>
      </c>
      <c r="U120">
        <v>2068</v>
      </c>
      <c r="V120">
        <v>42480</v>
      </c>
      <c r="W120" s="1">
        <v>6.9084118394068103E-4</v>
      </c>
      <c r="X120" s="1">
        <f t="shared" si="14"/>
        <v>6.9084118394068105E-6</v>
      </c>
      <c r="Y120" s="1">
        <f t="shared" si="15"/>
        <v>6.9084118394068103E-4</v>
      </c>
      <c r="Z120" s="1">
        <f t="shared" si="16"/>
        <v>6.9084118394068105E-6</v>
      </c>
      <c r="AA120" s="1">
        <f t="shared" si="17"/>
        <v>6.9084118394068103E-4</v>
      </c>
      <c r="AE120" s="8" t="s">
        <v>56</v>
      </c>
      <c r="AF120" s="1">
        <v>8.6400000000000005E-2</v>
      </c>
      <c r="AG120" s="1">
        <v>8.6400000000000005E-2</v>
      </c>
      <c r="AH120" s="1">
        <v>8.6400000000000005E-2</v>
      </c>
      <c r="AI120" s="1">
        <v>8.6400000000000005E-2</v>
      </c>
      <c r="AJ120" s="1">
        <v>8.6400000000000005E-2</v>
      </c>
      <c r="AK120" s="1">
        <v>8.6400000000000005E-2</v>
      </c>
      <c r="AL120" s="1">
        <v>8.6400000000000005E-2</v>
      </c>
      <c r="AM120" s="1">
        <v>8.6400000000000005E-2</v>
      </c>
      <c r="AO120" s="8" t="s">
        <v>56</v>
      </c>
      <c r="AP120" s="1">
        <v>8.6400000000000001E-3</v>
      </c>
      <c r="AQ120" s="1">
        <v>2.5919999999999999E-2</v>
      </c>
      <c r="AR120" s="1">
        <v>8.6400000000000005E-2</v>
      </c>
      <c r="AS120" s="1">
        <v>0.25919999999999999</v>
      </c>
      <c r="AT120" s="1">
        <v>0.86399999999999999</v>
      </c>
      <c r="AU120" s="1">
        <v>2.5920000000000001</v>
      </c>
      <c r="AV120" s="1">
        <v>8.64</v>
      </c>
      <c r="AW120" s="1">
        <v>25.92</v>
      </c>
      <c r="AX120" s="1">
        <v>86.4</v>
      </c>
      <c r="AZ120" t="s">
        <v>39</v>
      </c>
      <c r="BA120" t="s">
        <v>676</v>
      </c>
      <c r="BB120" t="s">
        <v>677</v>
      </c>
      <c r="BC120" t="s">
        <v>678</v>
      </c>
      <c r="BE120" t="s">
        <v>679</v>
      </c>
      <c r="BG120" t="s">
        <v>680</v>
      </c>
      <c r="BH120" t="s">
        <v>681</v>
      </c>
      <c r="BI120" t="s">
        <v>682</v>
      </c>
    </row>
    <row r="121" spans="1:61" x14ac:dyDescent="0.45">
      <c r="A121" t="s">
        <v>713</v>
      </c>
      <c r="B121">
        <v>4284000</v>
      </c>
      <c r="C121" s="1">
        <v>5.2298202766352313E-4</v>
      </c>
      <c r="D121" s="1">
        <v>5.2298202766352313E-6</v>
      </c>
      <c r="E121" s="1">
        <v>5.2298202766352313E-4</v>
      </c>
      <c r="F121" s="1">
        <v>5.2298202766352313E-6</v>
      </c>
      <c r="G121" s="1">
        <v>5.2298202766352313E-4</v>
      </c>
      <c r="H121" s="2">
        <v>120</v>
      </c>
      <c r="I121">
        <v>36000</v>
      </c>
      <c r="U121">
        <v>2069</v>
      </c>
      <c r="V121">
        <v>42840</v>
      </c>
      <c r="W121" s="1">
        <v>6.6669851278469488E-4</v>
      </c>
      <c r="X121" s="1">
        <f t="shared" si="14"/>
        <v>6.6669851278469489E-6</v>
      </c>
      <c r="Y121" s="1">
        <f t="shared" si="15"/>
        <v>6.6669851278469488E-4</v>
      </c>
      <c r="Z121" s="1">
        <f t="shared" si="16"/>
        <v>6.6669851278469489E-6</v>
      </c>
      <c r="AA121" s="1">
        <f t="shared" si="17"/>
        <v>6.6669851278469488E-4</v>
      </c>
      <c r="AE121" s="8" t="s">
        <v>60</v>
      </c>
      <c r="AF121" s="1">
        <v>8.6400000000000005E-2</v>
      </c>
      <c r="AG121" s="1">
        <v>8.6400000000000005E-2</v>
      </c>
      <c r="AH121" s="1">
        <v>8.6400000000000005E-2</v>
      </c>
      <c r="AI121" s="1">
        <v>8.6400000000000005E-2</v>
      </c>
      <c r="AJ121" s="1">
        <v>8.6400000000000005E-2</v>
      </c>
      <c r="AK121" s="1">
        <v>8.6400000000000005E-2</v>
      </c>
      <c r="AL121" s="1">
        <v>8.6400000000000005E-2</v>
      </c>
      <c r="AM121" s="1">
        <v>8.6400000000000005E-2</v>
      </c>
      <c r="AO121" s="8" t="s">
        <v>60</v>
      </c>
      <c r="AP121" s="1">
        <v>8.6400000000000001E-3</v>
      </c>
      <c r="AQ121" s="1">
        <v>2.5919999999999999E-2</v>
      </c>
      <c r="AR121" s="1">
        <v>8.6400000000000005E-2</v>
      </c>
      <c r="AS121" s="1">
        <v>0.25919999999999999</v>
      </c>
      <c r="AT121" s="1">
        <v>0.86399999999999999</v>
      </c>
      <c r="AU121" s="1">
        <v>2.5920000000000001</v>
      </c>
      <c r="AV121" s="1">
        <v>8.64</v>
      </c>
      <c r="AW121" s="1">
        <v>25.92</v>
      </c>
      <c r="AX121" s="1">
        <v>86.4</v>
      </c>
      <c r="AZ121" s="8" t="s">
        <v>46</v>
      </c>
      <c r="BA121" s="1">
        <v>8.6400000000000001E-3</v>
      </c>
      <c r="BB121" s="1">
        <v>2.5919999999999999E-2</v>
      </c>
      <c r="BC121" s="1">
        <v>8.6400000000000005E-2</v>
      </c>
      <c r="BD121" s="1">
        <v>0.25919999999999999</v>
      </c>
      <c r="BE121" s="1">
        <v>0.86399999999999999</v>
      </c>
      <c r="BF121" s="1">
        <v>2.5920000000000001</v>
      </c>
      <c r="BG121" s="1">
        <v>8.64</v>
      </c>
      <c r="BH121" s="1">
        <v>25.92</v>
      </c>
      <c r="BI121" s="1">
        <v>86.4</v>
      </c>
    </row>
    <row r="122" spans="1:61" x14ac:dyDescent="0.45">
      <c r="A122" t="s">
        <v>714</v>
      </c>
      <c r="B122">
        <v>4320000</v>
      </c>
      <c r="C122" s="1">
        <v>5.2016294742985507E-4</v>
      </c>
      <c r="D122" s="1">
        <v>5.2016294742985506E-6</v>
      </c>
      <c r="E122" s="1">
        <v>5.2016294742985507E-4</v>
      </c>
      <c r="F122" s="1">
        <v>5.2016294742985506E-6</v>
      </c>
      <c r="G122" s="1">
        <v>5.2016294742985507E-4</v>
      </c>
      <c r="H122" s="2">
        <v>121</v>
      </c>
      <c r="I122">
        <v>36000</v>
      </c>
      <c r="U122">
        <v>2070</v>
      </c>
      <c r="V122">
        <v>43200</v>
      </c>
      <c r="W122" s="1">
        <v>8.2045218583240757E-4</v>
      </c>
      <c r="X122" s="1">
        <f t="shared" si="14"/>
        <v>8.2045218583240759E-6</v>
      </c>
      <c r="Y122" s="1">
        <f t="shared" si="15"/>
        <v>8.2045218583240757E-4</v>
      </c>
      <c r="Z122" s="1">
        <f t="shared" si="16"/>
        <v>8.2045218583240759E-6</v>
      </c>
      <c r="AA122" s="1">
        <f t="shared" si="17"/>
        <v>8.2045218583240757E-4</v>
      </c>
      <c r="AE122" s="9" t="s">
        <v>61</v>
      </c>
      <c r="AF122" s="10">
        <v>8.6399999999999999E-9</v>
      </c>
      <c r="AG122" s="10">
        <v>8.6400000000000006E-8</v>
      </c>
      <c r="AH122" s="10">
        <v>8.6400000000000001E-7</v>
      </c>
      <c r="AI122" s="10">
        <v>8.6400000000000003E-6</v>
      </c>
      <c r="AJ122" s="10">
        <v>8.6399999999999999E-5</v>
      </c>
      <c r="AK122" s="10">
        <v>8.6399999999999997E-4</v>
      </c>
      <c r="AL122" s="10">
        <v>8.6400000000000001E-3</v>
      </c>
      <c r="AM122" s="10">
        <v>8.6400000000000005E-2</v>
      </c>
      <c r="AO122" s="9" t="s">
        <v>61</v>
      </c>
      <c r="AP122" s="10">
        <v>8.6400000000000001E-7</v>
      </c>
      <c r="AQ122" s="10">
        <v>8.6400000000000001E-7</v>
      </c>
      <c r="AR122" s="10">
        <v>8.6400000000000001E-7</v>
      </c>
      <c r="AS122" s="10">
        <v>8.6400000000000001E-7</v>
      </c>
      <c r="AT122" s="10">
        <v>8.6400000000000001E-7</v>
      </c>
      <c r="AU122" s="10">
        <v>8.6400000000000001E-7</v>
      </c>
      <c r="AV122" s="10">
        <v>8.6400000000000001E-7</v>
      </c>
      <c r="AW122" s="10">
        <v>8.6400000000000001E-7</v>
      </c>
      <c r="AX122" s="10">
        <v>8.6400000000000001E-7</v>
      </c>
      <c r="AZ122" s="9" t="s">
        <v>50</v>
      </c>
      <c r="BA122" s="10">
        <v>2.5919999999999999E-6</v>
      </c>
      <c r="BB122" s="10">
        <v>2.5919999999999999E-6</v>
      </c>
      <c r="BC122" s="10">
        <v>2.5919999999999999E-6</v>
      </c>
      <c r="BD122" s="10">
        <v>2.5919999999999999E-6</v>
      </c>
      <c r="BE122" s="10">
        <v>2.5919999999999999E-6</v>
      </c>
      <c r="BF122" s="10">
        <v>2.5919999999999999E-6</v>
      </c>
      <c r="BG122" s="10">
        <v>2.5919999999999999E-6</v>
      </c>
      <c r="BH122" s="10">
        <v>2.5919999999999999E-6</v>
      </c>
      <c r="BI122" s="10">
        <v>2.5919999999999999E-6</v>
      </c>
    </row>
    <row r="123" spans="1:61" x14ac:dyDescent="0.45">
      <c r="A123" t="s">
        <v>715</v>
      </c>
      <c r="B123">
        <v>4356000</v>
      </c>
      <c r="C123" s="1">
        <v>5.5927988371079387E-4</v>
      </c>
      <c r="D123" s="1">
        <v>5.5927988371079391E-6</v>
      </c>
      <c r="E123" s="1">
        <v>5.5927988371079387E-4</v>
      </c>
      <c r="F123" s="1">
        <v>5.5927988371079391E-6</v>
      </c>
      <c r="G123" s="1">
        <v>5.5927988371079387E-4</v>
      </c>
      <c r="H123" s="2">
        <v>122</v>
      </c>
      <c r="I123">
        <v>36000</v>
      </c>
      <c r="U123">
        <v>2071</v>
      </c>
      <c r="V123">
        <v>43560</v>
      </c>
      <c r="W123" s="1">
        <v>5.2081387235738941E-4</v>
      </c>
      <c r="X123" s="1">
        <f t="shared" si="14"/>
        <v>5.2081387235738937E-6</v>
      </c>
      <c r="Y123" s="1">
        <f t="shared" si="15"/>
        <v>5.2081387235738941E-4</v>
      </c>
      <c r="Z123" s="1">
        <f t="shared" si="16"/>
        <v>5.2081387235738937E-6</v>
      </c>
      <c r="AA123" s="1">
        <f t="shared" si="17"/>
        <v>5.2081387235738941E-4</v>
      </c>
      <c r="AE123" s="8" t="s">
        <v>62</v>
      </c>
      <c r="AF123" s="1">
        <v>8.6400000000000005E-2</v>
      </c>
      <c r="AG123" s="1">
        <v>8.6400000000000005E-2</v>
      </c>
      <c r="AH123" s="1">
        <v>8.6400000000000005E-2</v>
      </c>
      <c r="AI123" s="1">
        <v>8.6400000000000005E-2</v>
      </c>
      <c r="AJ123" s="1">
        <v>8.6400000000000005E-2</v>
      </c>
      <c r="AK123" s="1">
        <v>8.6400000000000005E-2</v>
      </c>
      <c r="AL123" s="1">
        <v>8.6400000000000005E-2</v>
      </c>
      <c r="AM123" s="1">
        <v>8.6400000000000005E-2</v>
      </c>
      <c r="AO123" s="8" t="s">
        <v>62</v>
      </c>
      <c r="AP123" s="1">
        <v>8.6400000000000001E-3</v>
      </c>
      <c r="AQ123" s="1">
        <v>2.5919999999999999E-2</v>
      </c>
      <c r="AR123" s="1">
        <v>8.6400000000000005E-2</v>
      </c>
      <c r="AS123" s="1">
        <v>0.25919999999999999</v>
      </c>
      <c r="AT123" s="1">
        <v>0.86399999999999999</v>
      </c>
      <c r="AU123" s="1">
        <v>2.5920000000000001</v>
      </c>
      <c r="AV123" s="1">
        <v>8.64</v>
      </c>
      <c r="AW123" s="1">
        <v>25.92</v>
      </c>
      <c r="AX123" s="1">
        <v>86.4</v>
      </c>
      <c r="AZ123" s="8" t="s">
        <v>52</v>
      </c>
      <c r="BA123" s="1">
        <v>8.6400000000000001E-3</v>
      </c>
      <c r="BB123" s="1">
        <v>2.5919999999999999E-2</v>
      </c>
      <c r="BC123" s="1">
        <v>8.6400000000000005E-2</v>
      </c>
      <c r="BD123" s="1">
        <v>0.25919999999999999</v>
      </c>
      <c r="BE123" s="1">
        <v>0.86399999999999999</v>
      </c>
      <c r="BF123" s="1">
        <v>2.5920000000000001</v>
      </c>
      <c r="BG123" s="1">
        <v>8.64</v>
      </c>
      <c r="BH123" s="1">
        <v>25.92</v>
      </c>
      <c r="BI123" s="1">
        <v>86.4</v>
      </c>
    </row>
    <row r="124" spans="1:61" x14ac:dyDescent="0.45">
      <c r="A124" t="s">
        <v>716</v>
      </c>
      <c r="B124">
        <v>4392000</v>
      </c>
      <c r="C124" s="1">
        <v>5.6263244724874366E-4</v>
      </c>
      <c r="D124" s="1">
        <v>5.6263244724874358E-6</v>
      </c>
      <c r="E124" s="1">
        <v>5.6263244724874366E-4</v>
      </c>
      <c r="F124" s="1">
        <v>5.6263244724874358E-6</v>
      </c>
      <c r="G124" s="1">
        <v>5.6263244724874366E-4</v>
      </c>
      <c r="H124" s="2">
        <v>123</v>
      </c>
      <c r="I124">
        <v>36000</v>
      </c>
      <c r="U124">
        <v>2072</v>
      </c>
      <c r="V124">
        <v>43920</v>
      </c>
      <c r="W124" s="1">
        <v>5.7189465431413248E-4</v>
      </c>
      <c r="X124" s="1">
        <f t="shared" si="14"/>
        <v>5.7189465431413244E-6</v>
      </c>
      <c r="Y124" s="1">
        <f t="shared" si="15"/>
        <v>5.7189465431413248E-4</v>
      </c>
      <c r="Z124" s="1">
        <f t="shared" si="16"/>
        <v>5.7189465431413244E-6</v>
      </c>
      <c r="AA124" s="1">
        <f t="shared" si="17"/>
        <v>5.7189465431413248E-4</v>
      </c>
      <c r="AE124" s="9" t="s">
        <v>63</v>
      </c>
      <c r="AF124" s="10">
        <v>8.6399999999999999E-9</v>
      </c>
      <c r="AG124" s="10">
        <v>8.6400000000000006E-8</v>
      </c>
      <c r="AH124" s="10">
        <v>8.6400000000000001E-7</v>
      </c>
      <c r="AI124" s="10">
        <v>8.6400000000000003E-6</v>
      </c>
      <c r="AJ124" s="10">
        <v>8.6399999999999999E-5</v>
      </c>
      <c r="AK124" s="10">
        <v>8.6399999999999997E-4</v>
      </c>
      <c r="AL124" s="10">
        <v>8.6400000000000001E-3</v>
      </c>
      <c r="AM124" s="10">
        <v>8.6400000000000005E-2</v>
      </c>
      <c r="AO124" s="9" t="s">
        <v>63</v>
      </c>
      <c r="AP124" s="10">
        <v>8.6400000000000001E-7</v>
      </c>
      <c r="AQ124" s="10">
        <v>8.6400000000000001E-7</v>
      </c>
      <c r="AR124" s="10">
        <v>8.6400000000000001E-7</v>
      </c>
      <c r="AS124" s="10">
        <v>8.6400000000000001E-7</v>
      </c>
      <c r="AT124" s="10">
        <v>8.6400000000000001E-7</v>
      </c>
      <c r="AU124" s="10">
        <v>8.6400000000000001E-7</v>
      </c>
      <c r="AV124" s="10">
        <v>8.6400000000000001E-7</v>
      </c>
      <c r="AW124" s="10">
        <v>8.6400000000000001E-7</v>
      </c>
      <c r="AX124" s="10">
        <v>8.6400000000000001E-7</v>
      </c>
      <c r="AZ124" s="9" t="s">
        <v>54</v>
      </c>
      <c r="BA124" s="10">
        <v>2.5919999999999999E-6</v>
      </c>
      <c r="BB124" s="10">
        <v>2.5919999999999999E-6</v>
      </c>
      <c r="BC124" s="10">
        <v>2.5919999999999999E-6</v>
      </c>
      <c r="BD124" s="10">
        <v>2.5919999999999999E-6</v>
      </c>
      <c r="BE124" s="10">
        <v>2.5919999999999999E-6</v>
      </c>
      <c r="BF124" s="10">
        <v>2.5919999999999999E-6</v>
      </c>
      <c r="BG124" s="10">
        <v>2.5919999999999999E-6</v>
      </c>
      <c r="BH124" s="10">
        <v>2.5919999999999999E-6</v>
      </c>
      <c r="BI124" s="10">
        <v>2.5919999999999999E-6</v>
      </c>
    </row>
    <row r="125" spans="1:61" x14ac:dyDescent="0.45">
      <c r="A125" t="s">
        <v>717</v>
      </c>
      <c r="B125">
        <v>4428000</v>
      </c>
      <c r="C125" s="1">
        <v>5.5570147743848645E-4</v>
      </c>
      <c r="D125" s="1">
        <v>5.5570147743848646E-6</v>
      </c>
      <c r="E125" s="1">
        <v>5.5570147743848645E-4</v>
      </c>
      <c r="F125" s="1">
        <v>5.5570147743848646E-6</v>
      </c>
      <c r="G125" s="1">
        <v>5.5570147743848645E-4</v>
      </c>
      <c r="H125" s="2">
        <v>124</v>
      </c>
      <c r="I125">
        <v>36000</v>
      </c>
      <c r="U125">
        <v>2073</v>
      </c>
      <c r="V125">
        <v>44280</v>
      </c>
      <c r="W125" s="1">
        <v>9.1233097501937279E-4</v>
      </c>
      <c r="X125" s="1">
        <f t="shared" si="14"/>
        <v>9.1233097501937278E-6</v>
      </c>
      <c r="Y125" s="1">
        <f t="shared" si="15"/>
        <v>9.1233097501937279E-4</v>
      </c>
      <c r="Z125" s="1">
        <f t="shared" si="16"/>
        <v>9.1233097501937278E-6</v>
      </c>
      <c r="AA125" s="1">
        <f t="shared" si="17"/>
        <v>9.1233097501937279E-4</v>
      </c>
      <c r="AE125" s="8" t="s">
        <v>64</v>
      </c>
      <c r="AF125" s="1">
        <v>8.6400000000000005E-2</v>
      </c>
      <c r="AG125" s="1">
        <v>8.6400000000000005E-2</v>
      </c>
      <c r="AH125" s="1">
        <v>8.6400000000000005E-2</v>
      </c>
      <c r="AI125" s="1">
        <v>8.6400000000000005E-2</v>
      </c>
      <c r="AJ125" s="1">
        <v>8.6400000000000005E-2</v>
      </c>
      <c r="AK125" s="1">
        <v>8.6400000000000005E-2</v>
      </c>
      <c r="AL125" s="1">
        <v>8.6400000000000005E-2</v>
      </c>
      <c r="AM125" s="1">
        <v>8.6400000000000005E-2</v>
      </c>
      <c r="AO125" s="8" t="s">
        <v>64</v>
      </c>
      <c r="AP125" s="1">
        <v>8.6400000000000001E-3</v>
      </c>
      <c r="AQ125" s="1">
        <v>2.5919999999999999E-2</v>
      </c>
      <c r="AR125" s="1">
        <v>8.6400000000000005E-2</v>
      </c>
      <c r="AS125" s="1">
        <v>0.25919999999999999</v>
      </c>
      <c r="AT125" s="1">
        <v>0.86399999999999999</v>
      </c>
      <c r="AU125" s="1">
        <v>2.5920000000000001</v>
      </c>
      <c r="AV125" s="1">
        <v>8.64</v>
      </c>
      <c r="AW125" s="1">
        <v>25.92</v>
      </c>
      <c r="AX125" s="1">
        <v>86.4</v>
      </c>
      <c r="AZ125" s="8" t="s">
        <v>56</v>
      </c>
      <c r="BA125" s="1">
        <v>8.6400000000000001E-3</v>
      </c>
      <c r="BB125" s="1">
        <v>2.5919999999999999E-2</v>
      </c>
      <c r="BC125" s="1">
        <v>8.6400000000000005E-2</v>
      </c>
      <c r="BD125" s="1">
        <v>0.25919999999999999</v>
      </c>
      <c r="BE125" s="1">
        <v>0.86399999999999999</v>
      </c>
      <c r="BF125" s="1">
        <v>2.5920000000000001</v>
      </c>
      <c r="BG125" s="1">
        <v>8.64</v>
      </c>
      <c r="BH125" s="1">
        <v>25.92</v>
      </c>
      <c r="BI125" s="1">
        <v>86.4</v>
      </c>
    </row>
    <row r="126" spans="1:61" x14ac:dyDescent="0.45">
      <c r="A126" t="s">
        <v>718</v>
      </c>
      <c r="B126">
        <v>4464000</v>
      </c>
      <c r="C126" s="1">
        <v>5.5880199503133244E-4</v>
      </c>
      <c r="D126" s="1">
        <v>5.5880199503133254E-6</v>
      </c>
      <c r="E126" s="1">
        <v>5.5880199503133244E-4</v>
      </c>
      <c r="F126" s="1">
        <v>5.5880199503133254E-6</v>
      </c>
      <c r="G126" s="1">
        <v>5.5880199503133244E-4</v>
      </c>
      <c r="H126" s="2">
        <v>125</v>
      </c>
      <c r="I126">
        <v>36000</v>
      </c>
      <c r="U126">
        <v>2074</v>
      </c>
      <c r="V126">
        <v>44640</v>
      </c>
      <c r="W126" s="1">
        <v>5.1138621680753824E-4</v>
      </c>
      <c r="X126" s="1">
        <f t="shared" si="14"/>
        <v>5.1138621680753828E-6</v>
      </c>
      <c r="Y126" s="1">
        <f t="shared" si="15"/>
        <v>5.1138621680753824E-4</v>
      </c>
      <c r="Z126" s="1">
        <f t="shared" si="16"/>
        <v>5.1138621680753828E-6</v>
      </c>
      <c r="AA126" s="1">
        <f t="shared" si="17"/>
        <v>5.1138621680753824E-4</v>
      </c>
      <c r="AZ126" s="8" t="s">
        <v>60</v>
      </c>
      <c r="BA126" s="1">
        <v>8.6400000000000001E-3</v>
      </c>
      <c r="BB126" s="1">
        <v>2.5919999999999999E-2</v>
      </c>
      <c r="BC126" s="1">
        <v>8.6400000000000005E-2</v>
      </c>
      <c r="BD126" s="1">
        <v>0.25919999999999999</v>
      </c>
      <c r="BE126" s="1">
        <v>0.86399999999999999</v>
      </c>
      <c r="BF126" s="1">
        <v>2.5920000000000001</v>
      </c>
      <c r="BG126" s="1">
        <v>8.64</v>
      </c>
      <c r="BH126" s="1">
        <v>25.92</v>
      </c>
      <c r="BI126" s="1">
        <v>86.4</v>
      </c>
    </row>
    <row r="127" spans="1:61" x14ac:dyDescent="0.45">
      <c r="A127" t="s">
        <v>719</v>
      </c>
      <c r="B127">
        <v>4500000</v>
      </c>
      <c r="C127" s="1">
        <v>5.3484183894189771E-4</v>
      </c>
      <c r="D127" s="1">
        <v>5.3484183894189772E-6</v>
      </c>
      <c r="E127" s="1">
        <v>5.3484183894189771E-4</v>
      </c>
      <c r="F127" s="1">
        <v>5.3484183894189772E-6</v>
      </c>
      <c r="G127" s="1">
        <v>5.3484183894189771E-4</v>
      </c>
      <c r="H127" s="2">
        <v>126</v>
      </c>
      <c r="I127">
        <v>36000</v>
      </c>
      <c r="U127">
        <v>2075</v>
      </c>
      <c r="V127">
        <v>45000</v>
      </c>
      <c r="W127" s="1">
        <v>5.834401472729541E-4</v>
      </c>
      <c r="X127" s="1">
        <f t="shared" si="14"/>
        <v>5.8344014727295408E-6</v>
      </c>
      <c r="Y127" s="1">
        <f t="shared" si="15"/>
        <v>5.834401472729541E-4</v>
      </c>
      <c r="Z127" s="1">
        <f t="shared" si="16"/>
        <v>5.8344014727295408E-6</v>
      </c>
      <c r="AA127" s="1">
        <f t="shared" si="17"/>
        <v>5.834401472729541E-4</v>
      </c>
      <c r="AE127" t="s">
        <v>39</v>
      </c>
      <c r="AF127" t="s">
        <v>676</v>
      </c>
      <c r="AG127" t="s">
        <v>677</v>
      </c>
      <c r="AH127" t="s">
        <v>678</v>
      </c>
      <c r="AI127" t="s">
        <v>679</v>
      </c>
      <c r="AJ127" t="s">
        <v>680</v>
      </c>
      <c r="AK127" t="s">
        <v>681</v>
      </c>
      <c r="AL127" t="s">
        <v>682</v>
      </c>
      <c r="AM127" t="s">
        <v>683</v>
      </c>
      <c r="AO127" t="s">
        <v>39</v>
      </c>
      <c r="AP127" t="s">
        <v>676</v>
      </c>
      <c r="AQ127" t="s">
        <v>677</v>
      </c>
      <c r="AR127" t="s">
        <v>678</v>
      </c>
      <c r="AT127" t="s">
        <v>679</v>
      </c>
      <c r="AV127" t="s">
        <v>680</v>
      </c>
      <c r="AW127" t="s">
        <v>681</v>
      </c>
      <c r="AX127" t="s">
        <v>682</v>
      </c>
      <c r="AZ127" s="9" t="s">
        <v>61</v>
      </c>
      <c r="BA127" s="10">
        <v>2.5919999999999999E-6</v>
      </c>
      <c r="BB127" s="10">
        <v>2.5919999999999999E-6</v>
      </c>
      <c r="BC127" s="10">
        <v>2.5919999999999999E-6</v>
      </c>
      <c r="BD127" s="10">
        <v>2.5919999999999999E-6</v>
      </c>
      <c r="BE127" s="10">
        <v>2.5919999999999999E-6</v>
      </c>
      <c r="BF127" s="10">
        <v>2.5919999999999999E-6</v>
      </c>
      <c r="BG127" s="10">
        <v>2.5919999999999999E-6</v>
      </c>
      <c r="BH127" s="10">
        <v>2.5919999999999999E-6</v>
      </c>
      <c r="BI127" s="10">
        <v>2.5919999999999999E-6</v>
      </c>
    </row>
    <row r="128" spans="1:61" x14ac:dyDescent="0.45">
      <c r="A128" t="s">
        <v>720</v>
      </c>
      <c r="B128">
        <v>4536000</v>
      </c>
      <c r="C128" s="1">
        <v>5.6813211154299636E-4</v>
      </c>
      <c r="D128" s="1">
        <v>5.6813211154299638E-6</v>
      </c>
      <c r="E128" s="1">
        <v>5.6813211154299636E-4</v>
      </c>
      <c r="F128" s="1">
        <v>5.6813211154299638E-6</v>
      </c>
      <c r="G128" s="1">
        <v>5.6813211154299636E-4</v>
      </c>
      <c r="H128" s="2">
        <v>127</v>
      </c>
      <c r="I128">
        <v>36000</v>
      </c>
      <c r="U128">
        <v>2076</v>
      </c>
      <c r="V128">
        <v>45360</v>
      </c>
      <c r="W128" s="1">
        <v>7.1160228947361758E-4</v>
      </c>
      <c r="X128" s="1">
        <f t="shared" si="14"/>
        <v>7.1160228947361762E-6</v>
      </c>
      <c r="Y128" s="1">
        <f t="shared" si="15"/>
        <v>7.1160228947361758E-4</v>
      </c>
      <c r="Z128" s="1">
        <f t="shared" si="16"/>
        <v>7.1160228947361762E-6</v>
      </c>
      <c r="AA128" s="1">
        <f t="shared" si="17"/>
        <v>7.1160228947361758E-4</v>
      </c>
      <c r="AE128" s="8" t="s">
        <v>46</v>
      </c>
      <c r="AF128" s="1">
        <v>0.86399999999999999</v>
      </c>
      <c r="AG128" s="1">
        <v>0.86399999999999999</v>
      </c>
      <c r="AH128" s="1">
        <v>0.86399999999999999</v>
      </c>
      <c r="AI128" s="1">
        <v>0.86399999999999999</v>
      </c>
      <c r="AJ128" s="1">
        <v>0.86399999999999999</v>
      </c>
      <c r="AK128" s="1">
        <v>0.86399999999999999</v>
      </c>
      <c r="AL128" s="1">
        <v>0.86399999999999999</v>
      </c>
      <c r="AM128" s="1">
        <v>0.86399999999999999</v>
      </c>
      <c r="AO128" s="8" t="s">
        <v>46</v>
      </c>
      <c r="AP128" s="1">
        <v>8.6400000000000001E-3</v>
      </c>
      <c r="AQ128" s="1">
        <v>2.5919999999999999E-2</v>
      </c>
      <c r="AR128" s="1">
        <v>8.6400000000000005E-2</v>
      </c>
      <c r="AS128" s="1">
        <v>0.25919999999999999</v>
      </c>
      <c r="AT128" s="1">
        <v>0.86399999999999999</v>
      </c>
      <c r="AU128" s="1">
        <v>2.5920000000000001</v>
      </c>
      <c r="AV128" s="1">
        <v>8.64</v>
      </c>
      <c r="AW128" s="1">
        <v>25.92</v>
      </c>
      <c r="AX128" s="1">
        <v>86.4</v>
      </c>
      <c r="AZ128" s="8" t="s">
        <v>62</v>
      </c>
      <c r="BA128" s="1">
        <v>8.6400000000000001E-3</v>
      </c>
      <c r="BB128" s="1">
        <v>2.5919999999999999E-2</v>
      </c>
      <c r="BC128" s="1">
        <v>8.6400000000000005E-2</v>
      </c>
      <c r="BD128" s="1">
        <v>0.25919999999999999</v>
      </c>
      <c r="BE128" s="1">
        <v>0.86399999999999999</v>
      </c>
      <c r="BF128" s="1">
        <v>2.5920000000000001</v>
      </c>
      <c r="BG128" s="1">
        <v>8.64</v>
      </c>
      <c r="BH128" s="1">
        <v>25.92</v>
      </c>
      <c r="BI128" s="1">
        <v>86.4</v>
      </c>
    </row>
    <row r="129" spans="1:61" x14ac:dyDescent="0.45">
      <c r="A129" t="s">
        <v>721</v>
      </c>
      <c r="B129">
        <v>4572000</v>
      </c>
      <c r="C129" s="1">
        <v>5.6900059610674454E-4</v>
      </c>
      <c r="D129" s="1">
        <v>5.6900059610674446E-6</v>
      </c>
      <c r="E129" s="1">
        <v>5.6900059610674454E-4</v>
      </c>
      <c r="F129" s="1">
        <v>5.6900059610674446E-6</v>
      </c>
      <c r="G129" s="1">
        <v>5.6900059610674454E-4</v>
      </c>
      <c r="H129" s="2">
        <v>128</v>
      </c>
      <c r="I129">
        <v>36000</v>
      </c>
      <c r="U129">
        <v>2077</v>
      </c>
      <c r="V129">
        <v>45720</v>
      </c>
      <c r="W129" s="1">
        <v>6.7192904177343729E-4</v>
      </c>
      <c r="X129" s="1">
        <f t="shared" si="14"/>
        <v>6.719290417734373E-6</v>
      </c>
      <c r="Y129" s="1">
        <f t="shared" si="15"/>
        <v>6.7192904177343729E-4</v>
      </c>
      <c r="Z129" s="1">
        <f t="shared" si="16"/>
        <v>6.719290417734373E-6</v>
      </c>
      <c r="AA129" s="1">
        <f t="shared" si="17"/>
        <v>6.7192904177343729E-4</v>
      </c>
      <c r="AE129" s="9" t="s">
        <v>50</v>
      </c>
      <c r="AF129" s="10">
        <v>8.6399999999999999E-9</v>
      </c>
      <c r="AG129" s="10">
        <v>8.6400000000000006E-8</v>
      </c>
      <c r="AH129" s="10">
        <v>8.6400000000000001E-7</v>
      </c>
      <c r="AI129" s="10">
        <v>8.6400000000000003E-6</v>
      </c>
      <c r="AJ129" s="10">
        <v>8.6399999999999999E-5</v>
      </c>
      <c r="AK129" s="10">
        <v>8.6399999999999997E-4</v>
      </c>
      <c r="AL129" s="10">
        <v>8.6400000000000001E-3</v>
      </c>
      <c r="AM129" s="10">
        <v>8.6400000000000005E-2</v>
      </c>
      <c r="AO129" s="9" t="s">
        <v>50</v>
      </c>
      <c r="AP129" s="10">
        <v>8.6400000000000003E-6</v>
      </c>
      <c r="AQ129" s="10">
        <v>8.6400000000000003E-6</v>
      </c>
      <c r="AR129" s="10">
        <v>8.6400000000000003E-6</v>
      </c>
      <c r="AS129" s="10">
        <v>8.6400000000000003E-6</v>
      </c>
      <c r="AT129" s="10">
        <v>8.6400000000000003E-6</v>
      </c>
      <c r="AU129" s="10">
        <v>8.6400000000000003E-6</v>
      </c>
      <c r="AV129" s="10">
        <v>8.6400000000000003E-6</v>
      </c>
      <c r="AW129" s="10">
        <v>8.6400000000000003E-6</v>
      </c>
      <c r="AX129" s="10">
        <v>8.6400000000000003E-6</v>
      </c>
      <c r="AZ129" s="9" t="s">
        <v>63</v>
      </c>
      <c r="BA129" s="10">
        <v>2.5919999999999999E-6</v>
      </c>
      <c r="BB129" s="10">
        <v>2.5919999999999999E-6</v>
      </c>
      <c r="BC129" s="10">
        <v>2.5919999999999999E-6</v>
      </c>
      <c r="BD129" s="10">
        <v>2.5919999999999999E-6</v>
      </c>
      <c r="BE129" s="10">
        <v>2.5919999999999999E-6</v>
      </c>
      <c r="BF129" s="10">
        <v>2.5919999999999999E-6</v>
      </c>
      <c r="BG129" s="10">
        <v>2.5919999999999999E-6</v>
      </c>
      <c r="BH129" s="10">
        <v>2.5919999999999999E-6</v>
      </c>
      <c r="BI129" s="10">
        <v>2.5919999999999999E-6</v>
      </c>
    </row>
    <row r="130" spans="1:61" x14ac:dyDescent="0.45">
      <c r="A130" t="s">
        <v>722</v>
      </c>
      <c r="B130">
        <v>4608000</v>
      </c>
      <c r="C130" s="1">
        <v>5.4325687953621241E-4</v>
      </c>
      <c r="D130" s="1">
        <v>5.4325687953621242E-6</v>
      </c>
      <c r="E130" s="1">
        <v>5.4325687953621241E-4</v>
      </c>
      <c r="F130" s="1">
        <v>5.4325687953621242E-6</v>
      </c>
      <c r="G130" s="1">
        <v>5.4325687953621241E-4</v>
      </c>
      <c r="H130" s="2">
        <v>129</v>
      </c>
      <c r="I130">
        <v>36000</v>
      </c>
      <c r="U130">
        <v>2078</v>
      </c>
      <c r="V130">
        <v>46080</v>
      </c>
      <c r="W130" s="1">
        <v>6.8402164621609858E-4</v>
      </c>
      <c r="X130" s="1">
        <f t="shared" ref="X130:X161" si="18">+W130/100</f>
        <v>6.8402164621609862E-6</v>
      </c>
      <c r="Y130" s="1">
        <f t="shared" ref="Y130:Y154" si="19">+W130</f>
        <v>6.8402164621609858E-4</v>
      </c>
      <c r="Z130" s="1">
        <f t="shared" ref="Z130:Z161" si="20">+Y130/100</f>
        <v>6.8402164621609862E-6</v>
      </c>
      <c r="AA130" s="1">
        <f t="shared" ref="AA130:AA154" si="21">+W130</f>
        <v>6.8402164621609858E-4</v>
      </c>
      <c r="AE130" s="8" t="s">
        <v>52</v>
      </c>
      <c r="AF130" s="1">
        <v>0.86399999999999999</v>
      </c>
      <c r="AG130" s="1">
        <v>0.86399999999999999</v>
      </c>
      <c r="AH130" s="1">
        <v>0.86399999999999999</v>
      </c>
      <c r="AI130" s="1">
        <v>0.86399999999999999</v>
      </c>
      <c r="AJ130" s="1">
        <v>0.86399999999999999</v>
      </c>
      <c r="AK130" s="1">
        <v>0.86399999999999999</v>
      </c>
      <c r="AL130" s="1">
        <v>0.86399999999999999</v>
      </c>
      <c r="AM130" s="1">
        <v>0.86399999999999999</v>
      </c>
      <c r="AO130" s="8" t="s">
        <v>52</v>
      </c>
      <c r="AP130" s="1">
        <v>8.6400000000000001E-3</v>
      </c>
      <c r="AQ130" s="1">
        <v>2.5919999999999999E-2</v>
      </c>
      <c r="AR130" s="1">
        <v>8.6400000000000005E-2</v>
      </c>
      <c r="AS130" s="1">
        <v>0.25919999999999999</v>
      </c>
      <c r="AT130" s="1">
        <v>0.86399999999999999</v>
      </c>
      <c r="AU130" s="1">
        <v>2.5920000000000001</v>
      </c>
      <c r="AV130" s="1">
        <v>8.64</v>
      </c>
      <c r="AW130" s="1">
        <v>25.92</v>
      </c>
      <c r="AX130" s="1">
        <v>86.4</v>
      </c>
      <c r="AZ130" s="8" t="s">
        <v>64</v>
      </c>
      <c r="BA130" s="1">
        <v>8.6400000000000001E-3</v>
      </c>
      <c r="BB130" s="1">
        <v>2.5919999999999999E-2</v>
      </c>
      <c r="BC130" s="1">
        <v>8.6400000000000005E-2</v>
      </c>
      <c r="BD130" s="1">
        <v>0.25919999999999999</v>
      </c>
      <c r="BE130" s="1">
        <v>0.86399999999999999</v>
      </c>
      <c r="BF130" s="1">
        <v>2.5920000000000001</v>
      </c>
      <c r="BG130" s="1">
        <v>8.64</v>
      </c>
      <c r="BH130" s="1">
        <v>25.92</v>
      </c>
      <c r="BI130" s="1">
        <v>86.4</v>
      </c>
    </row>
    <row r="131" spans="1:61" x14ac:dyDescent="0.45">
      <c r="A131" t="s">
        <v>723</v>
      </c>
      <c r="B131">
        <v>4644000</v>
      </c>
      <c r="C131" s="1">
        <v>5.5103897986034131E-4</v>
      </c>
      <c r="D131" s="1">
        <v>5.510389798603413E-6</v>
      </c>
      <c r="E131" s="1">
        <v>5.5103897986034131E-4</v>
      </c>
      <c r="F131" s="1">
        <v>5.510389798603413E-6</v>
      </c>
      <c r="G131" s="1">
        <v>5.5103897986034131E-4</v>
      </c>
      <c r="H131" s="2">
        <v>130</v>
      </c>
      <c r="I131">
        <v>36000</v>
      </c>
      <c r="U131">
        <v>2079</v>
      </c>
      <c r="V131">
        <v>46440</v>
      </c>
      <c r="W131" s="1">
        <v>7.3510433221211555E-4</v>
      </c>
      <c r="X131" s="1">
        <f t="shared" si="18"/>
        <v>7.3510433221211552E-6</v>
      </c>
      <c r="Y131" s="1">
        <f t="shared" si="19"/>
        <v>7.3510433221211555E-4</v>
      </c>
      <c r="Z131" s="1">
        <f t="shared" si="20"/>
        <v>7.3510433221211552E-6</v>
      </c>
      <c r="AA131" s="1">
        <f t="shared" si="21"/>
        <v>7.3510433221211555E-4</v>
      </c>
      <c r="AE131" s="9" t="s">
        <v>54</v>
      </c>
      <c r="AF131" s="10">
        <v>8.6399999999999999E-9</v>
      </c>
      <c r="AG131" s="10">
        <v>8.6400000000000006E-8</v>
      </c>
      <c r="AH131" s="10">
        <v>8.6400000000000001E-7</v>
      </c>
      <c r="AI131" s="10">
        <v>8.6400000000000003E-6</v>
      </c>
      <c r="AJ131" s="10">
        <v>8.6399999999999999E-5</v>
      </c>
      <c r="AK131" s="10">
        <v>8.6399999999999997E-4</v>
      </c>
      <c r="AL131" s="10">
        <v>8.6400000000000001E-3</v>
      </c>
      <c r="AM131" s="10">
        <v>8.6400000000000005E-2</v>
      </c>
      <c r="AO131" s="9" t="s">
        <v>54</v>
      </c>
      <c r="AP131" s="10">
        <v>8.6400000000000003E-6</v>
      </c>
      <c r="AQ131" s="10">
        <v>8.6400000000000003E-6</v>
      </c>
      <c r="AR131" s="10">
        <v>8.6400000000000003E-6</v>
      </c>
      <c r="AS131" s="10">
        <v>8.6400000000000003E-6</v>
      </c>
      <c r="AT131" s="10">
        <v>8.6400000000000003E-6</v>
      </c>
      <c r="AU131" s="10">
        <v>8.6400000000000003E-6</v>
      </c>
      <c r="AV131" s="10">
        <v>8.6400000000000003E-6</v>
      </c>
      <c r="AW131" s="10">
        <v>8.6400000000000003E-6</v>
      </c>
      <c r="AX131" s="10">
        <v>8.6400000000000003E-6</v>
      </c>
    </row>
    <row r="132" spans="1:61" x14ac:dyDescent="0.45">
      <c r="A132" t="s">
        <v>724</v>
      </c>
      <c r="B132">
        <v>4680000</v>
      </c>
      <c r="C132" s="1">
        <v>5.6477315049182557E-4</v>
      </c>
      <c r="D132" s="1">
        <v>5.6477315049182558E-6</v>
      </c>
      <c r="E132" s="1">
        <v>5.6477315049182557E-4</v>
      </c>
      <c r="F132" s="1">
        <v>5.6477315049182558E-6</v>
      </c>
      <c r="G132" s="1">
        <v>5.6477315049182557E-4</v>
      </c>
      <c r="H132" s="2">
        <v>131</v>
      </c>
      <c r="I132">
        <v>36000</v>
      </c>
      <c r="U132">
        <v>2080</v>
      </c>
      <c r="V132">
        <v>46800</v>
      </c>
      <c r="W132" s="1">
        <v>6.8958168854050443E-4</v>
      </c>
      <c r="X132" s="1">
        <f t="shared" si="18"/>
        <v>6.8958168854050447E-6</v>
      </c>
      <c r="Y132" s="1">
        <f t="shared" si="19"/>
        <v>6.8958168854050443E-4</v>
      </c>
      <c r="Z132" s="1">
        <f t="shared" si="20"/>
        <v>6.8958168854050447E-6</v>
      </c>
      <c r="AA132" s="1">
        <f t="shared" si="21"/>
        <v>6.8958168854050443E-4</v>
      </c>
      <c r="AE132" s="8" t="s">
        <v>56</v>
      </c>
      <c r="AF132" s="1">
        <v>0.86399999999999999</v>
      </c>
      <c r="AG132" s="1">
        <v>0.86399999999999999</v>
      </c>
      <c r="AH132" s="1">
        <v>0.86399999999999999</v>
      </c>
      <c r="AI132" s="1">
        <v>0.86399999999999999</v>
      </c>
      <c r="AJ132" s="1">
        <v>0.86399999999999999</v>
      </c>
      <c r="AK132" s="1">
        <v>0.86399999999999999</v>
      </c>
      <c r="AL132" s="1">
        <v>0.86399999999999999</v>
      </c>
      <c r="AM132" s="1">
        <v>0.86399999999999999</v>
      </c>
      <c r="AO132" s="8" t="s">
        <v>56</v>
      </c>
      <c r="AP132" s="1">
        <v>8.6400000000000001E-3</v>
      </c>
      <c r="AQ132" s="1">
        <v>2.5919999999999999E-2</v>
      </c>
      <c r="AR132" s="1">
        <v>8.6400000000000005E-2</v>
      </c>
      <c r="AS132" s="1">
        <v>0.25919999999999999</v>
      </c>
      <c r="AT132" s="1">
        <v>0.86399999999999999</v>
      </c>
      <c r="AU132" s="1">
        <v>2.5920000000000001</v>
      </c>
      <c r="AV132" s="1">
        <v>8.64</v>
      </c>
      <c r="AW132" s="1">
        <v>25.92</v>
      </c>
      <c r="AX132" s="1">
        <v>86.4</v>
      </c>
    </row>
    <row r="133" spans="1:61" x14ac:dyDescent="0.45">
      <c r="A133" t="s">
        <v>725</v>
      </c>
      <c r="B133">
        <v>4716000</v>
      </c>
      <c r="C133" s="1">
        <v>5.6745063098694308E-4</v>
      </c>
      <c r="D133" s="1">
        <v>5.6745063098694314E-6</v>
      </c>
      <c r="E133" s="1">
        <v>5.6745063098694308E-4</v>
      </c>
      <c r="F133" s="1">
        <v>5.6745063098694314E-6</v>
      </c>
      <c r="G133" s="1">
        <v>5.6745063098694308E-4</v>
      </c>
      <c r="H133" s="2">
        <v>132</v>
      </c>
      <c r="I133">
        <v>36000</v>
      </c>
      <c r="U133">
        <v>2081</v>
      </c>
      <c r="V133">
        <v>47160</v>
      </c>
      <c r="W133" s="1">
        <v>7.0175093423377206E-4</v>
      </c>
      <c r="X133" s="1">
        <f t="shared" si="18"/>
        <v>7.0175093423377209E-6</v>
      </c>
      <c r="Y133" s="1">
        <f t="shared" si="19"/>
        <v>7.0175093423377206E-4</v>
      </c>
      <c r="Z133" s="1">
        <f t="shared" si="20"/>
        <v>7.0175093423377209E-6</v>
      </c>
      <c r="AA133" s="1">
        <f t="shared" si="21"/>
        <v>7.0175093423377206E-4</v>
      </c>
      <c r="AE133" s="8" t="s">
        <v>60</v>
      </c>
      <c r="AF133" s="1">
        <v>0.86399999999999999</v>
      </c>
      <c r="AG133" s="1">
        <v>0.86399999999999999</v>
      </c>
      <c r="AH133" s="1">
        <v>0.86399999999999999</v>
      </c>
      <c r="AI133" s="1">
        <v>0.86399999999999999</v>
      </c>
      <c r="AJ133" s="1">
        <v>0.86399999999999999</v>
      </c>
      <c r="AK133" s="1">
        <v>0.86399999999999999</v>
      </c>
      <c r="AL133" s="1">
        <v>0.86399999999999999</v>
      </c>
      <c r="AM133" s="1">
        <v>0.86399999999999999</v>
      </c>
      <c r="AO133" s="8" t="s">
        <v>60</v>
      </c>
      <c r="AP133" s="1">
        <v>8.6400000000000001E-3</v>
      </c>
      <c r="AQ133" s="1">
        <v>2.5919999999999999E-2</v>
      </c>
      <c r="AR133" s="1">
        <v>8.6400000000000005E-2</v>
      </c>
      <c r="AS133" s="1">
        <v>0.25919999999999999</v>
      </c>
      <c r="AT133" s="1">
        <v>0.86399999999999999</v>
      </c>
      <c r="AU133" s="1">
        <v>2.5920000000000001</v>
      </c>
      <c r="AV133" s="1">
        <v>8.64</v>
      </c>
      <c r="AW133" s="1">
        <v>25.92</v>
      </c>
      <c r="AX133" s="1">
        <v>86.4</v>
      </c>
      <c r="AZ133" t="s">
        <v>39</v>
      </c>
      <c r="BA133" t="s">
        <v>676</v>
      </c>
      <c r="BB133" t="s">
        <v>677</v>
      </c>
      <c r="BC133" t="s">
        <v>678</v>
      </c>
      <c r="BE133" t="s">
        <v>679</v>
      </c>
      <c r="BG133" t="s">
        <v>680</v>
      </c>
      <c r="BH133" t="s">
        <v>681</v>
      </c>
      <c r="BI133" t="s">
        <v>682</v>
      </c>
    </row>
    <row r="134" spans="1:61" x14ac:dyDescent="0.45">
      <c r="A134" t="s">
        <v>726</v>
      </c>
      <c r="B134">
        <v>4752000</v>
      </c>
      <c r="C134" s="1">
        <v>5.6811922800493271E-4</v>
      </c>
      <c r="D134" s="1">
        <v>5.6811922800493268E-6</v>
      </c>
      <c r="E134" s="1">
        <v>5.6811922800493271E-4</v>
      </c>
      <c r="F134" s="1">
        <v>5.6811922800493268E-6</v>
      </c>
      <c r="G134" s="1">
        <v>5.6811922800493271E-4</v>
      </c>
      <c r="H134" s="2">
        <v>133</v>
      </c>
      <c r="I134">
        <v>36000</v>
      </c>
      <c r="U134">
        <v>2082</v>
      </c>
      <c r="V134">
        <v>47520</v>
      </c>
      <c r="W134" s="1">
        <v>9.24392529713391E-4</v>
      </c>
      <c r="X134" s="1">
        <f t="shared" si="18"/>
        <v>9.2439252971339094E-6</v>
      </c>
      <c r="Y134" s="1">
        <f t="shared" si="19"/>
        <v>9.24392529713391E-4</v>
      </c>
      <c r="Z134" s="1">
        <f t="shared" si="20"/>
        <v>9.2439252971339094E-6</v>
      </c>
      <c r="AA134" s="1">
        <f t="shared" si="21"/>
        <v>9.24392529713391E-4</v>
      </c>
      <c r="AE134" s="9" t="s">
        <v>61</v>
      </c>
      <c r="AF134" s="10">
        <v>8.6399999999999999E-9</v>
      </c>
      <c r="AG134" s="10">
        <v>8.6400000000000006E-8</v>
      </c>
      <c r="AH134" s="10">
        <v>8.6400000000000001E-7</v>
      </c>
      <c r="AI134" s="10">
        <v>8.6400000000000003E-6</v>
      </c>
      <c r="AJ134" s="10">
        <v>8.6399999999999999E-5</v>
      </c>
      <c r="AK134" s="10">
        <v>8.6399999999999997E-4</v>
      </c>
      <c r="AL134" s="10">
        <v>8.6400000000000001E-3</v>
      </c>
      <c r="AM134" s="10">
        <v>8.6400000000000005E-2</v>
      </c>
      <c r="AO134" s="9" t="s">
        <v>61</v>
      </c>
      <c r="AP134" s="10">
        <v>8.6400000000000003E-6</v>
      </c>
      <c r="AQ134" s="10">
        <v>8.6400000000000003E-6</v>
      </c>
      <c r="AR134" s="10">
        <v>8.6400000000000003E-6</v>
      </c>
      <c r="AS134" s="10">
        <v>8.6400000000000003E-6</v>
      </c>
      <c r="AT134" s="10">
        <v>8.6400000000000003E-6</v>
      </c>
      <c r="AU134" s="10">
        <v>8.6400000000000003E-6</v>
      </c>
      <c r="AV134" s="10">
        <v>8.6400000000000003E-6</v>
      </c>
      <c r="AW134" s="10">
        <v>8.6400000000000003E-6</v>
      </c>
      <c r="AX134" s="10">
        <v>8.6400000000000003E-6</v>
      </c>
      <c r="AZ134" s="8" t="s">
        <v>46</v>
      </c>
      <c r="BA134" s="1">
        <v>8.6400000000000001E-3</v>
      </c>
      <c r="BB134" s="1">
        <v>2.5919999999999999E-2</v>
      </c>
      <c r="BC134" s="1">
        <v>8.6400000000000005E-2</v>
      </c>
      <c r="BD134" s="1">
        <v>0.25919999999999999</v>
      </c>
      <c r="BE134" s="1">
        <v>0.86399999999999999</v>
      </c>
      <c r="BF134" s="1">
        <v>2.5920000000000001</v>
      </c>
      <c r="BG134" s="1">
        <v>8.64</v>
      </c>
      <c r="BH134" s="1">
        <v>25.92</v>
      </c>
      <c r="BI134" s="1">
        <v>86.4</v>
      </c>
    </row>
    <row r="135" spans="1:61" x14ac:dyDescent="0.45">
      <c r="A135" t="s">
        <v>727</v>
      </c>
      <c r="B135">
        <v>4788000</v>
      </c>
      <c r="C135" s="1">
        <v>5.3856638198421648E-4</v>
      </c>
      <c r="D135" s="1">
        <v>5.3856638198421652E-6</v>
      </c>
      <c r="E135" s="1">
        <v>5.3856638198421648E-4</v>
      </c>
      <c r="F135" s="1">
        <v>5.3856638198421652E-6</v>
      </c>
      <c r="G135" s="1">
        <v>5.3856638198421648E-4</v>
      </c>
      <c r="H135" s="2">
        <v>134</v>
      </c>
      <c r="I135">
        <v>36000</v>
      </c>
      <c r="U135">
        <v>2083</v>
      </c>
      <c r="V135">
        <v>47880</v>
      </c>
      <c r="W135" s="1">
        <v>4.2679489394130968E-4</v>
      </c>
      <c r="X135" s="1">
        <f t="shared" si="18"/>
        <v>4.2679489394130971E-6</v>
      </c>
      <c r="Y135" s="1">
        <f t="shared" si="19"/>
        <v>4.2679489394130968E-4</v>
      </c>
      <c r="Z135" s="1">
        <f t="shared" si="20"/>
        <v>4.2679489394130971E-6</v>
      </c>
      <c r="AA135" s="1">
        <f t="shared" si="21"/>
        <v>4.2679489394130968E-4</v>
      </c>
      <c r="AE135" s="8" t="s">
        <v>62</v>
      </c>
      <c r="AF135" s="1">
        <v>0.86399999999999999</v>
      </c>
      <c r="AG135" s="1">
        <v>0.86399999999999999</v>
      </c>
      <c r="AH135" s="1">
        <v>0.86399999999999999</v>
      </c>
      <c r="AI135" s="1">
        <v>0.86399999999999999</v>
      </c>
      <c r="AJ135" s="1">
        <v>0.86399999999999999</v>
      </c>
      <c r="AK135" s="1">
        <v>0.86399999999999999</v>
      </c>
      <c r="AL135" s="1">
        <v>0.86399999999999999</v>
      </c>
      <c r="AM135" s="1">
        <v>0.86399999999999999</v>
      </c>
      <c r="AO135" s="8" t="s">
        <v>62</v>
      </c>
      <c r="AP135" s="1">
        <v>8.6400000000000001E-3</v>
      </c>
      <c r="AQ135" s="1">
        <v>2.5919999999999999E-2</v>
      </c>
      <c r="AR135" s="1">
        <v>8.6400000000000005E-2</v>
      </c>
      <c r="AS135" s="1">
        <v>0.25919999999999999</v>
      </c>
      <c r="AT135" s="1">
        <v>0.86399999999999999</v>
      </c>
      <c r="AU135" s="1">
        <v>2.5920000000000001</v>
      </c>
      <c r="AV135" s="1">
        <v>8.64</v>
      </c>
      <c r="AW135" s="1">
        <v>25.92</v>
      </c>
      <c r="AX135" s="1">
        <v>86.4</v>
      </c>
      <c r="AZ135" s="9" t="s">
        <v>50</v>
      </c>
      <c r="BA135" s="10">
        <v>2.5919999999999999E-5</v>
      </c>
      <c r="BB135" s="10">
        <v>2.5919999999999999E-5</v>
      </c>
      <c r="BC135" s="10">
        <v>2.5919999999999999E-5</v>
      </c>
      <c r="BD135" s="10">
        <v>2.5919999999999999E-5</v>
      </c>
      <c r="BE135" s="10">
        <v>2.5919999999999999E-5</v>
      </c>
      <c r="BF135" s="10">
        <v>2.5919999999999999E-5</v>
      </c>
      <c r="BG135" s="10">
        <v>2.5919999999999999E-5</v>
      </c>
      <c r="BH135" s="10">
        <v>2.5919999999999999E-5</v>
      </c>
      <c r="BI135" s="10">
        <v>2.5919999999999999E-5</v>
      </c>
    </row>
    <row r="136" spans="1:61" x14ac:dyDescent="0.45">
      <c r="A136" t="s">
        <v>728</v>
      </c>
      <c r="B136">
        <v>4824000</v>
      </c>
      <c r="C136" s="1">
        <v>5.8974204616573549E-4</v>
      </c>
      <c r="D136" s="1">
        <v>5.8974204616573552E-6</v>
      </c>
      <c r="E136" s="1">
        <v>5.8974204616573549E-4</v>
      </c>
      <c r="F136" s="1">
        <v>5.8974204616573552E-6</v>
      </c>
      <c r="G136" s="1">
        <v>5.8974204616573549E-4</v>
      </c>
      <c r="H136" s="2">
        <v>135</v>
      </c>
      <c r="I136">
        <v>36000</v>
      </c>
      <c r="U136">
        <v>2084</v>
      </c>
      <c r="V136">
        <v>48240</v>
      </c>
      <c r="W136" s="1">
        <v>7.0492044974188462E-4</v>
      </c>
      <c r="X136" s="1">
        <f t="shared" si="18"/>
        <v>7.0492044974188458E-6</v>
      </c>
      <c r="Y136" s="1">
        <f t="shared" si="19"/>
        <v>7.0492044974188462E-4</v>
      </c>
      <c r="Z136" s="1">
        <f t="shared" si="20"/>
        <v>7.0492044974188458E-6</v>
      </c>
      <c r="AA136" s="1">
        <f t="shared" si="21"/>
        <v>7.0492044974188462E-4</v>
      </c>
      <c r="AE136" s="9" t="s">
        <v>63</v>
      </c>
      <c r="AF136" s="10">
        <v>8.6399999999999999E-9</v>
      </c>
      <c r="AG136" s="10">
        <v>8.6400000000000006E-8</v>
      </c>
      <c r="AH136" s="10">
        <v>8.6400000000000001E-7</v>
      </c>
      <c r="AI136" s="10">
        <v>8.6400000000000003E-6</v>
      </c>
      <c r="AJ136" s="10">
        <v>8.6399999999999999E-5</v>
      </c>
      <c r="AK136" s="10">
        <v>8.6399999999999997E-4</v>
      </c>
      <c r="AL136" s="10">
        <v>8.6400000000000001E-3</v>
      </c>
      <c r="AM136" s="10">
        <v>8.6400000000000005E-2</v>
      </c>
      <c r="AO136" s="9" t="s">
        <v>63</v>
      </c>
      <c r="AP136" s="10">
        <v>8.6400000000000003E-6</v>
      </c>
      <c r="AQ136" s="10">
        <v>8.6400000000000003E-6</v>
      </c>
      <c r="AR136" s="10">
        <v>8.6400000000000003E-6</v>
      </c>
      <c r="AS136" s="10">
        <v>8.6400000000000003E-6</v>
      </c>
      <c r="AT136" s="10">
        <v>8.6400000000000003E-6</v>
      </c>
      <c r="AU136" s="10">
        <v>8.6400000000000003E-6</v>
      </c>
      <c r="AV136" s="10">
        <v>8.6400000000000003E-6</v>
      </c>
      <c r="AW136" s="10">
        <v>8.6400000000000003E-6</v>
      </c>
      <c r="AX136" s="10">
        <v>8.6400000000000003E-6</v>
      </c>
      <c r="AZ136" s="8" t="s">
        <v>52</v>
      </c>
      <c r="BA136" s="1">
        <v>8.6400000000000001E-3</v>
      </c>
      <c r="BB136" s="1">
        <v>2.5919999999999999E-2</v>
      </c>
      <c r="BC136" s="1">
        <v>8.6400000000000005E-2</v>
      </c>
      <c r="BD136" s="1">
        <v>0.25919999999999999</v>
      </c>
      <c r="BE136" s="1">
        <v>0.86399999999999999</v>
      </c>
      <c r="BF136" s="1">
        <v>2.5920000000000001</v>
      </c>
      <c r="BG136" s="1">
        <v>8.64</v>
      </c>
      <c r="BH136" s="1">
        <v>25.92</v>
      </c>
      <c r="BI136" s="1">
        <v>86.4</v>
      </c>
    </row>
    <row r="137" spans="1:61" x14ac:dyDescent="0.45">
      <c r="A137" t="s">
        <v>729</v>
      </c>
      <c r="B137">
        <v>4860000</v>
      </c>
      <c r="C137" s="1">
        <v>5.5320727310630082E-4</v>
      </c>
      <c r="D137" s="1">
        <v>5.5320727310630076E-6</v>
      </c>
      <c r="E137" s="1">
        <v>5.5320727310630082E-4</v>
      </c>
      <c r="F137" s="1">
        <v>5.5320727310630076E-6</v>
      </c>
      <c r="G137" s="1">
        <v>5.5320727310630082E-4</v>
      </c>
      <c r="H137" s="2">
        <v>136</v>
      </c>
      <c r="I137">
        <v>36000</v>
      </c>
      <c r="U137">
        <v>2085</v>
      </c>
      <c r="V137">
        <v>48600</v>
      </c>
      <c r="W137" s="1">
        <v>6.0317831663807579E-4</v>
      </c>
      <c r="X137" s="1">
        <f t="shared" si="18"/>
        <v>6.031783166380758E-6</v>
      </c>
      <c r="Y137" s="1">
        <f t="shared" si="19"/>
        <v>6.0317831663807579E-4</v>
      </c>
      <c r="Z137" s="1">
        <f t="shared" si="20"/>
        <v>6.031783166380758E-6</v>
      </c>
      <c r="AA137" s="1">
        <f t="shared" si="21"/>
        <v>6.0317831663807579E-4</v>
      </c>
      <c r="AE137" s="8" t="s">
        <v>64</v>
      </c>
      <c r="AF137" s="1">
        <v>0.86399999999999999</v>
      </c>
      <c r="AG137" s="1">
        <v>0.86399999999999999</v>
      </c>
      <c r="AH137" s="1">
        <v>0.86399999999999999</v>
      </c>
      <c r="AI137" s="1">
        <v>0.86399999999999999</v>
      </c>
      <c r="AJ137" s="1">
        <v>0.86399999999999999</v>
      </c>
      <c r="AK137" s="1">
        <v>0.86399999999999999</v>
      </c>
      <c r="AL137" s="1">
        <v>0.86399999999999999</v>
      </c>
      <c r="AM137" s="1">
        <v>0.86399999999999999</v>
      </c>
      <c r="AO137" s="8" t="s">
        <v>64</v>
      </c>
      <c r="AP137" s="1">
        <v>8.6400000000000001E-3</v>
      </c>
      <c r="AQ137" s="1">
        <v>2.5919999999999999E-2</v>
      </c>
      <c r="AR137" s="1">
        <v>8.6400000000000005E-2</v>
      </c>
      <c r="AS137" s="1">
        <v>0.25919999999999999</v>
      </c>
      <c r="AT137" s="1">
        <v>0.86399999999999999</v>
      </c>
      <c r="AU137" s="1">
        <v>2.5920000000000001</v>
      </c>
      <c r="AV137" s="1">
        <v>8.64</v>
      </c>
      <c r="AW137" s="1">
        <v>25.92</v>
      </c>
      <c r="AX137" s="1">
        <v>86.4</v>
      </c>
      <c r="AZ137" s="9" t="s">
        <v>54</v>
      </c>
      <c r="BA137" s="10">
        <v>2.5919999999999999E-5</v>
      </c>
      <c r="BB137" s="10">
        <v>2.5919999999999999E-5</v>
      </c>
      <c r="BC137" s="10">
        <v>2.5919999999999999E-5</v>
      </c>
      <c r="BD137" s="10">
        <v>2.5919999999999999E-5</v>
      </c>
      <c r="BE137" s="10">
        <v>2.5919999999999999E-5</v>
      </c>
      <c r="BF137" s="10">
        <v>2.5919999999999999E-5</v>
      </c>
      <c r="BG137" s="10">
        <v>2.5919999999999999E-5</v>
      </c>
      <c r="BH137" s="10">
        <v>2.5919999999999999E-5</v>
      </c>
      <c r="BI137" s="10">
        <v>2.5919999999999999E-5</v>
      </c>
    </row>
    <row r="138" spans="1:61" x14ac:dyDescent="0.45">
      <c r="A138" t="s">
        <v>730</v>
      </c>
      <c r="B138">
        <v>4896000</v>
      </c>
      <c r="C138" s="1">
        <v>5.3970317798715474E-4</v>
      </c>
      <c r="D138" s="1">
        <v>5.3970317798715473E-6</v>
      </c>
      <c r="E138" s="1">
        <v>5.3970317798715474E-4</v>
      </c>
      <c r="F138" s="1">
        <v>5.3970317798715473E-6</v>
      </c>
      <c r="G138" s="1">
        <v>5.3970317798715474E-4</v>
      </c>
      <c r="H138" s="2">
        <v>137</v>
      </c>
      <c r="I138">
        <v>36000</v>
      </c>
      <c r="U138">
        <v>2086</v>
      </c>
      <c r="V138">
        <v>48960</v>
      </c>
      <c r="W138" s="1">
        <v>5.3431529879549361E-4</v>
      </c>
      <c r="X138" s="1">
        <f t="shared" si="18"/>
        <v>5.3431529879549362E-6</v>
      </c>
      <c r="Y138" s="1">
        <f t="shared" si="19"/>
        <v>5.3431529879549361E-4</v>
      </c>
      <c r="Z138" s="1">
        <f t="shared" si="20"/>
        <v>5.3431529879549362E-6</v>
      </c>
      <c r="AA138" s="1">
        <f t="shared" si="21"/>
        <v>5.3431529879549361E-4</v>
      </c>
      <c r="AZ138" s="8" t="s">
        <v>56</v>
      </c>
      <c r="BA138" s="1">
        <v>8.6400000000000001E-3</v>
      </c>
      <c r="BB138" s="1">
        <v>2.5919999999999999E-2</v>
      </c>
      <c r="BC138" s="1">
        <v>8.6400000000000005E-2</v>
      </c>
      <c r="BD138" s="1">
        <v>0.25919999999999999</v>
      </c>
      <c r="BE138" s="1">
        <v>0.86399999999999999</v>
      </c>
      <c r="BF138" s="1">
        <v>2.5920000000000001</v>
      </c>
      <c r="BG138" s="1">
        <v>8.64</v>
      </c>
      <c r="BH138" s="1">
        <v>25.92</v>
      </c>
      <c r="BI138" s="1">
        <v>86.4</v>
      </c>
    </row>
    <row r="139" spans="1:61" x14ac:dyDescent="0.45">
      <c r="A139" t="s">
        <v>731</v>
      </c>
      <c r="B139">
        <v>4932000</v>
      </c>
      <c r="C139" s="1">
        <v>5.2981361477011791E-4</v>
      </c>
      <c r="D139" s="1">
        <v>5.298136147701179E-6</v>
      </c>
      <c r="E139" s="1">
        <v>5.2981361477011791E-4</v>
      </c>
      <c r="F139" s="1">
        <v>5.298136147701179E-6</v>
      </c>
      <c r="G139" s="1">
        <v>5.2981361477011791E-4</v>
      </c>
      <c r="H139" s="2">
        <v>138</v>
      </c>
      <c r="I139">
        <v>36000</v>
      </c>
      <c r="U139">
        <v>2087</v>
      </c>
      <c r="V139">
        <v>49320</v>
      </c>
      <c r="W139" s="1">
        <v>9.2650687165257131E-4</v>
      </c>
      <c r="X139" s="1">
        <f t="shared" si="18"/>
        <v>9.2650687165257136E-6</v>
      </c>
      <c r="Y139" s="1">
        <f t="shared" si="19"/>
        <v>9.2650687165257131E-4</v>
      </c>
      <c r="Z139" s="1">
        <f t="shared" si="20"/>
        <v>9.2650687165257136E-6</v>
      </c>
      <c r="AA139" s="1">
        <f t="shared" si="21"/>
        <v>9.2650687165257131E-4</v>
      </c>
      <c r="AE139" t="s">
        <v>39</v>
      </c>
      <c r="AF139" t="s">
        <v>676</v>
      </c>
      <c r="AG139" t="s">
        <v>677</v>
      </c>
      <c r="AH139" t="s">
        <v>678</v>
      </c>
      <c r="AI139" t="s">
        <v>679</v>
      </c>
      <c r="AJ139" t="s">
        <v>680</v>
      </c>
      <c r="AK139" t="s">
        <v>681</v>
      </c>
      <c r="AL139" t="s">
        <v>682</v>
      </c>
      <c r="AM139" t="s">
        <v>683</v>
      </c>
      <c r="AO139" t="s">
        <v>39</v>
      </c>
      <c r="AP139" t="s">
        <v>676</v>
      </c>
      <c r="AQ139" t="s">
        <v>677</v>
      </c>
      <c r="AR139" t="s">
        <v>678</v>
      </c>
      <c r="AT139" t="s">
        <v>679</v>
      </c>
      <c r="AV139" t="s">
        <v>680</v>
      </c>
      <c r="AW139" t="s">
        <v>681</v>
      </c>
      <c r="AX139" t="s">
        <v>682</v>
      </c>
      <c r="AZ139" s="8" t="s">
        <v>60</v>
      </c>
      <c r="BA139" s="1">
        <v>8.6400000000000001E-3</v>
      </c>
      <c r="BB139" s="1">
        <v>2.5919999999999999E-2</v>
      </c>
      <c r="BC139" s="1">
        <v>8.6400000000000005E-2</v>
      </c>
      <c r="BD139" s="1">
        <v>0.25919999999999999</v>
      </c>
      <c r="BE139" s="1">
        <v>0.86399999999999999</v>
      </c>
      <c r="BF139" s="1">
        <v>2.5920000000000001</v>
      </c>
      <c r="BG139" s="1">
        <v>8.64</v>
      </c>
      <c r="BH139" s="1">
        <v>25.92</v>
      </c>
      <c r="BI139" s="1">
        <v>86.4</v>
      </c>
    </row>
    <row r="140" spans="1:61" x14ac:dyDescent="0.45">
      <c r="A140" t="s">
        <v>732</v>
      </c>
      <c r="B140">
        <v>4968000</v>
      </c>
      <c r="C140" s="1">
        <v>5.3657512747202281E-4</v>
      </c>
      <c r="D140" s="1">
        <v>5.3657512747202283E-6</v>
      </c>
      <c r="E140" s="1">
        <v>5.3657512747202281E-4</v>
      </c>
      <c r="F140" s="1">
        <v>5.3657512747202283E-6</v>
      </c>
      <c r="G140" s="1">
        <v>5.3657512747202281E-4</v>
      </c>
      <c r="H140" s="2">
        <v>139</v>
      </c>
      <c r="I140">
        <v>36000</v>
      </c>
      <c r="U140">
        <v>2088</v>
      </c>
      <c r="V140">
        <v>49680</v>
      </c>
      <c r="W140" s="1">
        <v>4.9093461376614072E-4</v>
      </c>
      <c r="X140" s="1">
        <f t="shared" si="18"/>
        <v>4.9093461376614071E-6</v>
      </c>
      <c r="Y140" s="1">
        <f t="shared" si="19"/>
        <v>4.9093461376614072E-4</v>
      </c>
      <c r="Z140" s="1">
        <f t="shared" si="20"/>
        <v>4.9093461376614071E-6</v>
      </c>
      <c r="AA140" s="1">
        <f t="shared" si="21"/>
        <v>4.9093461376614072E-4</v>
      </c>
      <c r="AE140" s="8" t="s">
        <v>46</v>
      </c>
      <c r="AF140" s="1">
        <v>8.64</v>
      </c>
      <c r="AG140" s="1">
        <v>8.64</v>
      </c>
      <c r="AH140" s="1">
        <v>8.64</v>
      </c>
      <c r="AI140" s="1">
        <v>8.64</v>
      </c>
      <c r="AJ140" s="1">
        <v>8.64</v>
      </c>
      <c r="AK140" s="1">
        <v>8.64</v>
      </c>
      <c r="AL140" s="1">
        <v>8.64</v>
      </c>
      <c r="AM140" s="1">
        <v>8.64</v>
      </c>
      <c r="AO140" s="8" t="s">
        <v>46</v>
      </c>
      <c r="AP140" s="1">
        <v>8.6400000000000001E-3</v>
      </c>
      <c r="AQ140" s="1">
        <v>2.5919999999999999E-2</v>
      </c>
      <c r="AR140" s="1">
        <v>8.6400000000000005E-2</v>
      </c>
      <c r="AS140" s="1">
        <v>0.25919999999999999</v>
      </c>
      <c r="AT140" s="1">
        <v>0.86399999999999999</v>
      </c>
      <c r="AU140" s="1">
        <v>2.5920000000000001</v>
      </c>
      <c r="AV140" s="1">
        <v>8.64</v>
      </c>
      <c r="AW140" s="1">
        <v>25.92</v>
      </c>
      <c r="AX140" s="1">
        <v>86.4</v>
      </c>
      <c r="AZ140" s="9" t="s">
        <v>61</v>
      </c>
      <c r="BA140" s="10">
        <v>2.5919999999999999E-5</v>
      </c>
      <c r="BB140" s="10">
        <v>2.5919999999999999E-5</v>
      </c>
      <c r="BC140" s="10">
        <v>2.5919999999999999E-5</v>
      </c>
      <c r="BD140" s="10">
        <v>2.5919999999999999E-5</v>
      </c>
      <c r="BE140" s="10">
        <v>2.5919999999999999E-5</v>
      </c>
      <c r="BF140" s="10">
        <v>2.5919999999999999E-5</v>
      </c>
      <c r="BG140" s="10">
        <v>2.5919999999999999E-5</v>
      </c>
      <c r="BH140" s="10">
        <v>2.5919999999999999E-5</v>
      </c>
      <c r="BI140" s="10">
        <v>2.5919999999999999E-5</v>
      </c>
    </row>
    <row r="141" spans="1:61" x14ac:dyDescent="0.45">
      <c r="A141" t="s">
        <v>733</v>
      </c>
      <c r="B141">
        <v>5004000</v>
      </c>
      <c r="C141" s="1">
        <v>5.7325512164222543E-4</v>
      </c>
      <c r="D141" s="1">
        <v>5.7325512164222536E-6</v>
      </c>
      <c r="E141" s="1">
        <v>5.7325512164222543E-4</v>
      </c>
      <c r="F141" s="1">
        <v>5.7325512164222536E-6</v>
      </c>
      <c r="G141" s="1">
        <v>5.7325512164222543E-4</v>
      </c>
      <c r="H141" s="2">
        <v>140</v>
      </c>
      <c r="I141">
        <v>36000</v>
      </c>
      <c r="U141">
        <v>2089</v>
      </c>
      <c r="V141">
        <v>50040</v>
      </c>
      <c r="W141" s="1">
        <v>4.6471042769603648E-4</v>
      </c>
      <c r="X141" s="1">
        <f t="shared" si="18"/>
        <v>4.6471042769603649E-6</v>
      </c>
      <c r="Y141" s="1">
        <f t="shared" si="19"/>
        <v>4.6471042769603648E-4</v>
      </c>
      <c r="Z141" s="1">
        <f t="shared" si="20"/>
        <v>4.6471042769603649E-6</v>
      </c>
      <c r="AA141" s="1">
        <f t="shared" si="21"/>
        <v>4.6471042769603648E-4</v>
      </c>
      <c r="AE141" s="9" t="s">
        <v>50</v>
      </c>
      <c r="AF141" s="10">
        <v>8.6399999999999999E-9</v>
      </c>
      <c r="AG141" s="10">
        <v>8.6400000000000006E-8</v>
      </c>
      <c r="AH141" s="10">
        <v>8.6400000000000001E-7</v>
      </c>
      <c r="AI141" s="10">
        <v>8.6400000000000003E-6</v>
      </c>
      <c r="AJ141" s="10">
        <v>8.6399999999999999E-5</v>
      </c>
      <c r="AK141" s="10">
        <v>8.6399999999999997E-4</v>
      </c>
      <c r="AL141" s="10">
        <v>8.6400000000000001E-3</v>
      </c>
      <c r="AM141" s="10">
        <v>8.6400000000000005E-2</v>
      </c>
      <c r="AO141" s="9" t="s">
        <v>50</v>
      </c>
      <c r="AP141" s="10">
        <v>8.6399999999999999E-5</v>
      </c>
      <c r="AQ141" s="10">
        <v>8.6399999999999999E-5</v>
      </c>
      <c r="AR141" s="10">
        <v>8.6399999999999999E-5</v>
      </c>
      <c r="AS141" s="10">
        <v>8.6399999999999999E-5</v>
      </c>
      <c r="AT141" s="10">
        <v>8.6399999999999999E-5</v>
      </c>
      <c r="AU141" s="10">
        <v>8.6399999999999999E-5</v>
      </c>
      <c r="AV141" s="10">
        <v>8.6399999999999999E-5</v>
      </c>
      <c r="AW141" s="10">
        <v>8.6399999999999999E-5</v>
      </c>
      <c r="AX141" s="10">
        <v>8.6399999999999999E-5</v>
      </c>
      <c r="AZ141" s="8" t="s">
        <v>62</v>
      </c>
      <c r="BA141" s="1">
        <v>8.6400000000000001E-3</v>
      </c>
      <c r="BB141" s="1">
        <v>2.5919999999999999E-2</v>
      </c>
      <c r="BC141" s="1">
        <v>8.6400000000000005E-2</v>
      </c>
      <c r="BD141" s="1">
        <v>0.25919999999999999</v>
      </c>
      <c r="BE141" s="1">
        <v>0.86399999999999999</v>
      </c>
      <c r="BF141" s="1">
        <v>2.5920000000000001</v>
      </c>
      <c r="BG141" s="1">
        <v>8.64</v>
      </c>
      <c r="BH141" s="1">
        <v>25.92</v>
      </c>
      <c r="BI141" s="1">
        <v>86.4</v>
      </c>
    </row>
    <row r="142" spans="1:61" x14ac:dyDescent="0.45">
      <c r="A142" t="s">
        <v>734</v>
      </c>
      <c r="B142">
        <v>5040000</v>
      </c>
      <c r="C142" s="1">
        <v>5.4803156158054556E-4</v>
      </c>
      <c r="D142" s="1">
        <v>5.4803156158054566E-6</v>
      </c>
      <c r="E142" s="1">
        <v>5.4803156158054556E-4</v>
      </c>
      <c r="F142" s="1">
        <v>5.4803156158054566E-6</v>
      </c>
      <c r="G142" s="1">
        <v>5.4803156158054556E-4</v>
      </c>
      <c r="H142" s="2">
        <v>141</v>
      </c>
      <c r="I142">
        <v>36000</v>
      </c>
      <c r="U142">
        <v>2090</v>
      </c>
      <c r="V142">
        <v>50400</v>
      </c>
      <c r="W142" s="1">
        <v>3.9116170433328728E-4</v>
      </c>
      <c r="X142" s="1">
        <f t="shared" si="18"/>
        <v>3.911617043332873E-6</v>
      </c>
      <c r="Y142" s="1">
        <f t="shared" si="19"/>
        <v>3.9116170433328728E-4</v>
      </c>
      <c r="Z142" s="1">
        <f t="shared" si="20"/>
        <v>3.911617043332873E-6</v>
      </c>
      <c r="AA142" s="1">
        <f t="shared" si="21"/>
        <v>3.9116170433328728E-4</v>
      </c>
      <c r="AE142" s="8" t="s">
        <v>52</v>
      </c>
      <c r="AF142" s="1">
        <v>8.64</v>
      </c>
      <c r="AG142" s="1">
        <v>8.64</v>
      </c>
      <c r="AH142" s="1">
        <v>8.64</v>
      </c>
      <c r="AI142" s="1">
        <v>8.64</v>
      </c>
      <c r="AJ142" s="1">
        <v>8.64</v>
      </c>
      <c r="AK142" s="1">
        <v>8.64</v>
      </c>
      <c r="AL142" s="1">
        <v>8.64</v>
      </c>
      <c r="AM142" s="1">
        <v>8.64</v>
      </c>
      <c r="AO142" s="8" t="s">
        <v>52</v>
      </c>
      <c r="AP142" s="1">
        <v>8.6400000000000001E-3</v>
      </c>
      <c r="AQ142" s="1">
        <v>2.5919999999999999E-2</v>
      </c>
      <c r="AR142" s="1">
        <v>8.6400000000000005E-2</v>
      </c>
      <c r="AS142" s="1">
        <v>0.25919999999999999</v>
      </c>
      <c r="AT142" s="1">
        <v>0.86399999999999999</v>
      </c>
      <c r="AU142" s="1">
        <v>2.5920000000000001</v>
      </c>
      <c r="AV142" s="1">
        <v>8.64</v>
      </c>
      <c r="AW142" s="1">
        <v>25.92</v>
      </c>
      <c r="AX142" s="1">
        <v>86.4</v>
      </c>
      <c r="AZ142" s="9" t="s">
        <v>63</v>
      </c>
      <c r="BA142" s="10">
        <v>2.5919999999999999E-5</v>
      </c>
      <c r="BB142" s="10">
        <v>2.5919999999999999E-5</v>
      </c>
      <c r="BC142" s="10">
        <v>2.5919999999999999E-5</v>
      </c>
      <c r="BD142" s="10">
        <v>2.5919999999999999E-5</v>
      </c>
      <c r="BE142" s="10">
        <v>2.5919999999999999E-5</v>
      </c>
      <c r="BF142" s="10">
        <v>2.5919999999999999E-5</v>
      </c>
      <c r="BG142" s="10">
        <v>2.5919999999999999E-5</v>
      </c>
      <c r="BH142" s="10">
        <v>2.5919999999999999E-5</v>
      </c>
      <c r="BI142" s="10">
        <v>2.5919999999999999E-5</v>
      </c>
    </row>
    <row r="143" spans="1:61" x14ac:dyDescent="0.45">
      <c r="A143" t="s">
        <v>735</v>
      </c>
      <c r="B143">
        <v>5076000</v>
      </c>
      <c r="C143" s="1">
        <v>5.0767431984555375E-4</v>
      </c>
      <c r="D143" s="1">
        <v>5.0767431984555379E-6</v>
      </c>
      <c r="E143" s="1">
        <v>5.0767431984555375E-4</v>
      </c>
      <c r="F143" s="1">
        <v>5.0767431984555379E-6</v>
      </c>
      <c r="G143" s="1">
        <v>5.0767431984555375E-4</v>
      </c>
      <c r="H143" s="2">
        <v>142</v>
      </c>
      <c r="I143">
        <v>36000</v>
      </c>
      <c r="U143">
        <v>2091</v>
      </c>
      <c r="V143">
        <v>50760</v>
      </c>
      <c r="W143" s="1">
        <v>4.0431038289007962E-4</v>
      </c>
      <c r="X143" s="1">
        <f t="shared" si="18"/>
        <v>4.043103828900796E-6</v>
      </c>
      <c r="Y143" s="1">
        <f t="shared" si="19"/>
        <v>4.0431038289007962E-4</v>
      </c>
      <c r="Z143" s="1">
        <f t="shared" si="20"/>
        <v>4.043103828900796E-6</v>
      </c>
      <c r="AA143" s="1">
        <f t="shared" si="21"/>
        <v>4.0431038289007962E-4</v>
      </c>
      <c r="AE143" s="9" t="s">
        <v>54</v>
      </c>
      <c r="AF143" s="10">
        <v>8.6399999999999999E-9</v>
      </c>
      <c r="AG143" s="10">
        <v>8.6400000000000006E-8</v>
      </c>
      <c r="AH143" s="10">
        <v>8.6400000000000001E-7</v>
      </c>
      <c r="AI143" s="10">
        <v>8.6400000000000003E-6</v>
      </c>
      <c r="AJ143" s="10">
        <v>8.6399999999999999E-5</v>
      </c>
      <c r="AK143" s="10">
        <v>8.6399999999999997E-4</v>
      </c>
      <c r="AL143" s="10">
        <v>8.6400000000000001E-3</v>
      </c>
      <c r="AM143" s="10">
        <v>8.6400000000000005E-2</v>
      </c>
      <c r="AO143" s="9" t="s">
        <v>54</v>
      </c>
      <c r="AP143" s="10">
        <v>8.6399999999999999E-5</v>
      </c>
      <c r="AQ143" s="10">
        <v>8.6399999999999999E-5</v>
      </c>
      <c r="AR143" s="10">
        <v>8.6399999999999999E-5</v>
      </c>
      <c r="AS143" s="10">
        <v>8.6399999999999999E-5</v>
      </c>
      <c r="AT143" s="10">
        <v>8.6399999999999999E-5</v>
      </c>
      <c r="AU143" s="10">
        <v>8.6399999999999999E-5</v>
      </c>
      <c r="AV143" s="10">
        <v>8.6399999999999999E-5</v>
      </c>
      <c r="AW143" s="10">
        <v>8.6399999999999999E-5</v>
      </c>
      <c r="AX143" s="10">
        <v>8.6399999999999999E-5</v>
      </c>
      <c r="AZ143" s="8" t="s">
        <v>64</v>
      </c>
      <c r="BA143" s="1">
        <v>8.6400000000000001E-3</v>
      </c>
      <c r="BB143" s="1">
        <v>2.5919999999999999E-2</v>
      </c>
      <c r="BC143" s="1">
        <v>8.6400000000000005E-2</v>
      </c>
      <c r="BD143" s="1">
        <v>0.25919999999999999</v>
      </c>
      <c r="BE143" s="1">
        <v>0.86399999999999999</v>
      </c>
      <c r="BF143" s="1">
        <v>2.5920000000000001</v>
      </c>
      <c r="BG143" s="1">
        <v>8.64</v>
      </c>
      <c r="BH143" s="1">
        <v>25.92</v>
      </c>
      <c r="BI143" s="1">
        <v>86.4</v>
      </c>
    </row>
    <row r="144" spans="1:61" x14ac:dyDescent="0.45">
      <c r="A144" t="s">
        <v>736</v>
      </c>
      <c r="B144">
        <v>5112000</v>
      </c>
      <c r="C144" s="1">
        <v>5.4193699445552013E-4</v>
      </c>
      <c r="D144" s="1">
        <v>5.4193699445552034E-6</v>
      </c>
      <c r="E144" s="1">
        <v>5.4193699445552013E-4</v>
      </c>
      <c r="F144" s="1">
        <v>5.4193699445552034E-6</v>
      </c>
      <c r="G144" s="1">
        <v>5.4193699445552013E-4</v>
      </c>
      <c r="H144" s="2">
        <v>143</v>
      </c>
      <c r="I144">
        <v>36000</v>
      </c>
      <c r="U144">
        <v>2092</v>
      </c>
      <c r="V144">
        <v>51120</v>
      </c>
      <c r="W144" s="1">
        <v>6.785411243790979E-4</v>
      </c>
      <c r="X144" s="1">
        <f t="shared" si="18"/>
        <v>6.7854112437909794E-6</v>
      </c>
      <c r="Y144" s="1">
        <f t="shared" si="19"/>
        <v>6.785411243790979E-4</v>
      </c>
      <c r="Z144" s="1">
        <f t="shared" si="20"/>
        <v>6.7854112437909794E-6</v>
      </c>
      <c r="AA144" s="1">
        <f t="shared" si="21"/>
        <v>6.785411243790979E-4</v>
      </c>
      <c r="AE144" s="8" t="s">
        <v>56</v>
      </c>
      <c r="AF144" s="1">
        <v>8.64</v>
      </c>
      <c r="AG144" s="1">
        <v>8.64</v>
      </c>
      <c r="AH144" s="1">
        <v>8.64</v>
      </c>
      <c r="AI144" s="1">
        <v>8.64</v>
      </c>
      <c r="AJ144" s="1">
        <v>8.64</v>
      </c>
      <c r="AK144" s="1">
        <v>8.64</v>
      </c>
      <c r="AL144" s="1">
        <v>8.64</v>
      </c>
      <c r="AM144" s="1">
        <v>8.64</v>
      </c>
      <c r="AO144" s="8" t="s">
        <v>56</v>
      </c>
      <c r="AP144" s="1">
        <v>8.6400000000000001E-3</v>
      </c>
      <c r="AQ144" s="1">
        <v>2.5919999999999999E-2</v>
      </c>
      <c r="AR144" s="1">
        <v>8.6400000000000005E-2</v>
      </c>
      <c r="AS144" s="1">
        <v>0.25919999999999999</v>
      </c>
      <c r="AT144" s="1">
        <v>0.86399999999999999</v>
      </c>
      <c r="AU144" s="1">
        <v>2.5920000000000001</v>
      </c>
      <c r="AV144" s="1">
        <v>8.64</v>
      </c>
      <c r="AW144" s="1">
        <v>25.92</v>
      </c>
      <c r="AX144" s="1">
        <v>86.4</v>
      </c>
    </row>
    <row r="145" spans="1:61" x14ac:dyDescent="0.45">
      <c r="A145" t="s">
        <v>737</v>
      </c>
      <c r="B145">
        <v>5148000</v>
      </c>
      <c r="C145" s="1">
        <v>5.4406065810467153E-4</v>
      </c>
      <c r="D145" s="1">
        <v>5.4406065810467148E-6</v>
      </c>
      <c r="E145" s="1">
        <v>5.4406065810467153E-4</v>
      </c>
      <c r="F145" s="1">
        <v>5.4406065810467148E-6</v>
      </c>
      <c r="G145" s="1">
        <v>5.4406065810467153E-4</v>
      </c>
      <c r="H145" s="2">
        <v>144</v>
      </c>
      <c r="I145">
        <v>36000</v>
      </c>
      <c r="U145">
        <v>2093</v>
      </c>
      <c r="V145">
        <v>51480</v>
      </c>
      <c r="W145" s="1">
        <v>7.2348983877483703E-4</v>
      </c>
      <c r="X145" s="1">
        <f t="shared" si="18"/>
        <v>7.2348983877483707E-6</v>
      </c>
      <c r="Y145" s="1">
        <f t="shared" si="19"/>
        <v>7.2348983877483703E-4</v>
      </c>
      <c r="Z145" s="1">
        <f t="shared" si="20"/>
        <v>7.2348983877483707E-6</v>
      </c>
      <c r="AA145" s="1">
        <f t="shared" si="21"/>
        <v>7.2348983877483703E-4</v>
      </c>
      <c r="AE145" s="8" t="s">
        <v>60</v>
      </c>
      <c r="AF145" s="1">
        <v>8.64</v>
      </c>
      <c r="AG145" s="1">
        <v>8.64</v>
      </c>
      <c r="AH145" s="1">
        <v>8.64</v>
      </c>
      <c r="AI145" s="1">
        <v>8.64</v>
      </c>
      <c r="AJ145" s="1">
        <v>8.64</v>
      </c>
      <c r="AK145" s="1">
        <v>8.64</v>
      </c>
      <c r="AL145" s="1">
        <v>8.64</v>
      </c>
      <c r="AM145" s="1">
        <v>8.64</v>
      </c>
      <c r="AO145" s="8" t="s">
        <v>60</v>
      </c>
      <c r="AP145" s="1">
        <v>8.6400000000000001E-3</v>
      </c>
      <c r="AQ145" s="1">
        <v>2.5919999999999999E-2</v>
      </c>
      <c r="AR145" s="1">
        <v>8.6400000000000005E-2</v>
      </c>
      <c r="AS145" s="1">
        <v>0.25919999999999999</v>
      </c>
      <c r="AT145" s="1">
        <v>0.86399999999999999</v>
      </c>
      <c r="AU145" s="1">
        <v>2.5920000000000001</v>
      </c>
      <c r="AV145" s="1">
        <v>8.64</v>
      </c>
      <c r="AW145" s="1">
        <v>25.92</v>
      </c>
      <c r="AX145" s="1">
        <v>86.4</v>
      </c>
    </row>
    <row r="146" spans="1:61" x14ac:dyDescent="0.45">
      <c r="A146" t="s">
        <v>738</v>
      </c>
      <c r="B146">
        <v>5184000</v>
      </c>
      <c r="C146" s="1">
        <v>5.9310170101675654E-4</v>
      </c>
      <c r="D146" s="1">
        <v>5.9310170101675653E-6</v>
      </c>
      <c r="E146" s="1">
        <v>5.9310170101675654E-4</v>
      </c>
      <c r="F146" s="1">
        <v>5.9310170101675653E-6</v>
      </c>
      <c r="G146" s="1">
        <v>5.9310170101675654E-4</v>
      </c>
      <c r="H146" s="2">
        <v>145</v>
      </c>
      <c r="I146">
        <v>36000</v>
      </c>
      <c r="U146">
        <v>2094</v>
      </c>
      <c r="V146">
        <v>51840</v>
      </c>
      <c r="W146" s="1">
        <v>6.5532909863160892E-4</v>
      </c>
      <c r="X146" s="1">
        <f t="shared" si="18"/>
        <v>6.5532909863160895E-6</v>
      </c>
      <c r="Y146" s="1">
        <f t="shared" si="19"/>
        <v>6.5532909863160892E-4</v>
      </c>
      <c r="Z146" s="1">
        <f t="shared" si="20"/>
        <v>6.5532909863160895E-6</v>
      </c>
      <c r="AA146" s="1">
        <f t="shared" si="21"/>
        <v>6.5532909863160892E-4</v>
      </c>
      <c r="AE146" s="9" t="s">
        <v>61</v>
      </c>
      <c r="AF146" s="10">
        <v>8.6399999999999999E-9</v>
      </c>
      <c r="AG146" s="10">
        <v>8.6400000000000006E-8</v>
      </c>
      <c r="AH146" s="10">
        <v>8.6400000000000001E-7</v>
      </c>
      <c r="AI146" s="10">
        <v>8.6400000000000003E-6</v>
      </c>
      <c r="AJ146" s="10">
        <v>8.6399999999999999E-5</v>
      </c>
      <c r="AK146" s="10">
        <v>8.6399999999999997E-4</v>
      </c>
      <c r="AL146" s="10">
        <v>8.6400000000000001E-3</v>
      </c>
      <c r="AM146" s="10">
        <v>8.6400000000000005E-2</v>
      </c>
      <c r="AO146" s="9" t="s">
        <v>61</v>
      </c>
      <c r="AP146" s="10">
        <v>8.6399999999999999E-5</v>
      </c>
      <c r="AQ146" s="10">
        <v>8.6399999999999999E-5</v>
      </c>
      <c r="AR146" s="10">
        <v>8.6399999999999999E-5</v>
      </c>
      <c r="AS146" s="10">
        <v>8.6399999999999999E-5</v>
      </c>
      <c r="AT146" s="10">
        <v>8.6399999999999999E-5</v>
      </c>
      <c r="AU146" s="10">
        <v>8.6399999999999999E-5</v>
      </c>
      <c r="AV146" s="10">
        <v>8.6399999999999999E-5</v>
      </c>
      <c r="AW146" s="10">
        <v>8.6399999999999999E-5</v>
      </c>
      <c r="AX146" s="10">
        <v>8.6399999999999999E-5</v>
      </c>
      <c r="AZ146" t="s">
        <v>39</v>
      </c>
      <c r="BA146" t="s">
        <v>676</v>
      </c>
      <c r="BB146" t="s">
        <v>677</v>
      </c>
      <c r="BC146" t="s">
        <v>678</v>
      </c>
      <c r="BE146" t="s">
        <v>679</v>
      </c>
      <c r="BG146" t="s">
        <v>680</v>
      </c>
      <c r="BH146" t="s">
        <v>681</v>
      </c>
      <c r="BI146" t="s">
        <v>682</v>
      </c>
    </row>
    <row r="147" spans="1:61" x14ac:dyDescent="0.45">
      <c r="A147" t="s">
        <v>739</v>
      </c>
      <c r="B147">
        <v>5220000</v>
      </c>
      <c r="C147" s="1">
        <v>5.6136691494966138E-4</v>
      </c>
      <c r="D147" s="1">
        <v>5.6136691494966137E-6</v>
      </c>
      <c r="E147" s="1">
        <v>5.6136691494966138E-4</v>
      </c>
      <c r="F147" s="1">
        <v>5.6136691494966137E-6</v>
      </c>
      <c r="G147" s="1">
        <v>5.6136691494966138E-4</v>
      </c>
      <c r="H147" s="2">
        <v>146</v>
      </c>
      <c r="I147">
        <v>36000</v>
      </c>
      <c r="U147">
        <v>2095</v>
      </c>
      <c r="V147">
        <v>52200</v>
      </c>
      <c r="W147" s="1">
        <v>7.5474341979737567E-4</v>
      </c>
      <c r="X147" s="1">
        <f t="shared" si="18"/>
        <v>7.5474341979737569E-6</v>
      </c>
      <c r="Y147" s="1">
        <f t="shared" si="19"/>
        <v>7.5474341979737567E-4</v>
      </c>
      <c r="Z147" s="1">
        <f t="shared" si="20"/>
        <v>7.5474341979737569E-6</v>
      </c>
      <c r="AA147" s="1">
        <f t="shared" si="21"/>
        <v>7.5474341979737567E-4</v>
      </c>
      <c r="AE147" s="8" t="s">
        <v>62</v>
      </c>
      <c r="AF147" s="1">
        <v>8.64</v>
      </c>
      <c r="AG147" s="1">
        <v>8.64</v>
      </c>
      <c r="AH147" s="1">
        <v>8.64</v>
      </c>
      <c r="AI147" s="1">
        <v>8.64</v>
      </c>
      <c r="AJ147" s="1">
        <v>8.64</v>
      </c>
      <c r="AK147" s="1">
        <v>8.64</v>
      </c>
      <c r="AL147" s="1">
        <v>8.64</v>
      </c>
      <c r="AM147" s="1">
        <v>8.64</v>
      </c>
      <c r="AO147" s="8" t="s">
        <v>62</v>
      </c>
      <c r="AP147" s="1">
        <v>8.6400000000000001E-3</v>
      </c>
      <c r="AQ147" s="1">
        <v>2.5919999999999999E-2</v>
      </c>
      <c r="AR147" s="1">
        <v>8.6400000000000005E-2</v>
      </c>
      <c r="AS147" s="1">
        <v>0.25919999999999999</v>
      </c>
      <c r="AT147" s="1">
        <v>0.86399999999999999</v>
      </c>
      <c r="AU147" s="1">
        <v>2.5920000000000001</v>
      </c>
      <c r="AV147" s="1">
        <v>8.64</v>
      </c>
      <c r="AW147" s="1">
        <v>25.92</v>
      </c>
      <c r="AX147" s="1">
        <v>86.4</v>
      </c>
      <c r="AZ147" s="8" t="s">
        <v>46</v>
      </c>
      <c r="BA147" s="1">
        <v>8.6400000000000001E-3</v>
      </c>
      <c r="BB147" s="1">
        <v>2.5919999999999999E-2</v>
      </c>
      <c r="BC147" s="1">
        <v>8.6400000000000005E-2</v>
      </c>
      <c r="BD147" s="1">
        <v>0.25919999999999999</v>
      </c>
      <c r="BE147" s="1">
        <v>0.86399999999999999</v>
      </c>
      <c r="BF147" s="1">
        <v>2.5920000000000001</v>
      </c>
      <c r="BG147" s="1">
        <v>8.64</v>
      </c>
      <c r="BH147" s="1">
        <v>25.92</v>
      </c>
      <c r="BI147" s="1">
        <v>86.4</v>
      </c>
    </row>
    <row r="148" spans="1:61" x14ac:dyDescent="0.45">
      <c r="A148" t="s">
        <v>740</v>
      </c>
      <c r="B148">
        <v>5256000</v>
      </c>
      <c r="C148" s="1">
        <v>5.4207687944974302E-4</v>
      </c>
      <c r="D148" s="1">
        <v>5.4207687944974302E-6</v>
      </c>
      <c r="E148" s="1">
        <v>5.4207687944974302E-4</v>
      </c>
      <c r="F148" s="1">
        <v>5.4207687944974302E-6</v>
      </c>
      <c r="G148" s="1">
        <v>5.4207687944974302E-4</v>
      </c>
      <c r="H148" s="2">
        <v>147</v>
      </c>
      <c r="I148">
        <v>36000</v>
      </c>
      <c r="U148">
        <v>2096</v>
      </c>
      <c r="V148">
        <v>52560</v>
      </c>
      <c r="W148" s="1">
        <v>5.7669688744116539E-4</v>
      </c>
      <c r="X148" s="1">
        <f t="shared" si="18"/>
        <v>5.7669688744116542E-6</v>
      </c>
      <c r="Y148" s="1">
        <f t="shared" si="19"/>
        <v>5.7669688744116539E-4</v>
      </c>
      <c r="Z148" s="1">
        <f t="shared" si="20"/>
        <v>5.7669688744116542E-6</v>
      </c>
      <c r="AA148" s="1">
        <f t="shared" si="21"/>
        <v>5.7669688744116539E-4</v>
      </c>
      <c r="AE148" s="9" t="s">
        <v>63</v>
      </c>
      <c r="AF148" s="10">
        <v>8.6399999999999999E-9</v>
      </c>
      <c r="AG148" s="10">
        <v>8.6400000000000006E-8</v>
      </c>
      <c r="AH148" s="10">
        <v>8.6400000000000001E-7</v>
      </c>
      <c r="AI148" s="10">
        <v>8.6400000000000003E-6</v>
      </c>
      <c r="AJ148" s="10">
        <v>8.6399999999999999E-5</v>
      </c>
      <c r="AK148" s="10">
        <v>8.6399999999999997E-4</v>
      </c>
      <c r="AL148" s="10">
        <v>8.6400000000000001E-3</v>
      </c>
      <c r="AM148" s="10">
        <v>8.6400000000000005E-2</v>
      </c>
      <c r="AO148" s="9" t="s">
        <v>63</v>
      </c>
      <c r="AP148" s="10">
        <v>8.6399999999999999E-5</v>
      </c>
      <c r="AQ148" s="10">
        <v>8.6399999999999999E-5</v>
      </c>
      <c r="AR148" s="10">
        <v>8.6399999999999999E-5</v>
      </c>
      <c r="AS148" s="10">
        <v>8.6399999999999999E-5</v>
      </c>
      <c r="AT148" s="10">
        <v>8.6399999999999999E-5</v>
      </c>
      <c r="AU148" s="10">
        <v>8.6399999999999999E-5</v>
      </c>
      <c r="AV148" s="10">
        <v>8.6399999999999999E-5</v>
      </c>
      <c r="AW148" s="10">
        <v>8.6399999999999999E-5</v>
      </c>
      <c r="AX148" s="10">
        <v>8.6399999999999999E-5</v>
      </c>
      <c r="AZ148" s="9" t="s">
        <v>50</v>
      </c>
      <c r="BA148" s="10">
        <v>2.5920000000000001E-4</v>
      </c>
      <c r="BB148" s="10">
        <v>2.5920000000000001E-4</v>
      </c>
      <c r="BC148" s="10">
        <v>2.5920000000000001E-4</v>
      </c>
      <c r="BD148" s="10">
        <v>2.5920000000000001E-4</v>
      </c>
      <c r="BE148" s="10">
        <v>2.5920000000000001E-4</v>
      </c>
      <c r="BF148" s="10">
        <v>2.5920000000000001E-4</v>
      </c>
      <c r="BG148" s="10">
        <v>2.5920000000000001E-4</v>
      </c>
      <c r="BH148" s="10">
        <v>2.5920000000000001E-4</v>
      </c>
      <c r="BI148" s="10">
        <v>2.5920000000000001E-4</v>
      </c>
    </row>
    <row r="149" spans="1:61" x14ac:dyDescent="0.45">
      <c r="A149" t="s">
        <v>741</v>
      </c>
      <c r="B149">
        <v>5292000</v>
      </c>
      <c r="C149" s="1">
        <v>5.7680816746343488E-4</v>
      </c>
      <c r="D149" s="1">
        <v>5.768081674634349E-6</v>
      </c>
      <c r="E149" s="1">
        <v>5.7680816746343488E-4</v>
      </c>
      <c r="F149" s="1">
        <v>5.768081674634349E-6</v>
      </c>
      <c r="G149" s="1">
        <v>5.7680816746343488E-4</v>
      </c>
      <c r="H149" s="2">
        <v>148</v>
      </c>
      <c r="I149">
        <v>36000</v>
      </c>
      <c r="U149">
        <v>2097</v>
      </c>
      <c r="V149">
        <v>52920</v>
      </c>
      <c r="W149" s="1">
        <v>8.0697176066542612E-4</v>
      </c>
      <c r="X149" s="1">
        <f t="shared" si="18"/>
        <v>8.0697176066542615E-6</v>
      </c>
      <c r="Y149" s="1">
        <f t="shared" si="19"/>
        <v>8.0697176066542612E-4</v>
      </c>
      <c r="Z149" s="1">
        <f t="shared" si="20"/>
        <v>8.0697176066542615E-6</v>
      </c>
      <c r="AA149" s="1">
        <f t="shared" si="21"/>
        <v>8.0697176066542612E-4</v>
      </c>
      <c r="AE149" s="8" t="s">
        <v>64</v>
      </c>
      <c r="AF149" s="1">
        <v>8.64</v>
      </c>
      <c r="AG149" s="1">
        <v>8.64</v>
      </c>
      <c r="AH149" s="1">
        <v>8.64</v>
      </c>
      <c r="AI149" s="1">
        <v>8.64</v>
      </c>
      <c r="AJ149" s="1">
        <v>8.64</v>
      </c>
      <c r="AK149" s="1">
        <v>8.64</v>
      </c>
      <c r="AL149" s="1">
        <v>8.64</v>
      </c>
      <c r="AM149" s="1">
        <v>8.64</v>
      </c>
      <c r="AO149" s="8" t="s">
        <v>64</v>
      </c>
      <c r="AP149" s="1">
        <v>8.6400000000000001E-3</v>
      </c>
      <c r="AQ149" s="1">
        <v>2.5919999999999999E-2</v>
      </c>
      <c r="AR149" s="1">
        <v>8.6400000000000005E-2</v>
      </c>
      <c r="AS149" s="1">
        <v>0.25919999999999999</v>
      </c>
      <c r="AT149" s="1">
        <v>0.86399999999999999</v>
      </c>
      <c r="AU149" s="1">
        <v>2.5920000000000001</v>
      </c>
      <c r="AV149" s="1">
        <v>8.64</v>
      </c>
      <c r="AW149" s="1">
        <v>25.92</v>
      </c>
      <c r="AX149" s="1">
        <v>86.4</v>
      </c>
      <c r="AZ149" s="8" t="s">
        <v>52</v>
      </c>
      <c r="BA149" s="1">
        <v>8.6400000000000001E-3</v>
      </c>
      <c r="BB149" s="1">
        <v>2.5919999999999999E-2</v>
      </c>
      <c r="BC149" s="1">
        <v>8.6400000000000005E-2</v>
      </c>
      <c r="BD149" s="1">
        <v>0.25919999999999999</v>
      </c>
      <c r="BE149" s="1">
        <v>0.86399999999999999</v>
      </c>
      <c r="BF149" s="1">
        <v>2.5920000000000001</v>
      </c>
      <c r="BG149" s="1">
        <v>8.64</v>
      </c>
      <c r="BH149" s="1">
        <v>25.92</v>
      </c>
      <c r="BI149" s="1">
        <v>86.4</v>
      </c>
    </row>
    <row r="150" spans="1:61" x14ac:dyDescent="0.45">
      <c r="A150" t="s">
        <v>742</v>
      </c>
      <c r="B150">
        <v>5328000</v>
      </c>
      <c r="C150" s="1">
        <v>5.6189505512654458E-4</v>
      </c>
      <c r="D150" s="1">
        <v>5.6189505512654464E-6</v>
      </c>
      <c r="E150" s="1">
        <v>5.6189505512654458E-4</v>
      </c>
      <c r="F150" s="1">
        <v>5.6189505512654464E-6</v>
      </c>
      <c r="G150" s="1">
        <v>5.6189505512654458E-4</v>
      </c>
      <c r="H150" s="2">
        <v>149</v>
      </c>
      <c r="I150">
        <v>36000</v>
      </c>
      <c r="U150">
        <v>2098</v>
      </c>
      <c r="V150">
        <v>53280</v>
      </c>
      <c r="W150" s="1">
        <v>6.0999509381094925E-4</v>
      </c>
      <c r="X150" s="1">
        <f t="shared" si="18"/>
        <v>6.0999509381094923E-6</v>
      </c>
      <c r="Y150" s="1">
        <f t="shared" si="19"/>
        <v>6.0999509381094925E-4</v>
      </c>
      <c r="Z150" s="1">
        <f t="shared" si="20"/>
        <v>6.0999509381094923E-6</v>
      </c>
      <c r="AA150" s="1">
        <f t="shared" si="21"/>
        <v>6.0999509381094925E-4</v>
      </c>
      <c r="AZ150" s="9" t="s">
        <v>54</v>
      </c>
      <c r="BA150" s="10">
        <v>2.5920000000000001E-4</v>
      </c>
      <c r="BB150" s="10">
        <v>2.5920000000000001E-4</v>
      </c>
      <c r="BC150" s="10">
        <v>2.5920000000000001E-4</v>
      </c>
      <c r="BD150" s="10">
        <v>2.5920000000000001E-4</v>
      </c>
      <c r="BE150" s="10">
        <v>2.5920000000000001E-4</v>
      </c>
      <c r="BF150" s="10">
        <v>2.5920000000000001E-4</v>
      </c>
      <c r="BG150" s="10">
        <v>2.5920000000000001E-4</v>
      </c>
      <c r="BH150" s="10">
        <v>2.5920000000000001E-4</v>
      </c>
      <c r="BI150" s="10">
        <v>2.5920000000000001E-4</v>
      </c>
    </row>
    <row r="151" spans="1:61" x14ac:dyDescent="0.45">
      <c r="A151" t="s">
        <v>743</v>
      </c>
      <c r="B151">
        <v>5364000</v>
      </c>
      <c r="C151" s="1">
        <v>5.6479068646041739E-4</v>
      </c>
      <c r="D151" s="1">
        <v>5.6479068646041726E-6</v>
      </c>
      <c r="E151" s="1">
        <v>5.6479068646041739E-4</v>
      </c>
      <c r="F151" s="1">
        <v>5.6479068646041726E-6</v>
      </c>
      <c r="G151" s="1">
        <v>5.6479068646041739E-4</v>
      </c>
      <c r="H151" s="2">
        <v>150</v>
      </c>
      <c r="I151">
        <v>36000</v>
      </c>
      <c r="U151">
        <v>2099</v>
      </c>
      <c r="V151">
        <v>53640</v>
      </c>
      <c r="W151" s="1">
        <v>5.3117803129513444E-4</v>
      </c>
      <c r="X151" s="1">
        <f t="shared" si="18"/>
        <v>5.3117803129513445E-6</v>
      </c>
      <c r="Y151" s="1">
        <f t="shared" si="19"/>
        <v>5.3117803129513444E-4</v>
      </c>
      <c r="Z151" s="1">
        <f t="shared" si="20"/>
        <v>5.3117803129513445E-6</v>
      </c>
      <c r="AA151" s="1">
        <f t="shared" si="21"/>
        <v>5.3117803129513444E-4</v>
      </c>
      <c r="AE151" t="s">
        <v>39</v>
      </c>
      <c r="AF151" t="s">
        <v>676</v>
      </c>
      <c r="AG151" t="s">
        <v>677</v>
      </c>
      <c r="AH151" t="s">
        <v>678</v>
      </c>
      <c r="AI151" t="s">
        <v>679</v>
      </c>
      <c r="AJ151" t="s">
        <v>680</v>
      </c>
      <c r="AK151" t="s">
        <v>681</v>
      </c>
      <c r="AL151" t="s">
        <v>682</v>
      </c>
      <c r="AM151" t="s">
        <v>683</v>
      </c>
      <c r="AO151" t="s">
        <v>39</v>
      </c>
      <c r="AP151" t="s">
        <v>676</v>
      </c>
      <c r="AQ151" t="s">
        <v>677</v>
      </c>
      <c r="AR151" t="s">
        <v>678</v>
      </c>
      <c r="AT151" t="s">
        <v>679</v>
      </c>
      <c r="AV151" t="s">
        <v>680</v>
      </c>
      <c r="AW151" t="s">
        <v>681</v>
      </c>
      <c r="AX151" t="s">
        <v>682</v>
      </c>
      <c r="AZ151" s="8" t="s">
        <v>56</v>
      </c>
      <c r="BA151" s="1">
        <v>8.6400000000000001E-3</v>
      </c>
      <c r="BB151" s="1">
        <v>2.5919999999999999E-2</v>
      </c>
      <c r="BC151" s="1">
        <v>8.6400000000000005E-2</v>
      </c>
      <c r="BD151" s="1">
        <v>0.25919999999999999</v>
      </c>
      <c r="BE151" s="1">
        <v>0.86399999999999999</v>
      </c>
      <c r="BF151" s="1">
        <v>2.5920000000000001</v>
      </c>
      <c r="BG151" s="1">
        <v>8.64</v>
      </c>
      <c r="BH151" s="1">
        <v>25.92</v>
      </c>
      <c r="BI151" s="1">
        <v>86.4</v>
      </c>
    </row>
    <row r="152" spans="1:61" x14ac:dyDescent="0.45">
      <c r="A152" t="s">
        <v>744</v>
      </c>
      <c r="B152">
        <v>5400000</v>
      </c>
      <c r="C152" s="1">
        <v>5.4825777342298486E-4</v>
      </c>
      <c r="D152" s="1">
        <v>5.4825777342298489E-6</v>
      </c>
      <c r="E152" s="1">
        <v>5.4825777342298486E-4</v>
      </c>
      <c r="F152" s="1">
        <v>5.4825777342298489E-6</v>
      </c>
      <c r="G152" s="1">
        <v>5.4825777342298486E-4</v>
      </c>
      <c r="H152" s="2">
        <v>151</v>
      </c>
      <c r="I152">
        <v>36000</v>
      </c>
      <c r="U152">
        <v>2100</v>
      </c>
      <c r="V152">
        <v>54000</v>
      </c>
      <c r="W152" s="1">
        <v>6.8402085428227407E-4</v>
      </c>
      <c r="X152" s="1">
        <f t="shared" si="18"/>
        <v>6.8402085428227409E-6</v>
      </c>
      <c r="Y152" s="1">
        <f t="shared" si="19"/>
        <v>6.8402085428227407E-4</v>
      </c>
      <c r="Z152" s="1">
        <f t="shared" si="20"/>
        <v>6.8402085428227409E-6</v>
      </c>
      <c r="AA152" s="1">
        <f t="shared" si="21"/>
        <v>6.8402085428227407E-4</v>
      </c>
      <c r="AE152" s="8" t="s">
        <v>46</v>
      </c>
      <c r="AF152" s="1">
        <v>43.2</v>
      </c>
      <c r="AG152" s="1">
        <v>43.2</v>
      </c>
      <c r="AH152" s="1">
        <v>43.2</v>
      </c>
      <c r="AI152" s="1">
        <v>43.2</v>
      </c>
      <c r="AJ152" s="1">
        <v>43.2</v>
      </c>
      <c r="AK152" s="1">
        <v>43.2</v>
      </c>
      <c r="AL152" s="1">
        <v>43.2</v>
      </c>
      <c r="AM152" s="1">
        <v>43.2</v>
      </c>
      <c r="AO152" s="8" t="s">
        <v>46</v>
      </c>
      <c r="AP152" s="1">
        <v>8.6400000000000001E-3</v>
      </c>
      <c r="AQ152" s="1">
        <v>2.5919999999999999E-2</v>
      </c>
      <c r="AR152" s="1">
        <v>8.6400000000000005E-2</v>
      </c>
      <c r="AS152" s="1">
        <v>0.25919999999999999</v>
      </c>
      <c r="AT152" s="1">
        <v>0.86399999999999999</v>
      </c>
      <c r="AU152" s="1">
        <v>2.5920000000000001</v>
      </c>
      <c r="AV152" s="1">
        <v>8.64</v>
      </c>
      <c r="AW152" s="1">
        <v>25.92</v>
      </c>
      <c r="AX152" s="1">
        <v>86.4</v>
      </c>
      <c r="AZ152" s="8" t="s">
        <v>60</v>
      </c>
      <c r="BA152" s="1">
        <v>8.6400000000000001E-3</v>
      </c>
      <c r="BB152" s="1">
        <v>2.5919999999999999E-2</v>
      </c>
      <c r="BC152" s="1">
        <v>8.6400000000000005E-2</v>
      </c>
      <c r="BD152" s="1">
        <v>0.25919999999999999</v>
      </c>
      <c r="BE152" s="1">
        <v>0.86399999999999999</v>
      </c>
      <c r="BF152" s="1">
        <v>2.5920000000000001</v>
      </c>
      <c r="BG152" s="1">
        <v>8.64</v>
      </c>
      <c r="BH152" s="1">
        <v>25.92</v>
      </c>
      <c r="BI152" s="1">
        <v>86.4</v>
      </c>
    </row>
    <row r="153" spans="1:61" x14ac:dyDescent="0.45">
      <c r="A153" t="s">
        <v>745</v>
      </c>
      <c r="B153">
        <v>5436000</v>
      </c>
      <c r="C153" s="1">
        <v>5.663516283709025E-4</v>
      </c>
      <c r="D153" s="1">
        <v>5.663516283709025E-6</v>
      </c>
      <c r="E153" s="1">
        <v>5.663516283709025E-4</v>
      </c>
      <c r="F153" s="1">
        <v>5.663516283709025E-6</v>
      </c>
      <c r="G153" s="1">
        <v>5.663516283709025E-4</v>
      </c>
      <c r="H153" s="2">
        <v>152</v>
      </c>
      <c r="I153">
        <v>36000</v>
      </c>
      <c r="U153">
        <v>2101</v>
      </c>
      <c r="V153">
        <v>54360</v>
      </c>
      <c r="W153" s="1">
        <v>5.6115552392589597E-4</v>
      </c>
      <c r="X153" s="1">
        <f t="shared" si="18"/>
        <v>5.6115552392589597E-6</v>
      </c>
      <c r="Y153" s="1">
        <f t="shared" si="19"/>
        <v>5.6115552392589597E-4</v>
      </c>
      <c r="Z153" s="1">
        <f t="shared" si="20"/>
        <v>5.6115552392589597E-6</v>
      </c>
      <c r="AA153" s="1">
        <f t="shared" si="21"/>
        <v>5.6115552392589597E-4</v>
      </c>
      <c r="AE153" s="9" t="s">
        <v>50</v>
      </c>
      <c r="AF153" s="10">
        <v>8.6399999999999999E-9</v>
      </c>
      <c r="AG153" s="10">
        <v>8.6400000000000006E-8</v>
      </c>
      <c r="AH153" s="10">
        <v>8.6400000000000001E-7</v>
      </c>
      <c r="AI153" s="10">
        <v>8.6400000000000003E-6</v>
      </c>
      <c r="AJ153" s="10">
        <v>8.6399999999999999E-5</v>
      </c>
      <c r="AK153" s="10">
        <v>8.6399999999999997E-4</v>
      </c>
      <c r="AL153" s="10">
        <v>8.6400000000000001E-3</v>
      </c>
      <c r="AM153" s="10">
        <v>8.6400000000000005E-2</v>
      </c>
      <c r="AO153" s="9" t="s">
        <v>50</v>
      </c>
      <c r="AP153" s="10">
        <v>8.6399999999999997E-4</v>
      </c>
      <c r="AQ153" s="10">
        <v>8.6399999999999997E-4</v>
      </c>
      <c r="AR153" s="10">
        <v>8.6399999999999997E-4</v>
      </c>
      <c r="AS153" s="10">
        <v>8.6399999999999997E-4</v>
      </c>
      <c r="AT153" s="10">
        <v>8.6399999999999997E-4</v>
      </c>
      <c r="AU153" s="10">
        <v>8.6399999999999997E-4</v>
      </c>
      <c r="AV153" s="10">
        <v>8.6399999999999997E-4</v>
      </c>
      <c r="AW153" s="10">
        <v>8.6399999999999997E-4</v>
      </c>
      <c r="AX153" s="10">
        <v>8.6399999999999997E-4</v>
      </c>
      <c r="AZ153" s="9" t="s">
        <v>61</v>
      </c>
      <c r="BA153" s="10">
        <v>2.5920000000000001E-4</v>
      </c>
      <c r="BB153" s="10">
        <v>2.5920000000000001E-4</v>
      </c>
      <c r="BC153" s="10">
        <v>2.5920000000000001E-4</v>
      </c>
      <c r="BD153" s="10">
        <v>2.5920000000000001E-4</v>
      </c>
      <c r="BE153" s="10">
        <v>2.5920000000000001E-4</v>
      </c>
      <c r="BF153" s="10">
        <v>2.5920000000000001E-4</v>
      </c>
      <c r="BG153" s="10">
        <v>2.5920000000000001E-4</v>
      </c>
      <c r="BH153" s="10">
        <v>2.5920000000000001E-4</v>
      </c>
      <c r="BI153" s="10">
        <v>2.5920000000000001E-4</v>
      </c>
    </row>
    <row r="154" spans="1:61" x14ac:dyDescent="0.45">
      <c r="A154" t="s">
        <v>746</v>
      </c>
      <c r="B154">
        <v>5472000</v>
      </c>
      <c r="C154" s="1">
        <v>5.4617208903741019E-4</v>
      </c>
      <c r="D154" s="1">
        <v>5.4617208903741022E-6</v>
      </c>
      <c r="E154" s="1">
        <v>5.4617208903741019E-4</v>
      </c>
      <c r="F154" s="1">
        <v>5.4617208903741022E-6</v>
      </c>
      <c r="G154" s="1">
        <v>5.4617208903741019E-4</v>
      </c>
      <c r="H154" s="2">
        <v>153</v>
      </c>
      <c r="I154">
        <v>36000</v>
      </c>
      <c r="U154">
        <v>2102</v>
      </c>
      <c r="V154">
        <v>20000000</v>
      </c>
      <c r="W154" s="1">
        <v>5.6175108458420442E-4</v>
      </c>
      <c r="X154" s="1">
        <f t="shared" si="18"/>
        <v>5.6175108458420442E-6</v>
      </c>
      <c r="Y154" s="1">
        <f t="shared" si="19"/>
        <v>5.6175108458420442E-4</v>
      </c>
      <c r="Z154" s="1">
        <f t="shared" si="20"/>
        <v>5.6175108458420442E-6</v>
      </c>
      <c r="AA154" s="1">
        <f t="shared" si="21"/>
        <v>5.6175108458420442E-4</v>
      </c>
      <c r="AE154" s="8" t="s">
        <v>52</v>
      </c>
      <c r="AF154" s="1">
        <v>43.2</v>
      </c>
      <c r="AG154" s="1">
        <v>43.2</v>
      </c>
      <c r="AH154" s="1">
        <v>43.2</v>
      </c>
      <c r="AI154" s="1">
        <v>43.2</v>
      </c>
      <c r="AJ154" s="1">
        <v>43.2</v>
      </c>
      <c r="AK154" s="1">
        <v>43.2</v>
      </c>
      <c r="AL154" s="1">
        <v>43.2</v>
      </c>
      <c r="AM154" s="1">
        <v>43.2</v>
      </c>
      <c r="AO154" s="8" t="s">
        <v>52</v>
      </c>
      <c r="AP154" s="1">
        <v>8.6400000000000001E-3</v>
      </c>
      <c r="AQ154" s="1">
        <v>2.5919999999999999E-2</v>
      </c>
      <c r="AR154" s="1">
        <v>8.6400000000000005E-2</v>
      </c>
      <c r="AS154" s="1">
        <v>0.25919999999999999</v>
      </c>
      <c r="AT154" s="1">
        <v>0.86399999999999999</v>
      </c>
      <c r="AU154" s="1">
        <v>2.5920000000000001</v>
      </c>
      <c r="AV154" s="1">
        <v>8.64</v>
      </c>
      <c r="AW154" s="1">
        <v>25.92</v>
      </c>
      <c r="AX154" s="1">
        <v>86.4</v>
      </c>
      <c r="AZ154" s="8" t="s">
        <v>62</v>
      </c>
      <c r="BA154" s="1">
        <v>8.6400000000000001E-3</v>
      </c>
      <c r="BB154" s="1">
        <v>2.5919999999999999E-2</v>
      </c>
      <c r="BC154" s="1">
        <v>8.6400000000000005E-2</v>
      </c>
      <c r="BD154" s="1">
        <v>0.25919999999999999</v>
      </c>
      <c r="BE154" s="1">
        <v>0.86399999999999999</v>
      </c>
      <c r="BF154" s="1">
        <v>2.5920000000000001</v>
      </c>
      <c r="BG154" s="1">
        <v>8.64</v>
      </c>
      <c r="BH154" s="1">
        <v>25.92</v>
      </c>
      <c r="BI154" s="1">
        <v>86.4</v>
      </c>
    </row>
    <row r="155" spans="1:61" x14ac:dyDescent="0.45">
      <c r="A155" t="s">
        <v>747</v>
      </c>
      <c r="B155">
        <v>5508000</v>
      </c>
      <c r="C155" s="1">
        <v>5.4297521962481823E-4</v>
      </c>
      <c r="D155" s="1">
        <v>5.4297521962481822E-6</v>
      </c>
      <c r="E155" s="1">
        <v>5.4297521962481823E-4</v>
      </c>
      <c r="F155" s="1">
        <v>5.4297521962481822E-6</v>
      </c>
      <c r="G155" s="1">
        <v>5.4297521962481823E-4</v>
      </c>
      <c r="H155" s="2">
        <v>154</v>
      </c>
      <c r="I155">
        <v>36000</v>
      </c>
      <c r="AE155" s="9" t="s">
        <v>54</v>
      </c>
      <c r="AF155" s="10">
        <v>8.6399999999999999E-9</v>
      </c>
      <c r="AG155" s="10">
        <v>8.6400000000000006E-8</v>
      </c>
      <c r="AH155" s="10">
        <v>8.6400000000000001E-7</v>
      </c>
      <c r="AI155" s="10">
        <v>8.6400000000000003E-6</v>
      </c>
      <c r="AJ155" s="10">
        <v>8.6399999999999999E-5</v>
      </c>
      <c r="AK155" s="10">
        <v>8.6399999999999997E-4</v>
      </c>
      <c r="AL155" s="10">
        <v>8.6400000000000001E-3</v>
      </c>
      <c r="AM155" s="10">
        <v>8.6400000000000005E-2</v>
      </c>
      <c r="AO155" s="9" t="s">
        <v>54</v>
      </c>
      <c r="AP155" s="10">
        <v>8.6399999999999997E-4</v>
      </c>
      <c r="AQ155" s="10">
        <v>8.6399999999999997E-4</v>
      </c>
      <c r="AR155" s="10">
        <v>8.6399999999999997E-4</v>
      </c>
      <c r="AS155" s="10">
        <v>8.6399999999999997E-4</v>
      </c>
      <c r="AT155" s="10">
        <v>8.6399999999999997E-4</v>
      </c>
      <c r="AU155" s="10">
        <v>8.6399999999999997E-4</v>
      </c>
      <c r="AV155" s="10">
        <v>8.6399999999999997E-4</v>
      </c>
      <c r="AW155" s="10">
        <v>8.6399999999999997E-4</v>
      </c>
      <c r="AX155" s="10">
        <v>8.6399999999999997E-4</v>
      </c>
      <c r="AZ155" s="9" t="s">
        <v>63</v>
      </c>
      <c r="BA155" s="10">
        <v>2.5920000000000001E-4</v>
      </c>
      <c r="BB155" s="10">
        <v>2.5920000000000001E-4</v>
      </c>
      <c r="BC155" s="10">
        <v>2.5920000000000001E-4</v>
      </c>
      <c r="BD155" s="10">
        <v>2.5920000000000001E-4</v>
      </c>
      <c r="BE155" s="10">
        <v>2.5920000000000001E-4</v>
      </c>
      <c r="BF155" s="10">
        <v>2.5920000000000001E-4</v>
      </c>
      <c r="BG155" s="10">
        <v>2.5920000000000001E-4</v>
      </c>
      <c r="BH155" s="10">
        <v>2.5920000000000001E-4</v>
      </c>
      <c r="BI155" s="10">
        <v>2.5920000000000001E-4</v>
      </c>
    </row>
    <row r="156" spans="1:61" x14ac:dyDescent="0.45">
      <c r="A156" t="s">
        <v>748</v>
      </c>
      <c r="B156">
        <v>5544000</v>
      </c>
      <c r="C156" s="1">
        <v>5.4256348540342549E-4</v>
      </c>
      <c r="D156" s="1">
        <v>5.4256348540342546E-6</v>
      </c>
      <c r="E156" s="1">
        <v>5.4256348540342549E-4</v>
      </c>
      <c r="F156" s="1">
        <v>5.4256348540342546E-6</v>
      </c>
      <c r="G156" s="1">
        <v>5.4256348540342549E-4</v>
      </c>
      <c r="H156" s="2">
        <v>155</v>
      </c>
      <c r="I156">
        <v>36000</v>
      </c>
      <c r="AE156" s="8" t="s">
        <v>56</v>
      </c>
      <c r="AF156" s="1">
        <v>43.2</v>
      </c>
      <c r="AG156" s="1">
        <v>43.2</v>
      </c>
      <c r="AH156" s="1">
        <v>43.2</v>
      </c>
      <c r="AI156" s="1">
        <v>43.2</v>
      </c>
      <c r="AJ156" s="1">
        <v>43.2</v>
      </c>
      <c r="AK156" s="1">
        <v>43.2</v>
      </c>
      <c r="AL156" s="1">
        <v>43.2</v>
      </c>
      <c r="AM156" s="1">
        <v>43.2</v>
      </c>
      <c r="AO156" s="8" t="s">
        <v>56</v>
      </c>
      <c r="AP156" s="1">
        <v>8.6400000000000001E-3</v>
      </c>
      <c r="AQ156" s="1">
        <v>2.5919999999999999E-2</v>
      </c>
      <c r="AR156" s="1">
        <v>8.6400000000000005E-2</v>
      </c>
      <c r="AS156" s="1">
        <v>0.25919999999999999</v>
      </c>
      <c r="AT156" s="1">
        <v>0.86399999999999999</v>
      </c>
      <c r="AU156" s="1">
        <v>2.5920000000000001</v>
      </c>
      <c r="AV156" s="1">
        <v>8.64</v>
      </c>
      <c r="AW156" s="1">
        <v>25.92</v>
      </c>
      <c r="AX156" s="1">
        <v>86.4</v>
      </c>
      <c r="AZ156" s="8" t="s">
        <v>64</v>
      </c>
      <c r="BA156" s="1">
        <v>8.6400000000000001E-3</v>
      </c>
      <c r="BB156" s="1">
        <v>2.5919999999999999E-2</v>
      </c>
      <c r="BC156" s="1">
        <v>8.6400000000000005E-2</v>
      </c>
      <c r="BD156" s="1">
        <v>0.25919999999999999</v>
      </c>
      <c r="BE156" s="1">
        <v>0.86399999999999999</v>
      </c>
      <c r="BF156" s="1">
        <v>2.5920000000000001</v>
      </c>
      <c r="BG156" s="1">
        <v>8.64</v>
      </c>
      <c r="BH156" s="1">
        <v>25.92</v>
      </c>
      <c r="BI156" s="1">
        <v>86.4</v>
      </c>
    </row>
    <row r="157" spans="1:61" x14ac:dyDescent="0.45">
      <c r="A157" t="s">
        <v>749</v>
      </c>
      <c r="B157">
        <v>5580000</v>
      </c>
      <c r="C157" s="1">
        <v>5.4590872240150234E-4</v>
      </c>
      <c r="D157" s="1">
        <v>5.459087224015024E-6</v>
      </c>
      <c r="E157" s="1">
        <v>5.4590872240150234E-4</v>
      </c>
      <c r="F157" s="1">
        <v>5.459087224015024E-6</v>
      </c>
      <c r="G157" s="1">
        <v>5.4590872240150234E-4</v>
      </c>
      <c r="H157" s="2">
        <v>156</v>
      </c>
      <c r="I157">
        <v>36000</v>
      </c>
      <c r="AE157" s="8" t="s">
        <v>60</v>
      </c>
      <c r="AF157" s="1">
        <v>43.2</v>
      </c>
      <c r="AG157" s="1">
        <v>43.2</v>
      </c>
      <c r="AH157" s="1">
        <v>43.2</v>
      </c>
      <c r="AI157" s="1">
        <v>43.2</v>
      </c>
      <c r="AJ157" s="1">
        <v>43.2</v>
      </c>
      <c r="AK157" s="1">
        <v>43.2</v>
      </c>
      <c r="AL157" s="1">
        <v>43.2</v>
      </c>
      <c r="AM157" s="1">
        <v>43.2</v>
      </c>
      <c r="AO157" s="8" t="s">
        <v>60</v>
      </c>
      <c r="AP157" s="1">
        <v>8.6400000000000001E-3</v>
      </c>
      <c r="AQ157" s="1">
        <v>2.5919999999999999E-2</v>
      </c>
      <c r="AR157" s="1">
        <v>8.6400000000000005E-2</v>
      </c>
      <c r="AS157" s="1">
        <v>0.25919999999999999</v>
      </c>
      <c r="AT157" s="1">
        <v>0.86399999999999999</v>
      </c>
      <c r="AU157" s="1">
        <v>2.5920000000000001</v>
      </c>
      <c r="AV157" s="1">
        <v>8.64</v>
      </c>
      <c r="AW157" s="1">
        <v>25.92</v>
      </c>
      <c r="AX157" s="1">
        <v>86.4</v>
      </c>
      <c r="BF157" s="1"/>
    </row>
    <row r="158" spans="1:61" x14ac:dyDescent="0.45">
      <c r="A158" t="s">
        <v>750</v>
      </c>
      <c r="B158">
        <v>5616000</v>
      </c>
      <c r="C158" s="1">
        <v>5.2345676796947322E-4</v>
      </c>
      <c r="D158" s="1">
        <v>5.2345676796947313E-6</v>
      </c>
      <c r="E158" s="1">
        <v>5.2345676796947322E-4</v>
      </c>
      <c r="F158" s="1">
        <v>5.2345676796947313E-6</v>
      </c>
      <c r="G158" s="1">
        <v>5.2345676796947322E-4</v>
      </c>
      <c r="H158" s="2">
        <v>157</v>
      </c>
      <c r="I158">
        <v>36000</v>
      </c>
      <c r="AE158" s="9" t="s">
        <v>61</v>
      </c>
      <c r="AF158" s="10">
        <v>8.6399999999999999E-9</v>
      </c>
      <c r="AG158" s="10">
        <v>8.6400000000000006E-8</v>
      </c>
      <c r="AH158" s="10">
        <v>8.6400000000000001E-7</v>
      </c>
      <c r="AI158" s="10">
        <v>8.6400000000000003E-6</v>
      </c>
      <c r="AJ158" s="10">
        <v>8.6399999999999999E-5</v>
      </c>
      <c r="AK158" s="10">
        <v>8.6399999999999997E-4</v>
      </c>
      <c r="AL158" s="10">
        <v>8.6400000000000001E-3</v>
      </c>
      <c r="AM158" s="10">
        <v>8.6400000000000005E-2</v>
      </c>
      <c r="AO158" s="9" t="s">
        <v>61</v>
      </c>
      <c r="AP158" s="10">
        <v>8.6399999999999997E-4</v>
      </c>
      <c r="AQ158" s="10">
        <v>8.6399999999999997E-4</v>
      </c>
      <c r="AR158" s="10">
        <v>8.6399999999999997E-4</v>
      </c>
      <c r="AS158" s="10">
        <v>8.6399999999999997E-4</v>
      </c>
      <c r="AT158" s="10">
        <v>8.6399999999999997E-4</v>
      </c>
      <c r="AU158" s="10">
        <v>8.6399999999999997E-4</v>
      </c>
      <c r="AV158" s="10">
        <v>8.6399999999999997E-4</v>
      </c>
      <c r="AW158" s="10">
        <v>8.6399999999999997E-4</v>
      </c>
      <c r="AX158" s="10">
        <v>8.6399999999999997E-4</v>
      </c>
    </row>
    <row r="159" spans="1:61" x14ac:dyDescent="0.45">
      <c r="A159" t="s">
        <v>751</v>
      </c>
      <c r="B159">
        <v>5652000</v>
      </c>
      <c r="C159" s="1">
        <v>5.4439518670728704E-4</v>
      </c>
      <c r="D159" s="1">
        <v>5.443951867072871E-6</v>
      </c>
      <c r="E159" s="1">
        <v>5.4439518670728704E-4</v>
      </c>
      <c r="F159" s="1">
        <v>5.443951867072871E-6</v>
      </c>
      <c r="G159" s="1">
        <v>5.4439518670728704E-4</v>
      </c>
      <c r="H159" s="2">
        <v>158</v>
      </c>
      <c r="I159">
        <v>36000</v>
      </c>
      <c r="AE159" s="8" t="s">
        <v>62</v>
      </c>
      <c r="AF159" s="1">
        <v>43.2</v>
      </c>
      <c r="AG159" s="1">
        <v>43.2</v>
      </c>
      <c r="AH159" s="1">
        <v>43.2</v>
      </c>
      <c r="AI159" s="1">
        <v>43.2</v>
      </c>
      <c r="AJ159" s="1">
        <v>43.2</v>
      </c>
      <c r="AK159" s="1">
        <v>43.2</v>
      </c>
      <c r="AL159" s="1">
        <v>43.2</v>
      </c>
      <c r="AM159" s="1">
        <v>43.2</v>
      </c>
      <c r="AO159" s="8" t="s">
        <v>62</v>
      </c>
      <c r="AP159" s="1">
        <v>8.6400000000000001E-3</v>
      </c>
      <c r="AQ159" s="1">
        <v>2.5919999999999999E-2</v>
      </c>
      <c r="AR159" s="1">
        <v>8.6400000000000005E-2</v>
      </c>
      <c r="AS159" s="1">
        <v>0.25919999999999999</v>
      </c>
      <c r="AT159" s="1">
        <v>0.86399999999999999</v>
      </c>
      <c r="AU159" s="1">
        <v>2.5920000000000001</v>
      </c>
      <c r="AV159" s="1">
        <v>8.64</v>
      </c>
      <c r="AW159" s="1">
        <v>25.92</v>
      </c>
      <c r="AX159" s="1">
        <v>86.4</v>
      </c>
      <c r="AZ159" t="s">
        <v>39</v>
      </c>
      <c r="BA159" t="s">
        <v>676</v>
      </c>
      <c r="BB159" t="s">
        <v>677</v>
      </c>
      <c r="BC159" t="s">
        <v>678</v>
      </c>
      <c r="BE159" t="s">
        <v>679</v>
      </c>
      <c r="BG159" t="s">
        <v>680</v>
      </c>
      <c r="BH159" t="s">
        <v>681</v>
      </c>
      <c r="BI159" t="s">
        <v>682</v>
      </c>
    </row>
    <row r="160" spans="1:61" x14ac:dyDescent="0.45">
      <c r="A160" t="s">
        <v>752</v>
      </c>
      <c r="B160">
        <v>5688000</v>
      </c>
      <c r="C160" s="1">
        <v>5.3960127816494844E-4</v>
      </c>
      <c r="D160" s="1">
        <v>5.3960127816494847E-6</v>
      </c>
      <c r="E160" s="1">
        <v>5.3960127816494844E-4</v>
      </c>
      <c r="F160" s="1">
        <v>5.3960127816494847E-6</v>
      </c>
      <c r="G160" s="1">
        <v>5.3960127816494844E-4</v>
      </c>
      <c r="H160" s="2">
        <v>159</v>
      </c>
      <c r="I160">
        <v>36000</v>
      </c>
      <c r="AE160" s="9" t="s">
        <v>63</v>
      </c>
      <c r="AF160" s="10">
        <v>8.6399999999999999E-9</v>
      </c>
      <c r="AG160" s="10">
        <v>8.6400000000000006E-8</v>
      </c>
      <c r="AH160" s="10">
        <v>8.6400000000000001E-7</v>
      </c>
      <c r="AI160" s="10">
        <v>8.6400000000000003E-6</v>
      </c>
      <c r="AJ160" s="10">
        <v>8.6399999999999999E-5</v>
      </c>
      <c r="AK160" s="10">
        <v>8.6399999999999997E-4</v>
      </c>
      <c r="AL160" s="10">
        <v>8.6400000000000001E-3</v>
      </c>
      <c r="AM160" s="10">
        <v>8.6400000000000005E-2</v>
      </c>
      <c r="AO160" s="9" t="s">
        <v>63</v>
      </c>
      <c r="AP160" s="10">
        <v>8.6399999999999997E-4</v>
      </c>
      <c r="AQ160" s="10">
        <v>8.6399999999999997E-4</v>
      </c>
      <c r="AR160" s="10">
        <v>8.6399999999999997E-4</v>
      </c>
      <c r="AS160" s="10">
        <v>8.6399999999999997E-4</v>
      </c>
      <c r="AT160" s="10">
        <v>8.6399999999999997E-4</v>
      </c>
      <c r="AU160" s="10">
        <v>8.6399999999999997E-4</v>
      </c>
      <c r="AV160" s="10">
        <v>8.6399999999999997E-4</v>
      </c>
      <c r="AW160" s="10">
        <v>8.6399999999999997E-4</v>
      </c>
      <c r="AX160" s="10">
        <v>8.6399999999999997E-4</v>
      </c>
      <c r="AZ160" s="8" t="s">
        <v>46</v>
      </c>
      <c r="BA160" s="1">
        <v>8.6400000000000001E-3</v>
      </c>
      <c r="BB160" s="1">
        <v>2.5919999999999999E-2</v>
      </c>
      <c r="BC160" s="1">
        <v>8.6400000000000005E-2</v>
      </c>
      <c r="BD160" s="1">
        <v>0.25919999999999999</v>
      </c>
      <c r="BE160" s="1">
        <v>0.86399999999999999</v>
      </c>
      <c r="BF160" s="1">
        <v>2.5920000000000001</v>
      </c>
      <c r="BG160" s="1">
        <v>8.64</v>
      </c>
      <c r="BH160" s="1">
        <v>25.92</v>
      </c>
      <c r="BI160" s="1">
        <v>86.4</v>
      </c>
    </row>
    <row r="161" spans="1:61" x14ac:dyDescent="0.45">
      <c r="A161" t="s">
        <v>753</v>
      </c>
      <c r="B161">
        <v>5724000</v>
      </c>
      <c r="C161" s="1">
        <v>5.4195836026967969E-4</v>
      </c>
      <c r="D161" s="1">
        <v>5.4195836026967966E-6</v>
      </c>
      <c r="E161" s="1">
        <v>5.4195836026967969E-4</v>
      </c>
      <c r="F161" s="1">
        <v>5.4195836026967966E-6</v>
      </c>
      <c r="G161" s="1">
        <v>5.4195836026967969E-4</v>
      </c>
      <c r="H161" s="2">
        <v>160</v>
      </c>
      <c r="I161">
        <v>36000</v>
      </c>
      <c r="AE161" s="8" t="s">
        <v>64</v>
      </c>
      <c r="AF161" s="1">
        <v>43.2</v>
      </c>
      <c r="AG161" s="1">
        <v>43.2</v>
      </c>
      <c r="AH161" s="1">
        <v>43.2</v>
      </c>
      <c r="AI161" s="1">
        <v>43.2</v>
      </c>
      <c r="AJ161" s="1">
        <v>43.2</v>
      </c>
      <c r="AK161" s="1">
        <v>43.2</v>
      </c>
      <c r="AL161" s="1">
        <v>43.2</v>
      </c>
      <c r="AM161" s="1">
        <v>43.2</v>
      </c>
      <c r="AO161" s="8" t="s">
        <v>64</v>
      </c>
      <c r="AP161" s="1">
        <v>8.6400000000000001E-3</v>
      </c>
      <c r="AQ161" s="1">
        <v>2.5919999999999999E-2</v>
      </c>
      <c r="AR161" s="1">
        <v>8.6400000000000005E-2</v>
      </c>
      <c r="AS161" s="1">
        <v>0.25919999999999999</v>
      </c>
      <c r="AT161" s="1">
        <v>0.86399999999999999</v>
      </c>
      <c r="AU161" s="1">
        <v>2.5920000000000001</v>
      </c>
      <c r="AV161" s="1">
        <v>8.64</v>
      </c>
      <c r="AW161" s="1">
        <v>25.92</v>
      </c>
      <c r="AX161" s="1">
        <v>86.4</v>
      </c>
      <c r="AZ161" s="9" t="s">
        <v>50</v>
      </c>
      <c r="BA161" s="10">
        <v>2.5920000000000001E-3</v>
      </c>
      <c r="BB161" s="10">
        <v>2.5920000000000001E-3</v>
      </c>
      <c r="BC161" s="10">
        <v>2.5920000000000001E-3</v>
      </c>
      <c r="BD161" s="10">
        <v>2.5920000000000001E-3</v>
      </c>
      <c r="BE161" s="10">
        <v>2.5920000000000001E-3</v>
      </c>
      <c r="BF161" s="10">
        <v>2.5920000000000001E-3</v>
      </c>
      <c r="BG161" s="10">
        <v>2.5920000000000001E-3</v>
      </c>
      <c r="BH161" s="10">
        <v>2.5920000000000001E-3</v>
      </c>
      <c r="BI161" s="10">
        <v>2.5920000000000001E-3</v>
      </c>
    </row>
    <row r="162" spans="1:61" x14ac:dyDescent="0.45">
      <c r="A162" t="s">
        <v>754</v>
      </c>
      <c r="B162">
        <v>5760000</v>
      </c>
      <c r="C162" s="1">
        <v>5.6842831772850144E-4</v>
      </c>
      <c r="D162" s="1">
        <v>5.6842831772850141E-6</v>
      </c>
      <c r="E162" s="1">
        <v>5.6842831772850144E-4</v>
      </c>
      <c r="F162" s="1">
        <v>5.6842831772850141E-6</v>
      </c>
      <c r="G162" s="1">
        <v>5.6842831772850144E-4</v>
      </c>
      <c r="H162" s="2">
        <v>161</v>
      </c>
      <c r="I162">
        <v>36000</v>
      </c>
      <c r="AZ162" s="8" t="s">
        <v>52</v>
      </c>
      <c r="BA162" s="1">
        <v>8.6400000000000001E-3</v>
      </c>
      <c r="BB162" s="1">
        <v>2.5919999999999999E-2</v>
      </c>
      <c r="BC162" s="1">
        <v>8.6400000000000005E-2</v>
      </c>
      <c r="BD162" s="1">
        <v>0.25919999999999999</v>
      </c>
      <c r="BE162" s="1">
        <v>0.86399999999999999</v>
      </c>
      <c r="BF162" s="1">
        <v>2.5920000000000001</v>
      </c>
      <c r="BG162" s="1">
        <v>8.64</v>
      </c>
      <c r="BH162" s="1">
        <v>25.92</v>
      </c>
      <c r="BI162" s="1">
        <v>86.4</v>
      </c>
    </row>
    <row r="163" spans="1:61" x14ac:dyDescent="0.45">
      <c r="A163" t="s">
        <v>755</v>
      </c>
      <c r="B163">
        <v>5796000</v>
      </c>
      <c r="C163" s="1">
        <v>5.1683819506558352E-4</v>
      </c>
      <c r="D163" s="1">
        <v>5.1683819506558351E-6</v>
      </c>
      <c r="E163" s="1">
        <v>5.1683819506558352E-4</v>
      </c>
      <c r="F163" s="1">
        <v>5.1683819506558351E-6</v>
      </c>
      <c r="G163" s="1">
        <v>5.1683819506558352E-4</v>
      </c>
      <c r="H163" s="2">
        <v>162</v>
      </c>
      <c r="I163">
        <v>36000</v>
      </c>
      <c r="AE163" t="s">
        <v>39</v>
      </c>
      <c r="AF163" t="s">
        <v>676</v>
      </c>
      <c r="AG163" t="s">
        <v>677</v>
      </c>
      <c r="AH163" t="s">
        <v>678</v>
      </c>
      <c r="AI163" t="s">
        <v>679</v>
      </c>
      <c r="AJ163" t="s">
        <v>680</v>
      </c>
      <c r="AK163" t="s">
        <v>681</v>
      </c>
      <c r="AL163" t="s">
        <v>682</v>
      </c>
      <c r="AM163" t="s">
        <v>683</v>
      </c>
      <c r="AO163" t="s">
        <v>39</v>
      </c>
      <c r="AP163" t="s">
        <v>676</v>
      </c>
      <c r="AQ163" t="s">
        <v>677</v>
      </c>
      <c r="AR163" t="s">
        <v>678</v>
      </c>
      <c r="AT163" t="s">
        <v>679</v>
      </c>
      <c r="AV163" t="s">
        <v>680</v>
      </c>
      <c r="AW163" t="s">
        <v>681</v>
      </c>
      <c r="AX163" t="s">
        <v>682</v>
      </c>
      <c r="AZ163" s="9" t="s">
        <v>54</v>
      </c>
      <c r="BA163" s="10">
        <v>2.5920000000000001E-3</v>
      </c>
      <c r="BB163" s="10">
        <v>2.5920000000000001E-3</v>
      </c>
      <c r="BC163" s="10">
        <v>2.5920000000000001E-3</v>
      </c>
      <c r="BD163" s="10">
        <v>2.5920000000000001E-3</v>
      </c>
      <c r="BE163" s="10">
        <v>2.5920000000000001E-3</v>
      </c>
      <c r="BF163" s="10">
        <v>2.5920000000000001E-3</v>
      </c>
      <c r="BG163" s="10">
        <v>2.5920000000000001E-3</v>
      </c>
      <c r="BH163" s="10">
        <v>2.5920000000000001E-3</v>
      </c>
      <c r="BI163" s="10">
        <v>2.5920000000000001E-3</v>
      </c>
    </row>
    <row r="164" spans="1:61" x14ac:dyDescent="0.45">
      <c r="A164" t="s">
        <v>756</v>
      </c>
      <c r="B164">
        <v>5832000</v>
      </c>
      <c r="C164" s="1">
        <v>5.2843081926747686E-4</v>
      </c>
      <c r="D164" s="1">
        <v>5.2843081926747689E-6</v>
      </c>
      <c r="E164" s="1">
        <v>5.2843081926747686E-4</v>
      </c>
      <c r="F164" s="1">
        <v>5.2843081926747689E-6</v>
      </c>
      <c r="G164" s="1">
        <v>5.2843081926747686E-4</v>
      </c>
      <c r="H164" s="2">
        <v>163</v>
      </c>
      <c r="I164">
        <v>36000</v>
      </c>
      <c r="AE164" s="8" t="s">
        <v>46</v>
      </c>
      <c r="AF164" s="1">
        <v>86.4</v>
      </c>
      <c r="AG164" s="1">
        <v>86.4</v>
      </c>
      <c r="AH164" s="1">
        <v>86.4</v>
      </c>
      <c r="AI164" s="1">
        <v>86.4</v>
      </c>
      <c r="AJ164" s="1">
        <v>86.4</v>
      </c>
      <c r="AK164" s="1">
        <v>86.4</v>
      </c>
      <c r="AL164" s="1">
        <v>86.4</v>
      </c>
      <c r="AM164" s="1">
        <v>86.4</v>
      </c>
      <c r="AO164" s="8" t="s">
        <v>46</v>
      </c>
      <c r="AP164" s="1">
        <v>8.6400000000000001E-3</v>
      </c>
      <c r="AQ164" s="1">
        <v>2.5919999999999999E-2</v>
      </c>
      <c r="AR164" s="1">
        <v>8.6400000000000005E-2</v>
      </c>
      <c r="AS164" s="1">
        <v>0.25919999999999999</v>
      </c>
      <c r="AT164" s="1">
        <v>0.86399999999999999</v>
      </c>
      <c r="AU164" s="1">
        <v>2.5920000000000001</v>
      </c>
      <c r="AV164" s="1">
        <v>8.64</v>
      </c>
      <c r="AW164" s="1">
        <v>25.92</v>
      </c>
      <c r="AX164" s="1">
        <v>86.4</v>
      </c>
      <c r="AZ164" s="8" t="s">
        <v>56</v>
      </c>
      <c r="BA164" s="1">
        <v>8.6400000000000001E-3</v>
      </c>
      <c r="BB164" s="1">
        <v>2.5919999999999999E-2</v>
      </c>
      <c r="BC164" s="1">
        <v>8.6400000000000005E-2</v>
      </c>
      <c r="BD164" s="1">
        <v>0.25919999999999999</v>
      </c>
      <c r="BE164" s="1">
        <v>0.86399999999999999</v>
      </c>
      <c r="BF164" s="1">
        <v>2.5920000000000001</v>
      </c>
      <c r="BG164" s="1">
        <v>8.64</v>
      </c>
      <c r="BH164" s="1">
        <v>25.92</v>
      </c>
      <c r="BI164" s="1">
        <v>86.4</v>
      </c>
    </row>
    <row r="165" spans="1:61" x14ac:dyDescent="0.45">
      <c r="A165" t="s">
        <v>757</v>
      </c>
      <c r="B165">
        <v>5868000</v>
      </c>
      <c r="C165" s="1">
        <v>5.6692699380641199E-4</v>
      </c>
      <c r="D165" s="1">
        <v>5.6692699380641196E-6</v>
      </c>
      <c r="E165" s="1">
        <v>5.6692699380641199E-4</v>
      </c>
      <c r="F165" s="1">
        <v>5.6692699380641196E-6</v>
      </c>
      <c r="G165" s="1">
        <v>5.6692699380641199E-4</v>
      </c>
      <c r="H165" s="2">
        <v>164</v>
      </c>
      <c r="I165">
        <v>36000</v>
      </c>
      <c r="AE165" s="9" t="s">
        <v>50</v>
      </c>
      <c r="AF165" s="10">
        <v>8.6399999999999999E-9</v>
      </c>
      <c r="AG165" s="10">
        <v>8.6400000000000006E-8</v>
      </c>
      <c r="AH165" s="10">
        <v>8.6400000000000001E-7</v>
      </c>
      <c r="AI165" s="10">
        <v>8.6400000000000003E-6</v>
      </c>
      <c r="AJ165" s="10">
        <v>8.6399999999999999E-5</v>
      </c>
      <c r="AK165" s="10">
        <v>8.6399999999999997E-4</v>
      </c>
      <c r="AL165" s="10">
        <v>8.6400000000000001E-3</v>
      </c>
      <c r="AM165" s="10">
        <v>8.6400000000000005E-2</v>
      </c>
      <c r="AO165" s="9" t="s">
        <v>50</v>
      </c>
      <c r="AP165" s="10">
        <v>8.6400000000000001E-3</v>
      </c>
      <c r="AQ165" s="10">
        <v>8.6400000000000001E-3</v>
      </c>
      <c r="AR165" s="10">
        <v>8.6400000000000001E-3</v>
      </c>
      <c r="AS165" s="10">
        <v>8.6400000000000001E-3</v>
      </c>
      <c r="AT165" s="10">
        <v>8.6400000000000001E-3</v>
      </c>
      <c r="AU165" s="10">
        <v>8.6400000000000001E-3</v>
      </c>
      <c r="AV165" s="10">
        <v>8.6400000000000001E-3</v>
      </c>
      <c r="AW165" s="10">
        <v>8.6400000000000001E-3</v>
      </c>
      <c r="AX165" s="10">
        <v>8.6400000000000001E-3</v>
      </c>
      <c r="AZ165" s="8" t="s">
        <v>60</v>
      </c>
      <c r="BA165" s="1">
        <v>8.6400000000000001E-3</v>
      </c>
      <c r="BB165" s="1">
        <v>2.5919999999999999E-2</v>
      </c>
      <c r="BC165" s="1">
        <v>8.6400000000000005E-2</v>
      </c>
      <c r="BD165" s="1">
        <v>0.25919999999999999</v>
      </c>
      <c r="BE165" s="1">
        <v>0.86399999999999999</v>
      </c>
      <c r="BF165" s="1">
        <v>2.5920000000000001</v>
      </c>
      <c r="BG165" s="1">
        <v>8.64</v>
      </c>
      <c r="BH165" s="1">
        <v>25.92</v>
      </c>
      <c r="BI165" s="1">
        <v>86.4</v>
      </c>
    </row>
    <row r="166" spans="1:61" x14ac:dyDescent="0.45">
      <c r="A166" t="s">
        <v>758</v>
      </c>
      <c r="B166">
        <v>5904000</v>
      </c>
      <c r="C166" s="1">
        <v>5.9526873047479906E-4</v>
      </c>
      <c r="D166" s="1">
        <v>5.9526873047479897E-6</v>
      </c>
      <c r="E166" s="1">
        <v>5.9526873047479906E-4</v>
      </c>
      <c r="F166" s="1">
        <v>5.9526873047479897E-6</v>
      </c>
      <c r="G166" s="1">
        <v>5.9526873047479906E-4</v>
      </c>
      <c r="H166" s="2">
        <v>165</v>
      </c>
      <c r="I166">
        <v>36000</v>
      </c>
      <c r="AE166" s="8" t="s">
        <v>52</v>
      </c>
      <c r="AF166" s="1">
        <v>86.4</v>
      </c>
      <c r="AG166" s="1">
        <v>86.4</v>
      </c>
      <c r="AH166" s="1">
        <v>86.4</v>
      </c>
      <c r="AI166" s="1">
        <v>86.4</v>
      </c>
      <c r="AJ166" s="1">
        <v>86.4</v>
      </c>
      <c r="AK166" s="1">
        <v>86.4</v>
      </c>
      <c r="AL166" s="1">
        <v>86.4</v>
      </c>
      <c r="AM166" s="1">
        <v>86.4</v>
      </c>
      <c r="AO166" s="8" t="s">
        <v>52</v>
      </c>
      <c r="AP166" s="1">
        <v>8.6400000000000001E-3</v>
      </c>
      <c r="AQ166" s="1">
        <v>2.5919999999999999E-2</v>
      </c>
      <c r="AR166" s="1">
        <v>8.6400000000000005E-2</v>
      </c>
      <c r="AS166" s="1">
        <v>0.25919999999999999</v>
      </c>
      <c r="AT166" s="1">
        <v>0.86399999999999999</v>
      </c>
      <c r="AU166" s="1">
        <v>2.5920000000000001</v>
      </c>
      <c r="AV166" s="1">
        <v>8.64</v>
      </c>
      <c r="AW166" s="1">
        <v>25.92</v>
      </c>
      <c r="AX166" s="1">
        <v>86.4</v>
      </c>
      <c r="AZ166" s="9" t="s">
        <v>61</v>
      </c>
      <c r="BA166" s="10">
        <v>2.5920000000000001E-3</v>
      </c>
      <c r="BB166" s="10">
        <v>2.5920000000000001E-3</v>
      </c>
      <c r="BC166" s="10">
        <v>2.5920000000000001E-3</v>
      </c>
      <c r="BD166" s="10">
        <v>2.5920000000000001E-3</v>
      </c>
      <c r="BE166" s="10">
        <v>2.5920000000000001E-3</v>
      </c>
      <c r="BF166" s="10">
        <v>2.5920000000000001E-3</v>
      </c>
      <c r="BG166" s="10">
        <v>2.5920000000000001E-3</v>
      </c>
      <c r="BH166" s="10">
        <v>2.5920000000000001E-3</v>
      </c>
      <c r="BI166" s="10">
        <v>2.5920000000000001E-3</v>
      </c>
    </row>
    <row r="167" spans="1:61" x14ac:dyDescent="0.45">
      <c r="A167" t="s">
        <v>759</v>
      </c>
      <c r="B167">
        <v>5940000</v>
      </c>
      <c r="C167" s="1">
        <v>5.4043744054418333E-4</v>
      </c>
      <c r="D167" s="1">
        <v>5.4043744054418341E-6</v>
      </c>
      <c r="E167" s="1">
        <v>5.4043744054418333E-4</v>
      </c>
      <c r="F167" s="1">
        <v>5.4043744054418341E-6</v>
      </c>
      <c r="G167" s="1">
        <v>5.4043744054418333E-4</v>
      </c>
      <c r="H167" s="2">
        <v>166</v>
      </c>
      <c r="I167">
        <v>36000</v>
      </c>
      <c r="AE167" s="9" t="s">
        <v>54</v>
      </c>
      <c r="AF167" s="10">
        <v>8.6399999999999999E-9</v>
      </c>
      <c r="AG167" s="10">
        <v>8.6400000000000006E-8</v>
      </c>
      <c r="AH167" s="10">
        <v>8.6400000000000001E-7</v>
      </c>
      <c r="AI167" s="10">
        <v>8.6400000000000003E-6</v>
      </c>
      <c r="AJ167" s="10">
        <v>8.6399999999999999E-5</v>
      </c>
      <c r="AK167" s="10">
        <v>8.6399999999999997E-4</v>
      </c>
      <c r="AL167" s="10">
        <v>8.6400000000000001E-3</v>
      </c>
      <c r="AM167" s="10">
        <v>8.6400000000000005E-2</v>
      </c>
      <c r="AO167" s="9" t="s">
        <v>54</v>
      </c>
      <c r="AP167" s="10">
        <v>8.6400000000000001E-3</v>
      </c>
      <c r="AQ167" s="10">
        <v>8.6400000000000001E-3</v>
      </c>
      <c r="AR167" s="10">
        <v>8.6400000000000001E-3</v>
      </c>
      <c r="AS167" s="10">
        <v>8.6400000000000001E-3</v>
      </c>
      <c r="AT167" s="10">
        <v>8.6400000000000001E-3</v>
      </c>
      <c r="AU167" s="10">
        <v>8.6400000000000001E-3</v>
      </c>
      <c r="AV167" s="10">
        <v>8.6400000000000001E-3</v>
      </c>
      <c r="AW167" s="10">
        <v>8.6400000000000001E-3</v>
      </c>
      <c r="AX167" s="10">
        <v>8.6400000000000001E-3</v>
      </c>
      <c r="AZ167" s="8" t="s">
        <v>62</v>
      </c>
      <c r="BA167" s="1">
        <v>8.6400000000000001E-3</v>
      </c>
      <c r="BB167" s="1">
        <v>2.5919999999999999E-2</v>
      </c>
      <c r="BC167" s="1">
        <v>8.6400000000000005E-2</v>
      </c>
      <c r="BD167" s="1">
        <v>0.25919999999999999</v>
      </c>
      <c r="BE167" s="1">
        <v>0.86399999999999999</v>
      </c>
      <c r="BF167" s="1">
        <v>2.5920000000000001</v>
      </c>
      <c r="BG167" s="1">
        <v>8.64</v>
      </c>
      <c r="BH167" s="1">
        <v>25.92</v>
      </c>
      <c r="BI167" s="1">
        <v>86.4</v>
      </c>
    </row>
    <row r="168" spans="1:61" x14ac:dyDescent="0.45">
      <c r="A168" t="s">
        <v>760</v>
      </c>
      <c r="B168">
        <v>5976000</v>
      </c>
      <c r="C168" s="1">
        <v>5.546522174026962E-4</v>
      </c>
      <c r="D168" s="1">
        <v>5.5465221740269614E-6</v>
      </c>
      <c r="E168" s="1">
        <v>5.546522174026962E-4</v>
      </c>
      <c r="F168" s="1">
        <v>5.5465221740269614E-6</v>
      </c>
      <c r="G168" s="1">
        <v>5.546522174026962E-4</v>
      </c>
      <c r="H168" s="2">
        <v>167</v>
      </c>
      <c r="I168">
        <v>36000</v>
      </c>
      <c r="AE168" s="8" t="s">
        <v>56</v>
      </c>
      <c r="AF168" s="1">
        <v>86.4</v>
      </c>
      <c r="AG168" s="1">
        <v>86.4</v>
      </c>
      <c r="AH168" s="1">
        <v>86.4</v>
      </c>
      <c r="AI168" s="1">
        <v>86.4</v>
      </c>
      <c r="AJ168" s="1">
        <v>86.4</v>
      </c>
      <c r="AK168" s="1">
        <v>86.4</v>
      </c>
      <c r="AL168" s="1">
        <v>86.4</v>
      </c>
      <c r="AM168" s="1">
        <v>86.4</v>
      </c>
      <c r="AO168" s="8" t="s">
        <v>56</v>
      </c>
      <c r="AP168" s="1">
        <v>8.6400000000000001E-3</v>
      </c>
      <c r="AQ168" s="1">
        <v>2.5919999999999999E-2</v>
      </c>
      <c r="AR168" s="1">
        <v>8.6400000000000005E-2</v>
      </c>
      <c r="AS168" s="1">
        <v>0.25919999999999999</v>
      </c>
      <c r="AT168" s="1">
        <v>0.86399999999999999</v>
      </c>
      <c r="AU168" s="1">
        <v>2.5920000000000001</v>
      </c>
      <c r="AV168" s="1">
        <v>8.64</v>
      </c>
      <c r="AW168" s="1">
        <v>25.92</v>
      </c>
      <c r="AX168" s="1">
        <v>86.4</v>
      </c>
      <c r="AZ168" s="9" t="s">
        <v>63</v>
      </c>
      <c r="BA168" s="10">
        <v>2.5920000000000001E-3</v>
      </c>
      <c r="BB168" s="10">
        <v>2.5920000000000001E-3</v>
      </c>
      <c r="BC168" s="10">
        <v>2.5920000000000001E-3</v>
      </c>
      <c r="BD168" s="10">
        <v>2.5920000000000001E-3</v>
      </c>
      <c r="BE168" s="10">
        <v>2.5920000000000001E-3</v>
      </c>
      <c r="BF168" s="10">
        <v>2.5920000000000001E-3</v>
      </c>
      <c r="BG168" s="10">
        <v>2.5920000000000001E-3</v>
      </c>
      <c r="BH168" s="10">
        <v>2.5920000000000001E-3</v>
      </c>
      <c r="BI168" s="10">
        <v>2.5920000000000001E-3</v>
      </c>
    </row>
    <row r="169" spans="1:61" x14ac:dyDescent="0.45">
      <c r="A169" t="s">
        <v>761</v>
      </c>
      <c r="B169">
        <v>6012000</v>
      </c>
      <c r="C169" s="1">
        <v>5.5852427238067587E-4</v>
      </c>
      <c r="D169" s="1">
        <v>5.5852427238067586E-6</v>
      </c>
      <c r="E169" s="1">
        <v>5.5852427238067587E-4</v>
      </c>
      <c r="F169" s="1">
        <v>5.5852427238067586E-6</v>
      </c>
      <c r="G169" s="1">
        <v>5.5852427238067587E-4</v>
      </c>
      <c r="H169" s="2">
        <v>168</v>
      </c>
      <c r="I169">
        <v>36000</v>
      </c>
      <c r="AE169" s="8" t="s">
        <v>60</v>
      </c>
      <c r="AF169" s="1">
        <v>86.4</v>
      </c>
      <c r="AG169" s="1">
        <v>86.4</v>
      </c>
      <c r="AH169" s="1">
        <v>86.4</v>
      </c>
      <c r="AI169" s="1">
        <v>86.4</v>
      </c>
      <c r="AJ169" s="1">
        <v>86.4</v>
      </c>
      <c r="AK169" s="1">
        <v>86.4</v>
      </c>
      <c r="AL169" s="1">
        <v>86.4</v>
      </c>
      <c r="AM169" s="1">
        <v>86.4</v>
      </c>
      <c r="AO169" s="8" t="s">
        <v>60</v>
      </c>
      <c r="AP169" s="1">
        <v>8.6400000000000001E-3</v>
      </c>
      <c r="AQ169" s="1">
        <v>2.5919999999999999E-2</v>
      </c>
      <c r="AR169" s="1">
        <v>8.6400000000000005E-2</v>
      </c>
      <c r="AS169" s="1">
        <v>0.25919999999999999</v>
      </c>
      <c r="AT169" s="1">
        <v>0.86399999999999999</v>
      </c>
      <c r="AU169" s="1">
        <v>2.5920000000000001</v>
      </c>
      <c r="AV169" s="1">
        <v>8.64</v>
      </c>
      <c r="AW169" s="1">
        <v>25.92</v>
      </c>
      <c r="AX169" s="1">
        <v>86.4</v>
      </c>
      <c r="AZ169" s="8" t="s">
        <v>64</v>
      </c>
      <c r="BA169" s="1">
        <v>8.6400000000000001E-3</v>
      </c>
      <c r="BB169" s="1">
        <v>2.5919999999999999E-2</v>
      </c>
      <c r="BC169" s="1">
        <v>8.6400000000000005E-2</v>
      </c>
      <c r="BD169" s="1">
        <v>0.25919999999999999</v>
      </c>
      <c r="BE169" s="1">
        <v>0.86399999999999999</v>
      </c>
      <c r="BF169" s="1">
        <v>2.5920000000000001</v>
      </c>
      <c r="BG169" s="1">
        <v>8.64</v>
      </c>
      <c r="BH169" s="1">
        <v>25.92</v>
      </c>
      <c r="BI169" s="1">
        <v>86.4</v>
      </c>
    </row>
    <row r="170" spans="1:61" x14ac:dyDescent="0.45">
      <c r="A170" t="s">
        <v>762</v>
      </c>
      <c r="B170">
        <v>6048000</v>
      </c>
      <c r="C170" s="1">
        <v>6.0001618530151099E-4</v>
      </c>
      <c r="D170" s="1">
        <v>6.0001618530151104E-6</v>
      </c>
      <c r="E170" s="1">
        <v>6.0001618530151099E-4</v>
      </c>
      <c r="F170" s="1">
        <v>6.0001618530151104E-6</v>
      </c>
      <c r="G170" s="1">
        <v>6.0001618530151099E-4</v>
      </c>
      <c r="H170" s="2">
        <v>169</v>
      </c>
      <c r="I170">
        <v>36000</v>
      </c>
      <c r="AE170" s="9" t="s">
        <v>61</v>
      </c>
      <c r="AF170" s="10">
        <v>8.6399999999999999E-9</v>
      </c>
      <c r="AG170" s="10">
        <v>8.6400000000000006E-8</v>
      </c>
      <c r="AH170" s="10">
        <v>8.6400000000000001E-7</v>
      </c>
      <c r="AI170" s="10">
        <v>8.6400000000000003E-6</v>
      </c>
      <c r="AJ170" s="10">
        <v>8.6399999999999999E-5</v>
      </c>
      <c r="AK170" s="10">
        <v>8.6399999999999997E-4</v>
      </c>
      <c r="AL170" s="10">
        <v>8.6400000000000001E-3</v>
      </c>
      <c r="AM170" s="10">
        <v>8.6400000000000005E-2</v>
      </c>
      <c r="AO170" s="9" t="s">
        <v>61</v>
      </c>
      <c r="AP170" s="10">
        <v>8.6400000000000001E-3</v>
      </c>
      <c r="AQ170" s="10">
        <v>8.6400000000000001E-3</v>
      </c>
      <c r="AR170" s="10">
        <v>8.6400000000000001E-3</v>
      </c>
      <c r="AS170" s="10">
        <v>8.6400000000000001E-3</v>
      </c>
      <c r="AT170" s="10">
        <v>8.6400000000000001E-3</v>
      </c>
      <c r="AU170" s="10">
        <v>8.6400000000000001E-3</v>
      </c>
      <c r="AV170" s="10">
        <v>8.6400000000000001E-3</v>
      </c>
      <c r="AW170" s="10">
        <v>8.6400000000000001E-3</v>
      </c>
      <c r="AX170" s="10">
        <v>8.6400000000000001E-3</v>
      </c>
    </row>
    <row r="171" spans="1:61" x14ac:dyDescent="0.45">
      <c r="A171" t="s">
        <v>763</v>
      </c>
      <c r="B171">
        <v>6084000</v>
      </c>
      <c r="C171" s="1">
        <v>5.6764786443070237E-4</v>
      </c>
      <c r="D171" s="1">
        <v>5.6764786443070238E-6</v>
      </c>
      <c r="E171" s="1">
        <v>5.6764786443070237E-4</v>
      </c>
      <c r="F171" s="1">
        <v>5.6764786443070238E-6</v>
      </c>
      <c r="G171" s="1">
        <v>5.6764786443070237E-4</v>
      </c>
      <c r="H171" s="2">
        <v>170</v>
      </c>
      <c r="I171">
        <v>36000</v>
      </c>
      <c r="AE171" s="8" t="s">
        <v>62</v>
      </c>
      <c r="AF171" s="1">
        <v>86.4</v>
      </c>
      <c r="AG171" s="1">
        <v>86.4</v>
      </c>
      <c r="AH171" s="1">
        <v>86.4</v>
      </c>
      <c r="AI171" s="1">
        <v>86.4</v>
      </c>
      <c r="AJ171" s="1">
        <v>86.4</v>
      </c>
      <c r="AK171" s="1">
        <v>86.4</v>
      </c>
      <c r="AL171" s="1">
        <v>86.4</v>
      </c>
      <c r="AM171" s="1">
        <v>86.4</v>
      </c>
      <c r="AO171" s="8" t="s">
        <v>62</v>
      </c>
      <c r="AP171" s="1">
        <v>8.6400000000000001E-3</v>
      </c>
      <c r="AQ171" s="1">
        <v>2.5919999999999999E-2</v>
      </c>
      <c r="AR171" s="1">
        <v>8.6400000000000005E-2</v>
      </c>
      <c r="AS171" s="1">
        <v>0.25919999999999999</v>
      </c>
      <c r="AT171" s="1">
        <v>0.86399999999999999</v>
      </c>
      <c r="AU171" s="1">
        <v>2.5920000000000001</v>
      </c>
      <c r="AV171" s="1">
        <v>8.64</v>
      </c>
      <c r="AW171" s="1">
        <v>25.92</v>
      </c>
      <c r="AX171" s="1">
        <v>86.4</v>
      </c>
    </row>
    <row r="172" spans="1:61" x14ac:dyDescent="0.45">
      <c r="A172" t="s">
        <v>764</v>
      </c>
      <c r="B172">
        <v>6120000</v>
      </c>
      <c r="C172" s="1">
        <v>5.866519392757043E-4</v>
      </c>
      <c r="D172" s="1">
        <v>5.866519392757043E-6</v>
      </c>
      <c r="E172" s="1">
        <v>5.866519392757043E-4</v>
      </c>
      <c r="F172" s="1">
        <v>5.866519392757043E-6</v>
      </c>
      <c r="G172" s="1">
        <v>5.866519392757043E-4</v>
      </c>
      <c r="H172" s="2">
        <v>171</v>
      </c>
      <c r="I172">
        <v>36000</v>
      </c>
      <c r="AE172" s="9" t="s">
        <v>63</v>
      </c>
      <c r="AF172" s="10">
        <v>8.6399999999999999E-9</v>
      </c>
      <c r="AG172" s="10">
        <v>8.6400000000000006E-8</v>
      </c>
      <c r="AH172" s="10">
        <v>8.6400000000000001E-7</v>
      </c>
      <c r="AI172" s="10">
        <v>8.6400000000000003E-6</v>
      </c>
      <c r="AJ172" s="10">
        <v>8.6399999999999999E-5</v>
      </c>
      <c r="AK172" s="10">
        <v>8.6399999999999997E-4</v>
      </c>
      <c r="AL172" s="10">
        <v>8.6400000000000001E-3</v>
      </c>
      <c r="AM172" s="10">
        <v>8.6400000000000005E-2</v>
      </c>
      <c r="AO172" s="9" t="s">
        <v>63</v>
      </c>
      <c r="AP172" s="10">
        <v>8.6400000000000001E-3</v>
      </c>
      <c r="AQ172" s="10">
        <v>8.6400000000000001E-3</v>
      </c>
      <c r="AR172" s="10">
        <v>8.6400000000000001E-3</v>
      </c>
      <c r="AS172" s="10">
        <v>8.6400000000000001E-3</v>
      </c>
      <c r="AT172" s="10">
        <v>8.6400000000000001E-3</v>
      </c>
      <c r="AU172" s="10">
        <v>8.6400000000000001E-3</v>
      </c>
      <c r="AV172" s="10">
        <v>8.6400000000000001E-3</v>
      </c>
      <c r="AW172" s="10">
        <v>8.6400000000000001E-3</v>
      </c>
      <c r="AX172" s="10">
        <v>8.6400000000000001E-3</v>
      </c>
      <c r="AZ172" t="s">
        <v>39</v>
      </c>
      <c r="BA172" t="s">
        <v>676</v>
      </c>
      <c r="BB172" t="s">
        <v>677</v>
      </c>
      <c r="BC172" t="s">
        <v>678</v>
      </c>
      <c r="BE172" t="s">
        <v>679</v>
      </c>
      <c r="BG172" t="s">
        <v>680</v>
      </c>
      <c r="BH172" t="s">
        <v>681</v>
      </c>
      <c r="BI172" t="s">
        <v>682</v>
      </c>
    </row>
    <row r="173" spans="1:61" x14ac:dyDescent="0.45">
      <c r="A173" t="s">
        <v>765</v>
      </c>
      <c r="B173">
        <v>6156000</v>
      </c>
      <c r="C173" s="1">
        <v>5.2386258027421328E-4</v>
      </c>
      <c r="D173" s="1">
        <v>5.2386258027421316E-6</v>
      </c>
      <c r="E173" s="1">
        <v>5.2386258027421328E-4</v>
      </c>
      <c r="F173" s="1">
        <v>5.2386258027421316E-6</v>
      </c>
      <c r="G173" s="1">
        <v>5.2386258027421328E-4</v>
      </c>
      <c r="H173" s="2">
        <v>172</v>
      </c>
      <c r="I173">
        <v>36000</v>
      </c>
      <c r="AE173" s="8" t="s">
        <v>64</v>
      </c>
      <c r="AF173" s="1">
        <v>86.4</v>
      </c>
      <c r="AG173" s="1">
        <v>86.4</v>
      </c>
      <c r="AH173" s="1">
        <v>86.4</v>
      </c>
      <c r="AI173" s="1">
        <v>86.4</v>
      </c>
      <c r="AJ173" s="1">
        <v>86.4</v>
      </c>
      <c r="AK173" s="1">
        <v>86.4</v>
      </c>
      <c r="AL173" s="1">
        <v>86.4</v>
      </c>
      <c r="AM173" s="1">
        <v>86.4</v>
      </c>
      <c r="AO173" s="8" t="s">
        <v>64</v>
      </c>
      <c r="AP173" s="1">
        <v>8.6400000000000001E-3</v>
      </c>
      <c r="AQ173" s="1">
        <v>2.5919999999999999E-2</v>
      </c>
      <c r="AR173" s="1">
        <v>8.6400000000000005E-2</v>
      </c>
      <c r="AS173" s="1">
        <v>0.25919999999999999</v>
      </c>
      <c r="AT173" s="1">
        <v>0.86399999999999999</v>
      </c>
      <c r="AU173" s="1">
        <v>2.5920000000000001</v>
      </c>
      <c r="AV173" s="1">
        <v>8.64</v>
      </c>
      <c r="AW173" s="1">
        <v>25.92</v>
      </c>
      <c r="AX173" s="1">
        <v>86.4</v>
      </c>
      <c r="AZ173" s="8" t="s">
        <v>46</v>
      </c>
      <c r="BA173" s="1">
        <v>8.6400000000000001E-3</v>
      </c>
      <c r="BB173" s="1">
        <v>2.5919999999999999E-2</v>
      </c>
      <c r="BC173" s="1">
        <v>8.6400000000000005E-2</v>
      </c>
      <c r="BD173" s="1">
        <v>0.25919999999999999</v>
      </c>
      <c r="BE173" s="1">
        <v>0.86399999999999999</v>
      </c>
      <c r="BF173" s="1">
        <v>2.5920000000000001</v>
      </c>
      <c r="BG173" s="1">
        <v>8.64</v>
      </c>
      <c r="BH173" s="1">
        <v>25.92</v>
      </c>
      <c r="BI173" s="1">
        <v>86.4</v>
      </c>
    </row>
    <row r="174" spans="1:61" x14ac:dyDescent="0.45">
      <c r="A174" t="s">
        <v>766</v>
      </c>
      <c r="B174">
        <v>6192000</v>
      </c>
      <c r="C174" s="1">
        <v>5.6632488596835456E-4</v>
      </c>
      <c r="D174" s="1">
        <v>5.663248859683546E-6</v>
      </c>
      <c r="E174" s="1">
        <v>5.6632488596835456E-4</v>
      </c>
      <c r="F174" s="1">
        <v>5.663248859683546E-6</v>
      </c>
      <c r="G174" s="1">
        <v>5.6632488596835456E-4</v>
      </c>
      <c r="H174" s="2">
        <v>173</v>
      </c>
      <c r="I174">
        <v>36000</v>
      </c>
      <c r="AZ174" s="9" t="s">
        <v>50</v>
      </c>
      <c r="BA174" s="10">
        <v>2.5919999999999999E-2</v>
      </c>
      <c r="BB174" s="10">
        <v>2.5919999999999999E-2</v>
      </c>
      <c r="BC174" s="10">
        <v>2.5919999999999999E-2</v>
      </c>
      <c r="BD174" s="10">
        <v>2.5919999999999999E-2</v>
      </c>
      <c r="BE174" s="10">
        <v>2.5919999999999999E-2</v>
      </c>
      <c r="BF174" s="10">
        <v>2.5919999999999999E-2</v>
      </c>
      <c r="BG174" s="10">
        <v>2.5919999999999999E-2</v>
      </c>
      <c r="BH174" s="10">
        <v>2.5919999999999999E-2</v>
      </c>
      <c r="BI174" s="10">
        <v>2.5919999999999999E-2</v>
      </c>
    </row>
    <row r="175" spans="1:61" x14ac:dyDescent="0.45">
      <c r="A175" t="s">
        <v>767</v>
      </c>
      <c r="B175">
        <v>6228000</v>
      </c>
      <c r="C175" s="1">
        <v>5.9586942733376523E-4</v>
      </c>
      <c r="D175" s="1">
        <v>5.958694273337652E-6</v>
      </c>
      <c r="E175" s="1">
        <v>5.9586942733376523E-4</v>
      </c>
      <c r="F175" s="1">
        <v>5.958694273337652E-6</v>
      </c>
      <c r="G175" s="1">
        <v>5.9586942733376523E-4</v>
      </c>
      <c r="H175" s="2">
        <v>174</v>
      </c>
      <c r="I175">
        <v>36000</v>
      </c>
      <c r="AO175" t="s">
        <v>39</v>
      </c>
      <c r="AP175" t="s">
        <v>676</v>
      </c>
      <c r="AQ175" t="s">
        <v>677</v>
      </c>
      <c r="AR175" t="s">
        <v>678</v>
      </c>
      <c r="AT175" t="s">
        <v>679</v>
      </c>
      <c r="AV175" t="s">
        <v>680</v>
      </c>
      <c r="AW175" t="s">
        <v>681</v>
      </c>
      <c r="AX175" t="s">
        <v>682</v>
      </c>
      <c r="AZ175" s="8" t="s">
        <v>52</v>
      </c>
      <c r="BA175" s="1">
        <v>8.6400000000000001E-3</v>
      </c>
      <c r="BB175" s="1">
        <v>2.5919999999999999E-2</v>
      </c>
      <c r="BC175" s="1">
        <v>8.6400000000000005E-2</v>
      </c>
      <c r="BD175" s="1">
        <v>0.25919999999999999</v>
      </c>
      <c r="BE175" s="1">
        <v>0.86399999999999999</v>
      </c>
      <c r="BF175" s="1">
        <v>2.5920000000000001</v>
      </c>
      <c r="BG175" s="1">
        <v>8.64</v>
      </c>
      <c r="BH175" s="1">
        <v>25.92</v>
      </c>
      <c r="BI175" s="1">
        <v>86.4</v>
      </c>
    </row>
    <row r="176" spans="1:61" x14ac:dyDescent="0.45">
      <c r="A176" t="s">
        <v>768</v>
      </c>
      <c r="B176">
        <v>6264000</v>
      </c>
      <c r="C176" s="1">
        <v>5.7768547271220693E-4</v>
      </c>
      <c r="D176" s="1">
        <v>5.7768547271220688E-6</v>
      </c>
      <c r="E176" s="1">
        <v>5.7768547271220693E-4</v>
      </c>
      <c r="F176" s="1">
        <v>5.7768547271220688E-6</v>
      </c>
      <c r="G176" s="1">
        <v>5.7768547271220693E-4</v>
      </c>
      <c r="H176" s="2">
        <v>175</v>
      </c>
      <c r="I176">
        <v>36000</v>
      </c>
      <c r="AO176" s="8" t="s">
        <v>46</v>
      </c>
      <c r="AP176" s="1">
        <v>8.6400000000000001E-3</v>
      </c>
      <c r="AQ176" s="1">
        <v>2.5919999999999999E-2</v>
      </c>
      <c r="AR176" s="1">
        <v>8.6400000000000005E-2</v>
      </c>
      <c r="AS176" s="1">
        <v>0.25919999999999999</v>
      </c>
      <c r="AT176" s="1">
        <v>0.86399999999999999</v>
      </c>
      <c r="AU176" s="1">
        <v>2.5920000000000001</v>
      </c>
      <c r="AV176" s="1">
        <v>8.64</v>
      </c>
      <c r="AW176" s="1">
        <v>25.92</v>
      </c>
      <c r="AX176" s="1">
        <v>86.4</v>
      </c>
      <c r="AZ176" s="9" t="s">
        <v>54</v>
      </c>
      <c r="BA176" s="10">
        <v>2.5919999999999999E-2</v>
      </c>
      <c r="BB176" s="10">
        <v>2.5919999999999999E-2</v>
      </c>
      <c r="BC176" s="10">
        <v>2.5919999999999999E-2</v>
      </c>
      <c r="BD176" s="10">
        <v>2.5919999999999999E-2</v>
      </c>
      <c r="BE176" s="10">
        <v>2.5919999999999999E-2</v>
      </c>
      <c r="BF176" s="10">
        <v>2.5919999999999999E-2</v>
      </c>
      <c r="BG176" s="10">
        <v>2.5919999999999999E-2</v>
      </c>
      <c r="BH176" s="10">
        <v>2.5919999999999999E-2</v>
      </c>
      <c r="BI176" s="10">
        <v>2.5919999999999999E-2</v>
      </c>
    </row>
    <row r="177" spans="1:61" x14ac:dyDescent="0.45">
      <c r="A177" t="s">
        <v>769</v>
      </c>
      <c r="B177">
        <v>6300000</v>
      </c>
      <c r="C177" s="1">
        <v>5.9558767657298239E-4</v>
      </c>
      <c r="D177" s="1">
        <v>5.9558767657298234E-6</v>
      </c>
      <c r="E177" s="1">
        <v>5.9558767657298239E-4</v>
      </c>
      <c r="F177" s="1">
        <v>5.9558767657298234E-6</v>
      </c>
      <c r="G177" s="1">
        <v>5.9558767657298239E-4</v>
      </c>
      <c r="H177" s="2">
        <v>176</v>
      </c>
      <c r="I177">
        <v>36000</v>
      </c>
      <c r="AO177" s="9" t="s">
        <v>50</v>
      </c>
      <c r="AP177" s="10">
        <v>8.6400000000000005E-2</v>
      </c>
      <c r="AQ177" s="10">
        <v>8.6400000000000005E-2</v>
      </c>
      <c r="AR177" s="10">
        <v>8.6400000000000005E-2</v>
      </c>
      <c r="AS177" s="10">
        <v>8.6400000000000005E-2</v>
      </c>
      <c r="AT177" s="10">
        <v>8.6400000000000005E-2</v>
      </c>
      <c r="AU177" s="10">
        <v>8.6400000000000005E-2</v>
      </c>
      <c r="AV177" s="10">
        <v>8.6400000000000005E-2</v>
      </c>
      <c r="AW177" s="10">
        <v>8.6400000000000005E-2</v>
      </c>
      <c r="AX177" s="10">
        <v>8.6400000000000005E-2</v>
      </c>
      <c r="AZ177" s="8" t="s">
        <v>56</v>
      </c>
      <c r="BA177" s="1">
        <v>8.6400000000000001E-3</v>
      </c>
      <c r="BB177" s="1">
        <v>2.5919999999999999E-2</v>
      </c>
      <c r="BC177" s="1">
        <v>8.6400000000000005E-2</v>
      </c>
      <c r="BD177" s="1">
        <v>0.25919999999999999</v>
      </c>
      <c r="BE177" s="1">
        <v>0.86399999999999999</v>
      </c>
      <c r="BF177" s="1">
        <v>2.5920000000000001</v>
      </c>
      <c r="BG177" s="1">
        <v>8.64</v>
      </c>
      <c r="BH177" s="1">
        <v>25.92</v>
      </c>
      <c r="BI177" s="1">
        <v>86.4</v>
      </c>
    </row>
    <row r="178" spans="1:61" x14ac:dyDescent="0.45">
      <c r="A178" t="s">
        <v>770</v>
      </c>
      <c r="B178">
        <v>6336000</v>
      </c>
      <c r="C178" s="1">
        <v>5.8695582782231786E-4</v>
      </c>
      <c r="D178" s="1">
        <v>5.8695582782231789E-6</v>
      </c>
      <c r="E178" s="1">
        <v>5.8695582782231786E-4</v>
      </c>
      <c r="F178" s="1">
        <v>5.8695582782231789E-6</v>
      </c>
      <c r="G178" s="1">
        <v>5.8695582782231786E-4</v>
      </c>
      <c r="H178" s="2">
        <v>177</v>
      </c>
      <c r="I178">
        <v>36000</v>
      </c>
      <c r="AO178" s="8" t="s">
        <v>52</v>
      </c>
      <c r="AP178" s="1">
        <v>8.6400000000000001E-3</v>
      </c>
      <c r="AQ178" s="1">
        <v>2.5919999999999999E-2</v>
      </c>
      <c r="AR178" s="1">
        <v>8.6400000000000005E-2</v>
      </c>
      <c r="AS178" s="1">
        <v>0.25919999999999999</v>
      </c>
      <c r="AT178" s="1">
        <v>0.86399999999999999</v>
      </c>
      <c r="AU178" s="1">
        <v>2.5920000000000001</v>
      </c>
      <c r="AV178" s="1">
        <v>8.64</v>
      </c>
      <c r="AW178" s="1">
        <v>25.92</v>
      </c>
      <c r="AX178" s="1">
        <v>86.4</v>
      </c>
      <c r="AZ178" s="8" t="s">
        <v>60</v>
      </c>
      <c r="BA178" s="1">
        <v>8.6400000000000001E-3</v>
      </c>
      <c r="BB178" s="1">
        <v>2.5919999999999999E-2</v>
      </c>
      <c r="BC178" s="1">
        <v>8.6400000000000005E-2</v>
      </c>
      <c r="BD178" s="1">
        <v>0.25919999999999999</v>
      </c>
      <c r="BE178" s="1">
        <v>0.86399999999999999</v>
      </c>
      <c r="BF178" s="1">
        <v>2.5920000000000001</v>
      </c>
      <c r="BG178" s="1">
        <v>8.64</v>
      </c>
      <c r="BH178" s="1">
        <v>25.92</v>
      </c>
      <c r="BI178" s="1">
        <v>86.4</v>
      </c>
    </row>
    <row r="179" spans="1:61" x14ac:dyDescent="0.45">
      <c r="A179" t="s">
        <v>771</v>
      </c>
      <c r="B179">
        <v>6372000</v>
      </c>
      <c r="C179" s="1">
        <v>5.8471871515687482E-4</v>
      </c>
      <c r="D179" s="1">
        <v>5.8471871515687481E-6</v>
      </c>
      <c r="E179" s="1">
        <v>5.8471871515687482E-4</v>
      </c>
      <c r="F179" s="1">
        <v>5.8471871515687481E-6</v>
      </c>
      <c r="G179" s="1">
        <v>5.8471871515687482E-4</v>
      </c>
      <c r="H179" s="2">
        <v>178</v>
      </c>
      <c r="I179">
        <v>36000</v>
      </c>
      <c r="AO179" s="9" t="s">
        <v>54</v>
      </c>
      <c r="AP179" s="10">
        <v>8.6400000000000005E-2</v>
      </c>
      <c r="AQ179" s="10">
        <v>8.6400000000000005E-2</v>
      </c>
      <c r="AR179" s="10">
        <v>8.6400000000000005E-2</v>
      </c>
      <c r="AS179" s="10">
        <v>8.6400000000000005E-2</v>
      </c>
      <c r="AT179" s="10">
        <v>8.6400000000000005E-2</v>
      </c>
      <c r="AU179" s="10">
        <v>8.6400000000000005E-2</v>
      </c>
      <c r="AV179" s="10">
        <v>8.6400000000000005E-2</v>
      </c>
      <c r="AW179" s="10">
        <v>8.6400000000000005E-2</v>
      </c>
      <c r="AX179" s="10">
        <v>8.6400000000000005E-2</v>
      </c>
      <c r="AZ179" s="9" t="s">
        <v>61</v>
      </c>
      <c r="BA179" s="10">
        <v>2.5919999999999999E-2</v>
      </c>
      <c r="BB179" s="10">
        <v>2.5919999999999999E-2</v>
      </c>
      <c r="BC179" s="10">
        <v>2.5919999999999999E-2</v>
      </c>
      <c r="BD179" s="10">
        <v>2.5919999999999999E-2</v>
      </c>
      <c r="BE179" s="10">
        <v>2.5919999999999999E-2</v>
      </c>
      <c r="BF179" s="10">
        <v>2.5919999999999999E-2</v>
      </c>
      <c r="BG179" s="10">
        <v>2.5919999999999999E-2</v>
      </c>
      <c r="BH179" s="10">
        <v>2.5919999999999999E-2</v>
      </c>
      <c r="BI179" s="10">
        <v>2.5919999999999999E-2</v>
      </c>
    </row>
    <row r="180" spans="1:61" x14ac:dyDescent="0.45">
      <c r="A180" t="s">
        <v>772</v>
      </c>
      <c r="B180">
        <v>6408000</v>
      </c>
      <c r="C180" s="1">
        <v>5.6399428415836563E-4</v>
      </c>
      <c r="D180" s="1">
        <v>5.6399428415836572E-6</v>
      </c>
      <c r="E180" s="1">
        <v>5.6399428415836563E-4</v>
      </c>
      <c r="F180" s="1">
        <v>5.6399428415836572E-6</v>
      </c>
      <c r="G180" s="1">
        <v>5.6399428415836563E-4</v>
      </c>
      <c r="H180" s="2">
        <v>179</v>
      </c>
      <c r="I180">
        <v>36000</v>
      </c>
      <c r="AO180" s="8" t="s">
        <v>56</v>
      </c>
      <c r="AP180" s="1">
        <v>8.6400000000000001E-3</v>
      </c>
      <c r="AQ180" s="1">
        <v>2.5919999999999999E-2</v>
      </c>
      <c r="AR180" s="1">
        <v>8.6400000000000005E-2</v>
      </c>
      <c r="AS180" s="1">
        <v>0.25919999999999999</v>
      </c>
      <c r="AT180" s="1">
        <v>0.86399999999999999</v>
      </c>
      <c r="AU180" s="1">
        <v>2.5920000000000001</v>
      </c>
      <c r="AV180" s="1">
        <v>8.64</v>
      </c>
      <c r="AW180" s="1">
        <v>25.92</v>
      </c>
      <c r="AX180" s="1">
        <v>86.4</v>
      </c>
      <c r="AZ180" s="8" t="s">
        <v>62</v>
      </c>
      <c r="BA180" s="1">
        <v>8.6400000000000001E-3</v>
      </c>
      <c r="BB180" s="1">
        <v>2.5919999999999999E-2</v>
      </c>
      <c r="BC180" s="1">
        <v>8.6400000000000005E-2</v>
      </c>
      <c r="BD180" s="1">
        <v>0.25919999999999999</v>
      </c>
      <c r="BE180" s="1">
        <v>0.86399999999999999</v>
      </c>
      <c r="BF180" s="1">
        <v>2.5920000000000001</v>
      </c>
      <c r="BG180" s="1">
        <v>8.64</v>
      </c>
      <c r="BH180" s="1">
        <v>25.92</v>
      </c>
      <c r="BI180" s="1">
        <v>86.4</v>
      </c>
    </row>
    <row r="181" spans="1:61" x14ac:dyDescent="0.45">
      <c r="A181" t="s">
        <v>773</v>
      </c>
      <c r="B181">
        <v>6444000</v>
      </c>
      <c r="C181" s="1">
        <v>5.6699468413706083E-4</v>
      </c>
      <c r="D181" s="1">
        <v>5.6699468413706079E-6</v>
      </c>
      <c r="E181" s="1">
        <v>5.6699468413706083E-4</v>
      </c>
      <c r="F181" s="1">
        <v>5.6699468413706079E-6</v>
      </c>
      <c r="G181" s="1">
        <v>5.6699468413706083E-4</v>
      </c>
      <c r="H181" s="2">
        <v>180</v>
      </c>
      <c r="I181">
        <v>36000</v>
      </c>
      <c r="AO181" s="8" t="s">
        <v>60</v>
      </c>
      <c r="AP181" s="1">
        <v>8.6400000000000001E-3</v>
      </c>
      <c r="AQ181" s="1">
        <v>2.5919999999999999E-2</v>
      </c>
      <c r="AR181" s="1">
        <v>8.6400000000000005E-2</v>
      </c>
      <c r="AS181" s="1">
        <v>0.25919999999999999</v>
      </c>
      <c r="AT181" s="1">
        <v>0.86399999999999999</v>
      </c>
      <c r="AU181" s="1">
        <v>2.5920000000000001</v>
      </c>
      <c r="AV181" s="1">
        <v>8.64</v>
      </c>
      <c r="AW181" s="1">
        <v>25.92</v>
      </c>
      <c r="AX181" s="1">
        <v>86.4</v>
      </c>
      <c r="AZ181" s="9" t="s">
        <v>63</v>
      </c>
      <c r="BA181" s="10">
        <v>2.5919999999999999E-2</v>
      </c>
      <c r="BB181" s="10">
        <v>2.5919999999999999E-2</v>
      </c>
      <c r="BC181" s="10">
        <v>2.5919999999999999E-2</v>
      </c>
      <c r="BD181" s="10">
        <v>2.5919999999999999E-2</v>
      </c>
      <c r="BE181" s="10">
        <v>2.5919999999999999E-2</v>
      </c>
      <c r="BF181" s="10">
        <v>2.5919999999999999E-2</v>
      </c>
      <c r="BG181" s="10">
        <v>2.5919999999999999E-2</v>
      </c>
      <c r="BH181" s="10">
        <v>2.5919999999999999E-2</v>
      </c>
      <c r="BI181" s="10">
        <v>2.5919999999999999E-2</v>
      </c>
    </row>
    <row r="182" spans="1:61" x14ac:dyDescent="0.45">
      <c r="A182" t="s">
        <v>774</v>
      </c>
      <c r="B182">
        <v>6480000</v>
      </c>
      <c r="C182" s="1">
        <v>5.832937479450268E-4</v>
      </c>
      <c r="D182" s="1">
        <v>5.8329374794502681E-6</v>
      </c>
      <c r="E182" s="1">
        <v>5.832937479450268E-4</v>
      </c>
      <c r="F182" s="1">
        <v>5.8329374794502681E-6</v>
      </c>
      <c r="G182" s="1">
        <v>5.832937479450268E-4</v>
      </c>
      <c r="H182" s="2">
        <v>181</v>
      </c>
      <c r="I182">
        <v>36000</v>
      </c>
      <c r="AO182" s="9" t="s">
        <v>61</v>
      </c>
      <c r="AP182" s="10">
        <v>8.6400000000000005E-2</v>
      </c>
      <c r="AQ182" s="10">
        <v>8.6400000000000005E-2</v>
      </c>
      <c r="AR182" s="10">
        <v>8.6400000000000005E-2</v>
      </c>
      <c r="AS182" s="10">
        <v>8.6400000000000005E-2</v>
      </c>
      <c r="AT182" s="10">
        <v>8.6400000000000005E-2</v>
      </c>
      <c r="AU182" s="10">
        <v>8.6400000000000005E-2</v>
      </c>
      <c r="AV182" s="10">
        <v>8.6400000000000005E-2</v>
      </c>
      <c r="AW182" s="10">
        <v>8.6400000000000005E-2</v>
      </c>
      <c r="AX182" s="10">
        <v>8.6400000000000005E-2</v>
      </c>
      <c r="AZ182" s="8" t="s">
        <v>64</v>
      </c>
      <c r="BA182" s="1">
        <v>8.6400000000000001E-3</v>
      </c>
      <c r="BB182" s="1">
        <v>2.5919999999999999E-2</v>
      </c>
      <c r="BC182" s="1">
        <v>8.6400000000000005E-2</v>
      </c>
      <c r="BD182" s="1">
        <v>0.25919999999999999</v>
      </c>
      <c r="BE182" s="1">
        <v>0.86399999999999999</v>
      </c>
      <c r="BF182" s="1">
        <v>2.5920000000000001</v>
      </c>
      <c r="BG182" s="1">
        <v>8.64</v>
      </c>
      <c r="BH182" s="1">
        <v>25.92</v>
      </c>
      <c r="BI182" s="1">
        <v>86.4</v>
      </c>
    </row>
    <row r="183" spans="1:61" x14ac:dyDescent="0.45">
      <c r="A183" t="s">
        <v>775</v>
      </c>
      <c r="B183">
        <v>6516000</v>
      </c>
      <c r="C183" s="1">
        <v>5.6789470352291765E-4</v>
      </c>
      <c r="D183" s="1">
        <v>5.6789470352291754E-6</v>
      </c>
      <c r="E183" s="1">
        <v>5.6789470352291765E-4</v>
      </c>
      <c r="F183" s="1">
        <v>5.6789470352291754E-6</v>
      </c>
      <c r="G183" s="1">
        <v>5.6789470352291765E-4</v>
      </c>
      <c r="H183" s="2">
        <v>182</v>
      </c>
      <c r="I183">
        <v>36000</v>
      </c>
      <c r="AO183" s="8" t="s">
        <v>62</v>
      </c>
      <c r="AP183" s="1">
        <v>8.6400000000000001E-3</v>
      </c>
      <c r="AQ183" s="1">
        <v>2.5919999999999999E-2</v>
      </c>
      <c r="AR183" s="1">
        <v>8.6400000000000005E-2</v>
      </c>
      <c r="AS183" s="1">
        <v>0.25919999999999999</v>
      </c>
      <c r="AT183" s="1">
        <v>0.86399999999999999</v>
      </c>
      <c r="AU183" s="1">
        <v>2.5920000000000001</v>
      </c>
      <c r="AV183" s="1">
        <v>8.64</v>
      </c>
      <c r="AW183" s="1">
        <v>25.92</v>
      </c>
      <c r="AX183" s="1">
        <v>86.4</v>
      </c>
    </row>
    <row r="184" spans="1:61" x14ac:dyDescent="0.45">
      <c r="A184" t="s">
        <v>776</v>
      </c>
      <c r="B184">
        <v>6552000</v>
      </c>
      <c r="C184" s="1">
        <v>5.7838409981616134E-4</v>
      </c>
      <c r="D184" s="1">
        <v>5.7838409981616133E-6</v>
      </c>
      <c r="E184" s="1">
        <v>5.7838409981616134E-4</v>
      </c>
      <c r="F184" s="1">
        <v>5.7838409981616133E-6</v>
      </c>
      <c r="G184" s="1">
        <v>5.7838409981616134E-4</v>
      </c>
      <c r="H184" s="2">
        <v>183</v>
      </c>
      <c r="I184">
        <v>36000</v>
      </c>
      <c r="AO184" s="9" t="s">
        <v>63</v>
      </c>
      <c r="AP184" s="10">
        <v>8.6400000000000005E-2</v>
      </c>
      <c r="AQ184" s="10">
        <v>8.6400000000000005E-2</v>
      </c>
      <c r="AR184" s="10">
        <v>8.6400000000000005E-2</v>
      </c>
      <c r="AS184" s="10">
        <v>8.6400000000000005E-2</v>
      </c>
      <c r="AT184" s="10">
        <v>8.6400000000000005E-2</v>
      </c>
      <c r="AU184" s="10">
        <v>8.6400000000000005E-2</v>
      </c>
      <c r="AV184" s="10">
        <v>8.6400000000000005E-2</v>
      </c>
      <c r="AW184" s="10">
        <v>8.6400000000000005E-2</v>
      </c>
      <c r="AX184" s="10">
        <v>8.6400000000000005E-2</v>
      </c>
    </row>
    <row r="185" spans="1:61" x14ac:dyDescent="0.45">
      <c r="A185" t="s">
        <v>777</v>
      </c>
      <c r="B185">
        <v>6588000</v>
      </c>
      <c r="C185" s="1">
        <v>5.8796232881764307E-4</v>
      </c>
      <c r="D185" s="1">
        <v>5.8796232881764312E-6</v>
      </c>
      <c r="E185" s="1">
        <v>5.8796232881764307E-4</v>
      </c>
      <c r="F185" s="1">
        <v>5.8796232881764312E-6</v>
      </c>
      <c r="G185" s="1">
        <v>5.8796232881764307E-4</v>
      </c>
      <c r="H185" s="2">
        <v>184</v>
      </c>
      <c r="I185">
        <v>36000</v>
      </c>
      <c r="AO185" s="8" t="s">
        <v>64</v>
      </c>
      <c r="AP185" s="1">
        <v>8.6400000000000001E-3</v>
      </c>
      <c r="AQ185" s="1">
        <v>2.5919999999999999E-2</v>
      </c>
      <c r="AR185" s="1">
        <v>8.6400000000000005E-2</v>
      </c>
      <c r="AS185" s="1">
        <v>0.25919999999999999</v>
      </c>
      <c r="AT185" s="1">
        <v>0.86399999999999999</v>
      </c>
      <c r="AU185" s="1">
        <v>2.5920000000000001</v>
      </c>
      <c r="AV185" s="1">
        <v>8.64</v>
      </c>
      <c r="AW185" s="1">
        <v>25.92</v>
      </c>
      <c r="AX185" s="1">
        <v>86.4</v>
      </c>
    </row>
    <row r="186" spans="1:61" x14ac:dyDescent="0.45">
      <c r="A186" t="s">
        <v>778</v>
      </c>
      <c r="B186">
        <v>6624000</v>
      </c>
      <c r="C186" s="1">
        <v>6.1525613941874088E-4</v>
      </c>
      <c r="D186" s="1">
        <v>6.1525613941874083E-6</v>
      </c>
      <c r="E186" s="1">
        <v>6.1525613941874088E-4</v>
      </c>
      <c r="F186" s="1">
        <v>6.1525613941874083E-6</v>
      </c>
      <c r="G186" s="1">
        <v>6.1525613941874088E-4</v>
      </c>
      <c r="H186" s="2">
        <v>185</v>
      </c>
      <c r="I186">
        <v>36000</v>
      </c>
    </row>
    <row r="187" spans="1:61" x14ac:dyDescent="0.45">
      <c r="A187" t="s">
        <v>779</v>
      </c>
      <c r="B187">
        <v>6660000</v>
      </c>
      <c r="C187" s="1">
        <v>5.6126711364166688E-4</v>
      </c>
      <c r="D187" s="1">
        <v>5.612671136416669E-6</v>
      </c>
      <c r="E187" s="1">
        <v>5.6126711364166688E-4</v>
      </c>
      <c r="F187" s="1">
        <v>5.612671136416669E-6</v>
      </c>
      <c r="G187" s="1">
        <v>5.6126711364166688E-4</v>
      </c>
      <c r="H187" s="2">
        <v>186</v>
      </c>
      <c r="I187">
        <v>36000</v>
      </c>
    </row>
    <row r="188" spans="1:61" x14ac:dyDescent="0.45">
      <c r="A188" t="s">
        <v>780</v>
      </c>
      <c r="B188">
        <v>6696000</v>
      </c>
      <c r="C188" s="1">
        <v>5.807790158276207E-4</v>
      </c>
      <c r="D188" s="1">
        <v>5.8077901582762071E-6</v>
      </c>
      <c r="E188" s="1">
        <v>5.807790158276207E-4</v>
      </c>
      <c r="F188" s="1">
        <v>5.8077901582762071E-6</v>
      </c>
      <c r="G188" s="1">
        <v>5.807790158276207E-4</v>
      </c>
      <c r="H188" s="2">
        <v>187</v>
      </c>
      <c r="I188">
        <v>36000</v>
      </c>
    </row>
    <row r="189" spans="1:61" x14ac:dyDescent="0.45">
      <c r="A189" t="s">
        <v>781</v>
      </c>
      <c r="B189">
        <v>6732000</v>
      </c>
      <c r="C189" s="1">
        <v>5.6808072877890571E-4</v>
      </c>
      <c r="D189" s="1">
        <v>5.6808072877890567E-6</v>
      </c>
      <c r="E189" s="1">
        <v>5.6808072877890571E-4</v>
      </c>
      <c r="F189" s="1">
        <v>5.6808072877890567E-6</v>
      </c>
      <c r="G189" s="1">
        <v>5.6808072877890571E-4</v>
      </c>
      <c r="H189" s="2">
        <v>188</v>
      </c>
      <c r="I189">
        <v>36000</v>
      </c>
    </row>
    <row r="190" spans="1:61" x14ac:dyDescent="0.45">
      <c r="A190" t="s">
        <v>782</v>
      </c>
      <c r="B190">
        <v>6768000</v>
      </c>
      <c r="C190" s="1">
        <v>5.6546319369958501E-4</v>
      </c>
      <c r="D190" s="1">
        <v>5.6546319369958514E-6</v>
      </c>
      <c r="E190" s="1">
        <v>5.6546319369958501E-4</v>
      </c>
      <c r="F190" s="1">
        <v>5.6546319369958514E-6</v>
      </c>
      <c r="G190" s="1">
        <v>5.6546319369958501E-4</v>
      </c>
      <c r="H190" s="2">
        <v>189</v>
      </c>
      <c r="I190">
        <v>36000</v>
      </c>
    </row>
    <row r="191" spans="1:61" x14ac:dyDescent="0.45">
      <c r="A191" t="s">
        <v>783</v>
      </c>
      <c r="B191">
        <v>6804000</v>
      </c>
      <c r="C191" s="1">
        <v>5.8201144863307232E-4</v>
      </c>
      <c r="D191" s="1">
        <v>5.820114486330723E-6</v>
      </c>
      <c r="E191" s="1">
        <v>5.8201144863307232E-4</v>
      </c>
      <c r="F191" s="1">
        <v>5.820114486330723E-6</v>
      </c>
      <c r="G191" s="1">
        <v>5.8201144863307232E-4</v>
      </c>
      <c r="H191" s="2">
        <v>190</v>
      </c>
      <c r="I191">
        <v>36000</v>
      </c>
    </row>
    <row r="192" spans="1:61" x14ac:dyDescent="0.45">
      <c r="A192" t="s">
        <v>784</v>
      </c>
      <c r="B192">
        <v>6840000</v>
      </c>
      <c r="C192" s="1">
        <v>5.7329833387245667E-4</v>
      </c>
      <c r="D192" s="1">
        <v>5.7329833387245667E-6</v>
      </c>
      <c r="E192" s="1">
        <v>5.7329833387245667E-4</v>
      </c>
      <c r="F192" s="1">
        <v>5.7329833387245667E-6</v>
      </c>
      <c r="G192" s="1">
        <v>5.7329833387245667E-4</v>
      </c>
      <c r="H192" s="2">
        <v>191</v>
      </c>
      <c r="I192">
        <v>36000</v>
      </c>
    </row>
    <row r="193" spans="1:9" x14ac:dyDescent="0.45">
      <c r="A193" t="s">
        <v>785</v>
      </c>
      <c r="B193">
        <v>6876000</v>
      </c>
      <c r="C193" s="1">
        <v>5.6301982317487852E-4</v>
      </c>
      <c r="D193" s="1">
        <v>5.6301982317487864E-6</v>
      </c>
      <c r="E193" s="1">
        <v>5.6301982317487852E-4</v>
      </c>
      <c r="F193" s="1">
        <v>5.6301982317487864E-6</v>
      </c>
      <c r="G193" s="1">
        <v>5.6301982317487852E-4</v>
      </c>
      <c r="H193" s="2">
        <v>192</v>
      </c>
      <c r="I193">
        <v>36000</v>
      </c>
    </row>
    <row r="194" spans="1:9" x14ac:dyDescent="0.45">
      <c r="A194" t="s">
        <v>786</v>
      </c>
      <c r="B194">
        <v>6912000</v>
      </c>
      <c r="C194" s="1">
        <v>5.799785455916362E-4</v>
      </c>
      <c r="D194" s="1">
        <v>5.799785455916362E-6</v>
      </c>
      <c r="E194" s="1">
        <v>5.799785455916362E-4</v>
      </c>
      <c r="F194" s="1">
        <v>5.799785455916362E-6</v>
      </c>
      <c r="G194" s="1">
        <v>5.799785455916362E-4</v>
      </c>
      <c r="H194" s="2">
        <v>193</v>
      </c>
      <c r="I194">
        <v>36000</v>
      </c>
    </row>
    <row r="195" spans="1:9" x14ac:dyDescent="0.45">
      <c r="A195" t="s">
        <v>787</v>
      </c>
      <c r="B195">
        <v>6948000</v>
      </c>
      <c r="C195" s="1">
        <v>5.8431572479348225E-4</v>
      </c>
      <c r="D195" s="1">
        <v>5.8431572479348218E-6</v>
      </c>
      <c r="E195" s="1">
        <v>5.8431572479348225E-4</v>
      </c>
      <c r="F195" s="1">
        <v>5.8431572479348218E-6</v>
      </c>
      <c r="G195" s="1">
        <v>5.8431572479348225E-4</v>
      </c>
      <c r="H195" s="2">
        <v>194</v>
      </c>
      <c r="I195">
        <v>36000</v>
      </c>
    </row>
    <row r="196" spans="1:9" x14ac:dyDescent="0.45">
      <c r="A196" t="s">
        <v>788</v>
      </c>
      <c r="B196">
        <v>6984000</v>
      </c>
      <c r="C196" s="1">
        <v>5.3565474626599734E-4</v>
      </c>
      <c r="D196" s="1">
        <v>5.3565474626599724E-6</v>
      </c>
      <c r="E196" s="1">
        <v>5.3565474626599734E-4</v>
      </c>
      <c r="F196" s="1">
        <v>5.3565474626599724E-6</v>
      </c>
      <c r="G196" s="1">
        <v>5.3565474626599734E-4</v>
      </c>
      <c r="H196" s="2">
        <v>195</v>
      </c>
      <c r="I196">
        <v>36000</v>
      </c>
    </row>
    <row r="197" spans="1:9" x14ac:dyDescent="0.45">
      <c r="A197" t="s">
        <v>789</v>
      </c>
      <c r="B197">
        <v>7020000</v>
      </c>
      <c r="C197" s="1">
        <v>5.6384517646575108E-4</v>
      </c>
      <c r="D197" s="1">
        <v>5.6384517646575104E-6</v>
      </c>
      <c r="E197" s="1">
        <v>5.6384517646575108E-4</v>
      </c>
      <c r="F197" s="1">
        <v>5.6384517646575104E-6</v>
      </c>
      <c r="G197" s="1">
        <v>5.6384517646575108E-4</v>
      </c>
      <c r="H197" s="2">
        <v>196</v>
      </c>
      <c r="I197">
        <v>36000</v>
      </c>
    </row>
    <row r="198" spans="1:9" x14ac:dyDescent="0.45">
      <c r="A198" t="s">
        <v>790</v>
      </c>
      <c r="B198">
        <v>7056000</v>
      </c>
      <c r="C198" s="1">
        <v>5.5550882767076886E-4</v>
      </c>
      <c r="D198" s="1">
        <v>5.555088276707689E-6</v>
      </c>
      <c r="E198" s="1">
        <v>5.5550882767076886E-4</v>
      </c>
      <c r="F198" s="1">
        <v>5.555088276707689E-6</v>
      </c>
      <c r="G198" s="1">
        <v>5.5550882767076886E-4</v>
      </c>
      <c r="H198" s="2">
        <v>197</v>
      </c>
      <c r="I198">
        <v>36000</v>
      </c>
    </row>
    <row r="199" spans="1:9" x14ac:dyDescent="0.45">
      <c r="A199" t="s">
        <v>791</v>
      </c>
      <c r="B199">
        <v>7092000</v>
      </c>
      <c r="C199" s="1">
        <v>5.9604645592270218E-4</v>
      </c>
      <c r="D199" s="1">
        <v>5.9604645592270216E-6</v>
      </c>
      <c r="E199" s="1">
        <v>5.9604645592270218E-4</v>
      </c>
      <c r="F199" s="1">
        <v>5.9604645592270216E-6</v>
      </c>
      <c r="G199" s="1">
        <v>5.9604645592270218E-4</v>
      </c>
      <c r="H199" s="2">
        <v>198</v>
      </c>
      <c r="I199">
        <v>36000</v>
      </c>
    </row>
    <row r="200" spans="1:9" x14ac:dyDescent="0.45">
      <c r="A200" t="s">
        <v>792</v>
      </c>
      <c r="B200">
        <v>7128000</v>
      </c>
      <c r="C200" s="1">
        <v>5.8387038442197267E-4</v>
      </c>
      <c r="D200" s="1">
        <v>5.8387038442197268E-6</v>
      </c>
      <c r="E200" s="1">
        <v>5.8387038442197267E-4</v>
      </c>
      <c r="F200" s="1">
        <v>5.8387038442197268E-6</v>
      </c>
      <c r="G200" s="1">
        <v>5.8387038442197267E-4</v>
      </c>
      <c r="H200" s="2">
        <v>199</v>
      </c>
      <c r="I200">
        <v>36000</v>
      </c>
    </row>
    <row r="201" spans="1:9" x14ac:dyDescent="0.45">
      <c r="A201" t="s">
        <v>793</v>
      </c>
      <c r="B201">
        <v>7164000</v>
      </c>
      <c r="C201" s="1">
        <v>5.8922951637840784E-4</v>
      </c>
      <c r="D201" s="1">
        <v>5.8922951637840779E-6</v>
      </c>
      <c r="E201" s="1">
        <v>5.8922951637840784E-4</v>
      </c>
      <c r="F201" s="1">
        <v>5.8922951637840779E-6</v>
      </c>
      <c r="G201" s="1">
        <v>5.8922951637840784E-4</v>
      </c>
      <c r="H201" s="2">
        <v>200</v>
      </c>
      <c r="I201">
        <v>36000</v>
      </c>
    </row>
    <row r="202" spans="1:9" x14ac:dyDescent="0.45">
      <c r="A202" t="s">
        <v>794</v>
      </c>
      <c r="B202">
        <v>7200000</v>
      </c>
      <c r="C202" s="1">
        <v>5.6176382554800675E-4</v>
      </c>
      <c r="D202" s="1">
        <v>5.6176382554800684E-6</v>
      </c>
      <c r="E202" s="1">
        <v>5.6176382554800675E-4</v>
      </c>
      <c r="F202" s="1">
        <v>5.6176382554800684E-6</v>
      </c>
      <c r="G202" s="1">
        <v>5.6176382554800675E-4</v>
      </c>
      <c r="H202" s="2">
        <v>201</v>
      </c>
      <c r="I202">
        <v>36000</v>
      </c>
    </row>
    <row r="203" spans="1:9" x14ac:dyDescent="0.45">
      <c r="A203" t="s">
        <v>795</v>
      </c>
      <c r="B203">
        <v>7236000</v>
      </c>
      <c r="C203" s="1">
        <v>5.9889603912474383E-4</v>
      </c>
      <c r="D203" s="1">
        <v>5.9889603912474392E-6</v>
      </c>
      <c r="E203" s="1">
        <v>5.9889603912474383E-4</v>
      </c>
      <c r="F203" s="1">
        <v>5.9889603912474392E-6</v>
      </c>
      <c r="G203" s="1">
        <v>5.9889603912474383E-4</v>
      </c>
      <c r="H203" s="2">
        <v>202</v>
      </c>
      <c r="I203">
        <v>36000</v>
      </c>
    </row>
    <row r="204" spans="1:9" x14ac:dyDescent="0.45">
      <c r="A204" t="s">
        <v>796</v>
      </c>
      <c r="B204">
        <v>7272000</v>
      </c>
      <c r="C204" s="1">
        <v>5.6219127725288078E-4</v>
      </c>
      <c r="D204" s="1">
        <v>5.6219127725288083E-6</v>
      </c>
      <c r="E204" s="1">
        <v>5.6219127725288078E-4</v>
      </c>
      <c r="F204" s="1">
        <v>5.6219127725288083E-6</v>
      </c>
      <c r="G204" s="1">
        <v>5.6219127725288078E-4</v>
      </c>
      <c r="H204" s="2">
        <v>203</v>
      </c>
      <c r="I204">
        <v>36000</v>
      </c>
    </row>
    <row r="205" spans="1:9" x14ac:dyDescent="0.45">
      <c r="A205" t="s">
        <v>797</v>
      </c>
      <c r="B205">
        <v>7308000</v>
      </c>
      <c r="C205" s="1">
        <v>5.5191038767168454E-4</v>
      </c>
      <c r="D205" s="1">
        <v>5.5191038767168451E-6</v>
      </c>
      <c r="E205" s="1">
        <v>5.5191038767168454E-4</v>
      </c>
      <c r="F205" s="1">
        <v>5.5191038767168451E-6</v>
      </c>
      <c r="G205" s="1">
        <v>5.5191038767168454E-4</v>
      </c>
      <c r="H205" s="2">
        <v>204</v>
      </c>
      <c r="I205">
        <v>36000</v>
      </c>
    </row>
    <row r="206" spans="1:9" x14ac:dyDescent="0.45">
      <c r="A206" t="s">
        <v>798</v>
      </c>
      <c r="B206">
        <v>7344000</v>
      </c>
      <c r="C206" s="1">
        <v>4.7282516897145961E-4</v>
      </c>
      <c r="D206" s="1">
        <v>4.7282516897145948E-6</v>
      </c>
      <c r="E206" s="1">
        <v>4.7282516897145961E-4</v>
      </c>
      <c r="F206" s="1">
        <v>4.7282516897145948E-6</v>
      </c>
      <c r="G206" s="1">
        <v>4.7282516897145961E-4</v>
      </c>
      <c r="H206" s="2">
        <v>205</v>
      </c>
      <c r="I206">
        <v>36000</v>
      </c>
    </row>
    <row r="207" spans="1:9" x14ac:dyDescent="0.45">
      <c r="A207" t="s">
        <v>799</v>
      </c>
      <c r="B207">
        <v>7380000</v>
      </c>
      <c r="C207" s="1">
        <v>5.028164955717129E-4</v>
      </c>
      <c r="D207" s="1">
        <v>5.028164955717129E-6</v>
      </c>
      <c r="E207" s="1">
        <v>5.028164955717129E-4</v>
      </c>
      <c r="F207" s="1">
        <v>5.028164955717129E-6</v>
      </c>
      <c r="G207" s="1">
        <v>5.028164955717129E-4</v>
      </c>
      <c r="H207" s="2">
        <v>206</v>
      </c>
      <c r="I207">
        <v>36000</v>
      </c>
    </row>
    <row r="208" spans="1:9" x14ac:dyDescent="0.45">
      <c r="A208" t="s">
        <v>800</v>
      </c>
      <c r="B208">
        <v>7416000</v>
      </c>
      <c r="C208" s="1">
        <v>5.640355829735162E-4</v>
      </c>
      <c r="D208" s="1">
        <v>5.6403558297351619E-6</v>
      </c>
      <c r="E208" s="1">
        <v>5.640355829735162E-4</v>
      </c>
      <c r="F208" s="1">
        <v>5.6403558297351619E-6</v>
      </c>
      <c r="G208" s="1">
        <v>5.640355829735162E-4</v>
      </c>
      <c r="H208" s="2">
        <v>207</v>
      </c>
      <c r="I208">
        <v>36000</v>
      </c>
    </row>
    <row r="209" spans="1:9" x14ac:dyDescent="0.45">
      <c r="A209" t="s">
        <v>801</v>
      </c>
      <c r="B209">
        <v>7452000</v>
      </c>
      <c r="C209" s="1">
        <v>5.766550649044049E-4</v>
      </c>
      <c r="D209" s="1">
        <v>5.7665506490440491E-6</v>
      </c>
      <c r="E209" s="1">
        <v>5.766550649044049E-4</v>
      </c>
      <c r="F209" s="1">
        <v>5.7665506490440491E-6</v>
      </c>
      <c r="G209" s="1">
        <v>5.766550649044049E-4</v>
      </c>
      <c r="H209" s="2">
        <v>208</v>
      </c>
      <c r="I209">
        <v>36000</v>
      </c>
    </row>
    <row r="210" spans="1:9" x14ac:dyDescent="0.45">
      <c r="A210" t="s">
        <v>802</v>
      </c>
      <c r="B210">
        <v>7488000</v>
      </c>
      <c r="C210" s="1">
        <v>5.8692775615882512E-4</v>
      </c>
      <c r="D210" s="1">
        <v>5.8692775615882509E-6</v>
      </c>
      <c r="E210" s="1">
        <v>5.8692775615882512E-4</v>
      </c>
      <c r="F210" s="1">
        <v>5.8692775615882509E-6</v>
      </c>
      <c r="G210" s="1">
        <v>5.8692775615882512E-4</v>
      </c>
      <c r="H210" s="2">
        <v>209</v>
      </c>
      <c r="I210">
        <v>36000</v>
      </c>
    </row>
    <row r="211" spans="1:9" x14ac:dyDescent="0.45">
      <c r="A211" t="s">
        <v>803</v>
      </c>
      <c r="B211">
        <v>7524000</v>
      </c>
      <c r="C211" s="1">
        <v>5.8730210901711277E-4</v>
      </c>
      <c r="D211" s="1">
        <v>5.8730210901711282E-6</v>
      </c>
      <c r="E211" s="1">
        <v>5.8730210901711277E-4</v>
      </c>
      <c r="F211" s="1">
        <v>5.8730210901711282E-6</v>
      </c>
      <c r="G211" s="1">
        <v>5.8730210901711277E-4</v>
      </c>
      <c r="H211" s="2">
        <v>210</v>
      </c>
      <c r="I211">
        <v>36000</v>
      </c>
    </row>
    <row r="212" spans="1:9" x14ac:dyDescent="0.45">
      <c r="A212">
        <v>1950</v>
      </c>
      <c r="B212">
        <v>7560000</v>
      </c>
      <c r="C212" s="1">
        <v>5.7254552261878477E-4</v>
      </c>
      <c r="D212" s="1">
        <v>5.7254552261878478E-6</v>
      </c>
      <c r="E212" s="1">
        <v>5.7254552261878477E-4</v>
      </c>
      <c r="F212" s="1">
        <v>5.7254552261878478E-6</v>
      </c>
      <c r="G212" s="1">
        <v>5.7254552261878477E-4</v>
      </c>
      <c r="H212" s="2">
        <v>211</v>
      </c>
      <c r="I212">
        <v>360</v>
      </c>
    </row>
    <row r="213" spans="1:9" x14ac:dyDescent="0.45">
      <c r="A213">
        <v>1951</v>
      </c>
      <c r="B213">
        <v>7560360</v>
      </c>
      <c r="C213">
        <v>5.9297851039605948E-4</v>
      </c>
      <c r="D213" s="1">
        <v>5.9297851039605949E-6</v>
      </c>
      <c r="E213" s="1">
        <v>5.9297851039605948E-4</v>
      </c>
      <c r="F213" s="1">
        <v>5.9297851039605949E-6</v>
      </c>
      <c r="G213" s="1">
        <v>5.9297851039605948E-4</v>
      </c>
      <c r="H213" s="2">
        <v>212</v>
      </c>
      <c r="I213">
        <v>360</v>
      </c>
    </row>
    <row r="214" spans="1:9" x14ac:dyDescent="0.45">
      <c r="A214">
        <v>1952</v>
      </c>
      <c r="B214">
        <v>7560720</v>
      </c>
      <c r="C214">
        <v>5.7784216108986981E-4</v>
      </c>
      <c r="D214" s="1">
        <v>5.7784216108986984E-6</v>
      </c>
      <c r="E214" s="1">
        <v>5.7784216108986981E-4</v>
      </c>
      <c r="F214" s="1">
        <v>5.7784216108986984E-6</v>
      </c>
      <c r="G214" s="1">
        <v>5.7784216108986981E-4</v>
      </c>
      <c r="H214" s="2">
        <v>213</v>
      </c>
      <c r="I214">
        <v>360</v>
      </c>
    </row>
    <row r="215" spans="1:9" x14ac:dyDescent="0.45">
      <c r="A215">
        <v>1953</v>
      </c>
      <c r="B215">
        <v>7561080</v>
      </c>
      <c r="C215">
        <v>7.01225780780004E-4</v>
      </c>
      <c r="D215" s="1">
        <v>7.0122578078000401E-6</v>
      </c>
      <c r="E215" s="1">
        <v>7.01225780780004E-4</v>
      </c>
      <c r="F215" s="1">
        <v>7.0122578078000401E-6</v>
      </c>
      <c r="G215" s="1">
        <v>7.01225780780004E-4</v>
      </c>
      <c r="H215" s="2">
        <v>214</v>
      </c>
      <c r="I215">
        <v>360</v>
      </c>
    </row>
    <row r="216" spans="1:9" x14ac:dyDescent="0.45">
      <c r="A216">
        <v>1954</v>
      </c>
      <c r="B216">
        <v>7561440</v>
      </c>
      <c r="C216">
        <v>6.0625323693920216E-4</v>
      </c>
      <c r="D216" s="1">
        <v>6.0625323693920221E-6</v>
      </c>
      <c r="E216" s="1">
        <v>6.0625323693920216E-4</v>
      </c>
      <c r="F216" s="1">
        <v>6.0625323693920221E-6</v>
      </c>
      <c r="G216" s="1">
        <v>6.0625323693920216E-4</v>
      </c>
      <c r="H216" s="2">
        <v>215</v>
      </c>
      <c r="I216">
        <v>360</v>
      </c>
    </row>
    <row r="217" spans="1:9" x14ac:dyDescent="0.45">
      <c r="A217">
        <v>1955</v>
      </c>
      <c r="B217">
        <v>7561800</v>
      </c>
      <c r="C217">
        <v>6.7531943247687762E-4</v>
      </c>
      <c r="D217" s="1">
        <v>6.7531943247687774E-6</v>
      </c>
      <c r="E217" s="1">
        <v>6.7531943247687762E-4</v>
      </c>
      <c r="F217" s="1">
        <v>6.7531943247687774E-6</v>
      </c>
      <c r="G217" s="1">
        <v>6.7531943247687762E-4</v>
      </c>
      <c r="H217" s="2">
        <v>216</v>
      </c>
      <c r="I217">
        <v>360</v>
      </c>
    </row>
    <row r="218" spans="1:9" x14ac:dyDescent="0.45">
      <c r="A218">
        <v>1956</v>
      </c>
      <c r="B218">
        <v>7562160</v>
      </c>
      <c r="C218">
        <v>7.934837592115222E-4</v>
      </c>
      <c r="D218" s="1">
        <v>7.9348375921152226E-6</v>
      </c>
      <c r="E218" s="1">
        <v>7.934837592115222E-4</v>
      </c>
      <c r="F218" s="1">
        <v>7.9348375921152226E-6</v>
      </c>
      <c r="G218" s="1">
        <v>7.934837592115222E-4</v>
      </c>
      <c r="H218" s="2">
        <v>217</v>
      </c>
      <c r="I218">
        <v>360</v>
      </c>
    </row>
    <row r="219" spans="1:9" x14ac:dyDescent="0.45">
      <c r="A219">
        <v>1957</v>
      </c>
      <c r="B219">
        <v>7562520</v>
      </c>
      <c r="C219">
        <v>6.3200610841889827E-4</v>
      </c>
      <c r="D219" s="1">
        <v>6.3200610841889821E-6</v>
      </c>
      <c r="E219" s="1">
        <v>6.3200610841889827E-4</v>
      </c>
      <c r="F219" s="1">
        <v>6.3200610841889821E-6</v>
      </c>
      <c r="G219" s="1">
        <v>6.3200610841889827E-4</v>
      </c>
      <c r="H219" s="2">
        <v>218</v>
      </c>
      <c r="I219">
        <v>360</v>
      </c>
    </row>
    <row r="220" spans="1:9" x14ac:dyDescent="0.45">
      <c r="A220">
        <v>1958</v>
      </c>
      <c r="B220">
        <v>7562880</v>
      </c>
      <c r="C220">
        <v>5.2246609042495211E-4</v>
      </c>
      <c r="D220" s="1">
        <v>5.2246609042495213E-6</v>
      </c>
      <c r="E220" s="1">
        <v>5.2246609042495211E-4</v>
      </c>
      <c r="F220" s="1">
        <v>5.2246609042495213E-6</v>
      </c>
      <c r="G220" s="1">
        <v>5.2246609042495211E-4</v>
      </c>
      <c r="H220" s="2">
        <v>219</v>
      </c>
      <c r="I220">
        <v>360</v>
      </c>
    </row>
    <row r="221" spans="1:9" x14ac:dyDescent="0.45">
      <c r="A221">
        <v>1959</v>
      </c>
      <c r="B221">
        <v>7563240</v>
      </c>
      <c r="C221">
        <v>5.7275828508846535E-4</v>
      </c>
      <c r="D221" s="1">
        <v>5.7275828508846516E-6</v>
      </c>
      <c r="E221" s="1">
        <v>5.7275828508846535E-4</v>
      </c>
      <c r="F221" s="1">
        <v>5.7275828508846516E-6</v>
      </c>
      <c r="G221" s="1">
        <v>5.7275828508846535E-4</v>
      </c>
      <c r="H221" s="2">
        <v>220</v>
      </c>
      <c r="I221">
        <v>360</v>
      </c>
    </row>
    <row r="222" spans="1:9" x14ac:dyDescent="0.45">
      <c r="A222">
        <v>1960</v>
      </c>
      <c r="B222">
        <v>7563600</v>
      </c>
      <c r="C222">
        <v>3.572441303810297E-4</v>
      </c>
      <c r="D222" s="1">
        <v>3.572441303810297E-6</v>
      </c>
      <c r="E222" s="1">
        <v>3.572441303810297E-4</v>
      </c>
      <c r="F222" s="1">
        <v>3.572441303810297E-6</v>
      </c>
      <c r="G222" s="1">
        <v>3.572441303810297E-4</v>
      </c>
      <c r="H222" s="2">
        <v>221</v>
      </c>
      <c r="I222">
        <v>360</v>
      </c>
    </row>
    <row r="223" spans="1:9" x14ac:dyDescent="0.45">
      <c r="A223">
        <v>1961</v>
      </c>
      <c r="B223">
        <v>7563960</v>
      </c>
      <c r="C223">
        <v>7.8115723463756577E-4</v>
      </c>
      <c r="D223" s="1">
        <v>7.8115723463756567E-6</v>
      </c>
      <c r="E223" s="1">
        <v>7.8115723463756577E-4</v>
      </c>
      <c r="F223" s="1">
        <v>7.8115723463756567E-6</v>
      </c>
      <c r="G223" s="1">
        <v>7.8115723463756577E-4</v>
      </c>
      <c r="H223" s="2">
        <v>222</v>
      </c>
      <c r="I223">
        <v>360</v>
      </c>
    </row>
    <row r="224" spans="1:9" x14ac:dyDescent="0.45">
      <c r="A224">
        <v>1962</v>
      </c>
      <c r="B224">
        <v>7564320</v>
      </c>
      <c r="C224">
        <v>4.531689220324248E-4</v>
      </c>
      <c r="D224" s="1">
        <v>4.531689220324248E-6</v>
      </c>
      <c r="E224" s="1">
        <v>4.531689220324248E-4</v>
      </c>
      <c r="F224" s="1">
        <v>4.531689220324248E-6</v>
      </c>
      <c r="G224" s="1">
        <v>4.531689220324248E-4</v>
      </c>
      <c r="H224" s="2">
        <v>223</v>
      </c>
      <c r="I224">
        <v>360</v>
      </c>
    </row>
    <row r="225" spans="1:9" x14ac:dyDescent="0.45">
      <c r="A225">
        <v>1963</v>
      </c>
      <c r="B225">
        <v>7564680</v>
      </c>
      <c r="C225">
        <v>5.7498094954749738E-4</v>
      </c>
      <c r="D225" s="1">
        <v>5.7498094954749744E-6</v>
      </c>
      <c r="E225" s="1">
        <v>5.7498094954749738E-4</v>
      </c>
      <c r="F225" s="1">
        <v>5.7498094954749744E-6</v>
      </c>
      <c r="G225" s="1">
        <v>5.7498094954749738E-4</v>
      </c>
      <c r="H225" s="2">
        <v>224</v>
      </c>
      <c r="I225">
        <v>360</v>
      </c>
    </row>
    <row r="226" spans="1:9" x14ac:dyDescent="0.45">
      <c r="A226">
        <v>1964</v>
      </c>
      <c r="B226">
        <v>7565040</v>
      </c>
      <c r="C226">
        <v>6.1715666405219582E-4</v>
      </c>
      <c r="D226" s="1">
        <v>6.1715666405219582E-6</v>
      </c>
      <c r="E226" s="1">
        <v>6.1715666405219582E-4</v>
      </c>
      <c r="F226" s="1">
        <v>6.1715666405219582E-6</v>
      </c>
      <c r="G226" s="1">
        <v>6.1715666405219582E-4</v>
      </c>
      <c r="H226" s="2">
        <v>225</v>
      </c>
      <c r="I226">
        <v>360</v>
      </c>
    </row>
    <row r="227" spans="1:9" x14ac:dyDescent="0.45">
      <c r="A227">
        <v>1965</v>
      </c>
      <c r="B227">
        <v>7565400</v>
      </c>
      <c r="C227">
        <v>7.2806814383172725E-4</v>
      </c>
      <c r="D227" s="1">
        <v>7.2806814383172734E-6</v>
      </c>
      <c r="E227" s="1">
        <v>7.2806814383172725E-4</v>
      </c>
      <c r="F227" s="1">
        <v>7.2806814383172734E-6</v>
      </c>
      <c r="G227" s="1">
        <v>7.2806814383172725E-4</v>
      </c>
      <c r="H227" s="2">
        <v>226</v>
      </c>
      <c r="I227">
        <v>360</v>
      </c>
    </row>
    <row r="228" spans="1:9" x14ac:dyDescent="0.45">
      <c r="A228">
        <v>1966</v>
      </c>
      <c r="B228">
        <v>7565760</v>
      </c>
      <c r="C228">
        <v>6.8133424917909079E-4</v>
      </c>
      <c r="D228" s="1">
        <v>6.8133424917909083E-6</v>
      </c>
      <c r="E228" s="1">
        <v>6.8133424917909079E-4</v>
      </c>
      <c r="F228" s="1">
        <v>6.8133424917909083E-6</v>
      </c>
      <c r="G228" s="1">
        <v>6.8133424917909079E-4</v>
      </c>
      <c r="H228" s="2">
        <v>227</v>
      </c>
      <c r="I228">
        <v>360</v>
      </c>
    </row>
    <row r="229" spans="1:9" x14ac:dyDescent="0.45">
      <c r="A229">
        <v>1967</v>
      </c>
      <c r="B229">
        <v>7566120</v>
      </c>
      <c r="C229">
        <v>5.5502136001665456E-4</v>
      </c>
      <c r="D229" s="1">
        <v>5.5502136001665453E-6</v>
      </c>
      <c r="E229" s="1">
        <v>5.5502136001665456E-4</v>
      </c>
      <c r="F229" s="1">
        <v>5.5502136001665453E-6</v>
      </c>
      <c r="G229" s="1">
        <v>5.5502136001665456E-4</v>
      </c>
      <c r="H229" s="2">
        <v>228</v>
      </c>
      <c r="I229">
        <v>360</v>
      </c>
    </row>
    <row r="230" spans="1:9" x14ac:dyDescent="0.45">
      <c r="A230">
        <v>1968</v>
      </c>
      <c r="B230">
        <v>7566480</v>
      </c>
      <c r="C230">
        <v>7.1790398823913721E-4</v>
      </c>
      <c r="D230" s="1">
        <v>7.1790398823913714E-6</v>
      </c>
      <c r="E230" s="1">
        <v>7.1790398823913721E-4</v>
      </c>
      <c r="F230" s="1">
        <v>7.1790398823913714E-6</v>
      </c>
      <c r="G230" s="1">
        <v>7.1790398823913721E-4</v>
      </c>
      <c r="H230" s="2">
        <v>229</v>
      </c>
      <c r="I230">
        <v>360</v>
      </c>
    </row>
    <row r="231" spans="1:9" x14ac:dyDescent="0.45">
      <c r="A231">
        <v>1969</v>
      </c>
      <c r="B231">
        <v>7566840</v>
      </c>
      <c r="C231">
        <v>6.247710440845614E-4</v>
      </c>
      <c r="D231" s="1">
        <v>6.2477104408456143E-6</v>
      </c>
      <c r="E231" s="1">
        <v>6.247710440845614E-4</v>
      </c>
      <c r="F231" s="1">
        <v>6.2477104408456143E-6</v>
      </c>
      <c r="G231" s="1">
        <v>6.247710440845614E-4</v>
      </c>
      <c r="H231" s="2">
        <v>230</v>
      </c>
      <c r="I231">
        <v>360</v>
      </c>
    </row>
    <row r="232" spans="1:9" x14ac:dyDescent="0.45">
      <c r="A232">
        <v>1970</v>
      </c>
      <c r="B232">
        <v>7567200</v>
      </c>
      <c r="C232">
        <v>7.1853251477000421E-4</v>
      </c>
      <c r="D232" s="1">
        <v>7.1853251477000417E-6</v>
      </c>
      <c r="E232" s="1">
        <v>7.1853251477000421E-4</v>
      </c>
      <c r="F232" s="1">
        <v>7.1853251477000417E-6</v>
      </c>
      <c r="G232" s="1">
        <v>7.1853251477000421E-4</v>
      </c>
      <c r="H232" s="2">
        <v>231</v>
      </c>
      <c r="I232">
        <v>360</v>
      </c>
    </row>
    <row r="233" spans="1:9" x14ac:dyDescent="0.45">
      <c r="A233">
        <v>1971</v>
      </c>
      <c r="B233">
        <v>7567560</v>
      </c>
      <c r="C233">
        <v>6.9554227893998163E-4</v>
      </c>
      <c r="D233" s="1">
        <v>6.9554227893998164E-6</v>
      </c>
      <c r="E233" s="1">
        <v>6.9554227893998163E-4</v>
      </c>
      <c r="F233" s="1">
        <v>6.9554227893998164E-6</v>
      </c>
      <c r="G233" s="1">
        <v>6.9554227893998163E-4</v>
      </c>
      <c r="H233" s="2">
        <v>232</v>
      </c>
      <c r="I233">
        <v>360</v>
      </c>
    </row>
    <row r="234" spans="1:9" x14ac:dyDescent="0.45">
      <c r="A234">
        <v>1972</v>
      </c>
      <c r="B234">
        <v>7567920</v>
      </c>
      <c r="C234">
        <v>5.7253061645059339E-4</v>
      </c>
      <c r="D234" s="1">
        <v>5.7253061645059336E-6</v>
      </c>
      <c r="E234" s="1">
        <v>5.7253061645059339E-4</v>
      </c>
      <c r="F234" s="1">
        <v>5.7253061645059336E-6</v>
      </c>
      <c r="G234" s="1">
        <v>5.7253061645059339E-4</v>
      </c>
      <c r="H234" s="2">
        <v>233</v>
      </c>
      <c r="I234">
        <v>360</v>
      </c>
    </row>
    <row r="235" spans="1:9" x14ac:dyDescent="0.45">
      <c r="A235">
        <v>1973</v>
      </c>
      <c r="B235">
        <v>7568280</v>
      </c>
      <c r="C235">
        <v>7.5562383814068183E-4</v>
      </c>
      <c r="D235" s="1">
        <v>7.556238381406818E-6</v>
      </c>
      <c r="E235" s="1">
        <v>7.5562383814068183E-4</v>
      </c>
      <c r="F235" s="1">
        <v>7.556238381406818E-6</v>
      </c>
      <c r="G235" s="1">
        <v>7.5562383814068183E-4</v>
      </c>
      <c r="H235" s="2">
        <v>234</v>
      </c>
      <c r="I235">
        <v>360</v>
      </c>
    </row>
    <row r="236" spans="1:9" x14ac:dyDescent="0.45">
      <c r="A236">
        <v>1974</v>
      </c>
      <c r="B236">
        <v>7568640</v>
      </c>
      <c r="C236">
        <v>4.7956646402789609E-4</v>
      </c>
      <c r="D236" s="1">
        <v>4.7956646402789611E-6</v>
      </c>
      <c r="E236" s="1">
        <v>4.7956646402789609E-4</v>
      </c>
      <c r="F236" s="1">
        <v>4.7956646402789611E-6</v>
      </c>
      <c r="G236" s="1">
        <v>4.7956646402789609E-4</v>
      </c>
      <c r="H236" s="2">
        <v>235</v>
      </c>
      <c r="I236">
        <v>360</v>
      </c>
    </row>
    <row r="237" spans="1:9" x14ac:dyDescent="0.45">
      <c r="A237">
        <v>1975</v>
      </c>
      <c r="B237">
        <v>7569000</v>
      </c>
      <c r="C237">
        <v>3.77861344903145E-4</v>
      </c>
      <c r="D237" s="1">
        <v>3.77861344903145E-6</v>
      </c>
      <c r="E237" s="1">
        <v>3.77861344903145E-4</v>
      </c>
      <c r="F237" s="1">
        <v>3.77861344903145E-6</v>
      </c>
      <c r="G237" s="1">
        <v>3.77861344903145E-4</v>
      </c>
      <c r="H237" s="2">
        <v>236</v>
      </c>
      <c r="I237">
        <v>360</v>
      </c>
    </row>
    <row r="238" spans="1:9" x14ac:dyDescent="0.45">
      <c r="A238">
        <v>1976</v>
      </c>
      <c r="B238">
        <v>7569360</v>
      </c>
      <c r="C238">
        <v>6.3076157488416986E-4</v>
      </c>
      <c r="D238" s="1">
        <v>6.3076157488417004E-6</v>
      </c>
      <c r="E238" s="1">
        <v>6.3076157488416986E-4</v>
      </c>
      <c r="F238" s="1">
        <v>6.3076157488417004E-6</v>
      </c>
      <c r="G238" s="1">
        <v>6.3076157488416986E-4</v>
      </c>
      <c r="H238" s="2">
        <v>237</v>
      </c>
      <c r="I238">
        <v>360</v>
      </c>
    </row>
    <row r="239" spans="1:9" x14ac:dyDescent="0.45">
      <c r="A239">
        <v>1977</v>
      </c>
      <c r="B239">
        <v>7569720</v>
      </c>
      <c r="C239">
        <v>5.3573866388844803E-4</v>
      </c>
      <c r="D239" s="1">
        <v>5.3573866388844809E-6</v>
      </c>
      <c r="E239" s="1">
        <v>5.3573866388844803E-4</v>
      </c>
      <c r="F239" s="1">
        <v>5.3573866388844809E-6</v>
      </c>
      <c r="G239" s="1">
        <v>5.3573866388844803E-4</v>
      </c>
      <c r="H239" s="2">
        <v>238</v>
      </c>
      <c r="I239">
        <v>360</v>
      </c>
    </row>
    <row r="240" spans="1:9" x14ac:dyDescent="0.45">
      <c r="A240">
        <v>1978</v>
      </c>
      <c r="B240">
        <v>7570080</v>
      </c>
      <c r="C240">
        <v>5.1650487503666432E-4</v>
      </c>
      <c r="D240" s="1">
        <v>5.165048750366643E-6</v>
      </c>
      <c r="E240" s="1">
        <v>5.1650487503666432E-4</v>
      </c>
      <c r="F240" s="1">
        <v>5.165048750366643E-6</v>
      </c>
      <c r="G240" s="1">
        <v>5.1650487503666432E-4</v>
      </c>
      <c r="H240" s="2">
        <v>239</v>
      </c>
      <c r="I240">
        <v>360</v>
      </c>
    </row>
    <row r="241" spans="1:9" x14ac:dyDescent="0.45">
      <c r="A241">
        <v>1979</v>
      </c>
      <c r="B241">
        <v>7570440</v>
      </c>
      <c r="C241">
        <v>6.206520086059846E-4</v>
      </c>
      <c r="D241" s="1">
        <v>6.2065200860598446E-6</v>
      </c>
      <c r="E241" s="1">
        <v>6.206520086059846E-4</v>
      </c>
      <c r="F241" s="1">
        <v>6.2065200860598446E-6</v>
      </c>
      <c r="G241" s="1">
        <v>6.206520086059846E-4</v>
      </c>
      <c r="H241" s="2">
        <v>240</v>
      </c>
      <c r="I241">
        <v>360</v>
      </c>
    </row>
    <row r="242" spans="1:9" x14ac:dyDescent="0.45">
      <c r="A242">
        <v>1980</v>
      </c>
      <c r="B242">
        <v>7570800</v>
      </c>
      <c r="C242">
        <v>7.195322821158302E-4</v>
      </c>
      <c r="D242" s="1">
        <v>7.195322821158302E-6</v>
      </c>
      <c r="E242" s="1">
        <v>7.195322821158302E-4</v>
      </c>
      <c r="F242" s="1">
        <v>7.195322821158302E-6</v>
      </c>
      <c r="G242" s="1">
        <v>7.195322821158302E-4</v>
      </c>
      <c r="H242" s="2">
        <v>241</v>
      </c>
      <c r="I242">
        <v>360</v>
      </c>
    </row>
    <row r="243" spans="1:9" x14ac:dyDescent="0.45">
      <c r="A243">
        <v>1981</v>
      </c>
      <c r="B243">
        <v>7571160</v>
      </c>
      <c r="C243">
        <v>2.9134882445236649E-4</v>
      </c>
      <c r="D243" s="1">
        <v>2.9134882445236648E-6</v>
      </c>
      <c r="E243" s="1">
        <v>2.9134882445236649E-4</v>
      </c>
      <c r="F243" s="1">
        <v>2.9134882445236648E-6</v>
      </c>
      <c r="G243" s="1">
        <v>2.9134882445236649E-4</v>
      </c>
      <c r="H243" s="2">
        <v>242</v>
      </c>
      <c r="I243">
        <v>360</v>
      </c>
    </row>
    <row r="244" spans="1:9" x14ac:dyDescent="0.45">
      <c r="A244">
        <v>1982</v>
      </c>
      <c r="B244">
        <v>7571520</v>
      </c>
      <c r="C244">
        <v>5.0209969717145185E-4</v>
      </c>
      <c r="D244" s="1">
        <v>5.0209969717145189E-6</v>
      </c>
      <c r="E244" s="1">
        <v>5.0209969717145185E-4</v>
      </c>
      <c r="F244" s="1">
        <v>5.0209969717145189E-6</v>
      </c>
      <c r="G244" s="1">
        <v>5.0209969717145185E-4</v>
      </c>
      <c r="H244" s="2">
        <v>243</v>
      </c>
      <c r="I244">
        <v>360</v>
      </c>
    </row>
    <row r="245" spans="1:9" x14ac:dyDescent="0.45">
      <c r="A245">
        <v>1983</v>
      </c>
      <c r="B245">
        <v>7571880</v>
      </c>
      <c r="C245">
        <v>7.4802277554614563E-4</v>
      </c>
      <c r="D245" s="1">
        <v>7.4802277554614567E-6</v>
      </c>
      <c r="E245" s="1">
        <v>7.4802277554614563E-4</v>
      </c>
      <c r="F245" s="1">
        <v>7.4802277554614567E-6</v>
      </c>
      <c r="G245" s="1">
        <v>7.4802277554614563E-4</v>
      </c>
      <c r="H245" s="2">
        <v>244</v>
      </c>
      <c r="I245">
        <v>360</v>
      </c>
    </row>
    <row r="246" spans="1:9" x14ac:dyDescent="0.45">
      <c r="A246">
        <v>1984</v>
      </c>
      <c r="B246">
        <v>7572240</v>
      </c>
      <c r="C246">
        <v>5.6061012672548299E-4</v>
      </c>
      <c r="D246" s="1">
        <v>5.6061012672548299E-6</v>
      </c>
      <c r="E246" s="1">
        <v>5.6061012672548299E-4</v>
      </c>
      <c r="F246" s="1">
        <v>5.6061012672548299E-6</v>
      </c>
      <c r="G246" s="1">
        <v>5.6061012672548299E-4</v>
      </c>
      <c r="H246" s="2">
        <v>245</v>
      </c>
      <c r="I246">
        <v>360</v>
      </c>
    </row>
    <row r="247" spans="1:9" x14ac:dyDescent="0.45">
      <c r="A247">
        <v>1985</v>
      </c>
      <c r="B247">
        <v>7572600</v>
      </c>
      <c r="C247">
        <v>8.2964178446747177E-4</v>
      </c>
      <c r="D247" s="1">
        <v>8.2964178446747183E-6</v>
      </c>
      <c r="E247" s="1">
        <v>8.2964178446747177E-4</v>
      </c>
      <c r="F247" s="1">
        <v>8.2964178446747183E-6</v>
      </c>
      <c r="G247" s="1">
        <v>8.2964178446747177E-4</v>
      </c>
      <c r="H247" s="2">
        <v>246</v>
      </c>
      <c r="I247">
        <v>360</v>
      </c>
    </row>
    <row r="248" spans="1:9" x14ac:dyDescent="0.45">
      <c r="A248">
        <v>1986</v>
      </c>
      <c r="B248">
        <v>7572960</v>
      </c>
      <c r="C248">
        <v>5.5192525783438826E-4</v>
      </c>
      <c r="D248" s="1">
        <v>5.5192525783438814E-6</v>
      </c>
      <c r="E248" s="1">
        <v>5.5192525783438826E-4</v>
      </c>
      <c r="F248" s="1">
        <v>5.5192525783438814E-6</v>
      </c>
      <c r="G248" s="1">
        <v>5.5192525783438826E-4</v>
      </c>
      <c r="H248" s="2">
        <v>247</v>
      </c>
      <c r="I248">
        <v>360</v>
      </c>
    </row>
    <row r="249" spans="1:9" x14ac:dyDescent="0.45">
      <c r="A249">
        <v>1987</v>
      </c>
      <c r="B249">
        <v>7573320</v>
      </c>
      <c r="C249">
        <v>2.594301690595899E-4</v>
      </c>
      <c r="D249" s="1">
        <v>2.594301690595899E-6</v>
      </c>
      <c r="E249" s="1">
        <v>2.594301690595899E-4</v>
      </c>
      <c r="F249" s="1">
        <v>2.594301690595899E-6</v>
      </c>
      <c r="G249" s="1">
        <v>2.594301690595899E-4</v>
      </c>
      <c r="H249" s="2">
        <v>248</v>
      </c>
      <c r="I249">
        <v>360</v>
      </c>
    </row>
    <row r="250" spans="1:9" x14ac:dyDescent="0.45">
      <c r="A250">
        <v>1988</v>
      </c>
      <c r="B250">
        <v>7573680</v>
      </c>
      <c r="C250">
        <v>5.8758806918154829E-4</v>
      </c>
      <c r="D250" s="1">
        <v>5.875880691815483E-6</v>
      </c>
      <c r="E250" s="1">
        <v>5.8758806918154829E-4</v>
      </c>
      <c r="F250" s="1">
        <v>5.875880691815483E-6</v>
      </c>
      <c r="G250" s="1">
        <v>5.8758806918154829E-4</v>
      </c>
      <c r="H250" s="2">
        <v>249</v>
      </c>
      <c r="I250">
        <v>360</v>
      </c>
    </row>
    <row r="251" spans="1:9" x14ac:dyDescent="0.45">
      <c r="A251">
        <v>1989</v>
      </c>
      <c r="B251">
        <v>7574040</v>
      </c>
      <c r="C251">
        <v>7.1827862361545337E-4</v>
      </c>
      <c r="D251" s="1">
        <v>7.1827862361545332E-6</v>
      </c>
      <c r="E251" s="1">
        <v>7.1827862361545337E-4</v>
      </c>
      <c r="F251" s="1">
        <v>7.1827862361545332E-6</v>
      </c>
      <c r="G251" s="1">
        <v>7.1827862361545337E-4</v>
      </c>
      <c r="H251" s="2">
        <v>250</v>
      </c>
      <c r="I251">
        <v>360</v>
      </c>
    </row>
    <row r="252" spans="1:9" x14ac:dyDescent="0.45">
      <c r="A252">
        <v>1990</v>
      </c>
      <c r="B252">
        <v>7574400</v>
      </c>
      <c r="C252">
        <v>6.3964240766474305E-4</v>
      </c>
      <c r="D252" s="1">
        <v>6.3964240766474296E-6</v>
      </c>
      <c r="E252" s="1">
        <v>6.3964240766474305E-4</v>
      </c>
      <c r="F252" s="1">
        <v>6.3964240766474296E-6</v>
      </c>
      <c r="G252" s="1">
        <v>6.3964240766474305E-4</v>
      </c>
      <c r="H252" s="2">
        <v>251</v>
      </c>
      <c r="I252">
        <v>360</v>
      </c>
    </row>
    <row r="253" spans="1:9" x14ac:dyDescent="0.45">
      <c r="A253">
        <v>1991</v>
      </c>
      <c r="B253">
        <v>7574760</v>
      </c>
      <c r="C253">
        <v>6.4218380286974329E-4</v>
      </c>
      <c r="D253" s="1">
        <v>6.4218380286974329E-6</v>
      </c>
      <c r="E253" s="1">
        <v>6.4218380286974329E-4</v>
      </c>
      <c r="F253" s="1">
        <v>6.4218380286974329E-6</v>
      </c>
      <c r="G253" s="1">
        <v>6.4218380286974329E-4</v>
      </c>
      <c r="H253" s="2">
        <v>252</v>
      </c>
      <c r="I253">
        <v>360</v>
      </c>
    </row>
    <row r="254" spans="1:9" x14ac:dyDescent="0.45">
      <c r="A254">
        <v>1992</v>
      </c>
      <c r="B254">
        <v>7575120</v>
      </c>
      <c r="C254">
        <v>7.9556383137322937E-4</v>
      </c>
      <c r="D254" s="1">
        <v>7.9556383137322939E-6</v>
      </c>
      <c r="E254" s="1">
        <v>7.9556383137322937E-4</v>
      </c>
      <c r="F254" s="1">
        <v>7.9556383137322939E-6</v>
      </c>
      <c r="G254" s="1">
        <v>7.9556383137322937E-4</v>
      </c>
      <c r="H254" s="2">
        <v>253</v>
      </c>
      <c r="I254">
        <v>360</v>
      </c>
    </row>
    <row r="255" spans="1:9" x14ac:dyDescent="0.45">
      <c r="A255">
        <v>1993</v>
      </c>
      <c r="B255">
        <v>7575480</v>
      </c>
      <c r="C255">
        <v>4.7143997174482332E-4</v>
      </c>
      <c r="D255" s="1">
        <v>4.7143997174482327E-6</v>
      </c>
      <c r="E255" s="1">
        <v>4.7143997174482332E-4</v>
      </c>
      <c r="F255" s="1">
        <v>4.7143997174482327E-6</v>
      </c>
      <c r="G255" s="1">
        <v>4.7143997174482332E-4</v>
      </c>
      <c r="H255" s="2">
        <v>254</v>
      </c>
      <c r="I255">
        <v>360</v>
      </c>
    </row>
    <row r="256" spans="1:9" x14ac:dyDescent="0.45">
      <c r="A256">
        <v>1994</v>
      </c>
      <c r="B256">
        <v>7575840</v>
      </c>
      <c r="C256">
        <v>6.1579065355337435E-4</v>
      </c>
      <c r="D256" s="1">
        <v>6.1579065355337439E-6</v>
      </c>
      <c r="E256" s="1">
        <v>6.1579065355337435E-4</v>
      </c>
      <c r="F256" s="1">
        <v>6.1579065355337439E-6</v>
      </c>
      <c r="G256" s="1">
        <v>6.1579065355337435E-4</v>
      </c>
      <c r="H256" s="2">
        <v>255</v>
      </c>
      <c r="I256">
        <v>360</v>
      </c>
    </row>
    <row r="257" spans="1:9" x14ac:dyDescent="0.45">
      <c r="A257">
        <v>1995</v>
      </c>
      <c r="B257">
        <v>7576200</v>
      </c>
      <c r="C257">
        <v>6.1124317251300023E-4</v>
      </c>
      <c r="D257" s="1">
        <v>6.1124317251300034E-6</v>
      </c>
      <c r="E257" s="1">
        <v>6.1124317251300023E-4</v>
      </c>
      <c r="F257" s="1">
        <v>6.1124317251300034E-6</v>
      </c>
      <c r="G257" s="1">
        <v>6.1124317251300023E-4</v>
      </c>
      <c r="H257" s="2">
        <v>256</v>
      </c>
      <c r="I257">
        <v>360</v>
      </c>
    </row>
    <row r="258" spans="1:9" x14ac:dyDescent="0.45">
      <c r="A258">
        <v>1996</v>
      </c>
      <c r="B258">
        <v>7576560</v>
      </c>
      <c r="C258">
        <v>8.2762994075904659E-4</v>
      </c>
      <c r="D258" s="1">
        <v>8.2762994075904666E-6</v>
      </c>
      <c r="E258" s="1">
        <v>8.2762994075904659E-4</v>
      </c>
      <c r="F258" s="1">
        <v>8.2762994075904666E-6</v>
      </c>
      <c r="G258" s="1">
        <v>8.2762994075904659E-4</v>
      </c>
      <c r="H258" s="2">
        <v>257</v>
      </c>
      <c r="I258">
        <v>360</v>
      </c>
    </row>
    <row r="259" spans="1:9" x14ac:dyDescent="0.45">
      <c r="A259">
        <v>1997</v>
      </c>
      <c r="B259">
        <v>7576920</v>
      </c>
      <c r="C259">
        <v>6.7528242245754738E-4</v>
      </c>
      <c r="D259" s="1">
        <v>6.7528242245754739E-6</v>
      </c>
      <c r="E259" s="1">
        <v>6.7528242245754738E-4</v>
      </c>
      <c r="F259" s="1">
        <v>6.7528242245754739E-6</v>
      </c>
      <c r="G259" s="1">
        <v>6.7528242245754738E-4</v>
      </c>
      <c r="H259" s="2">
        <v>258</v>
      </c>
      <c r="I259">
        <v>360</v>
      </c>
    </row>
    <row r="260" spans="1:9" x14ac:dyDescent="0.45">
      <c r="A260">
        <v>1998</v>
      </c>
      <c r="B260">
        <v>7577280</v>
      </c>
      <c r="C260">
        <v>8.1609027804714629E-4</v>
      </c>
      <c r="D260" s="1">
        <v>8.1609027804714623E-6</v>
      </c>
      <c r="E260" s="1">
        <v>8.1609027804714629E-4</v>
      </c>
      <c r="F260" s="1">
        <v>8.1609027804714623E-6</v>
      </c>
      <c r="G260" s="1">
        <v>8.1609027804714629E-4</v>
      </c>
      <c r="H260" s="2">
        <v>259</v>
      </c>
      <c r="I260">
        <v>360</v>
      </c>
    </row>
    <row r="261" spans="1:9" x14ac:dyDescent="0.45">
      <c r="A261">
        <v>1999</v>
      </c>
      <c r="B261">
        <v>7577640</v>
      </c>
      <c r="C261">
        <v>3.4945422270553399E-4</v>
      </c>
      <c r="D261" s="1">
        <v>3.4945422270553402E-6</v>
      </c>
      <c r="E261" s="1">
        <v>3.4945422270553399E-4</v>
      </c>
      <c r="F261" s="1">
        <v>3.4945422270553402E-6</v>
      </c>
      <c r="G261" s="1">
        <v>3.4945422270553399E-4</v>
      </c>
      <c r="H261" s="2">
        <v>260</v>
      </c>
      <c r="I261">
        <v>360</v>
      </c>
    </row>
    <row r="262" spans="1:9" x14ac:dyDescent="0.45">
      <c r="A262">
        <v>2000</v>
      </c>
      <c r="B262">
        <v>7578000</v>
      </c>
      <c r="C262">
        <v>5.5916517295822666E-4</v>
      </c>
      <c r="D262" s="1">
        <v>5.5916517295822656E-6</v>
      </c>
      <c r="E262" s="1">
        <v>5.5916517295822666E-4</v>
      </c>
      <c r="F262" s="1">
        <v>5.5916517295822656E-6</v>
      </c>
      <c r="G262" s="1">
        <v>5.5916517295822666E-4</v>
      </c>
      <c r="H262" s="2">
        <v>261</v>
      </c>
      <c r="I262">
        <v>360</v>
      </c>
    </row>
    <row r="263" spans="1:9" x14ac:dyDescent="0.45">
      <c r="A263">
        <v>2001</v>
      </c>
      <c r="B263">
        <v>7578360</v>
      </c>
      <c r="C263">
        <v>7.3867228076687178E-4</v>
      </c>
      <c r="D263" s="1">
        <v>7.3867228076687166E-6</v>
      </c>
      <c r="E263" s="1">
        <v>7.3867228076687178E-4</v>
      </c>
      <c r="F263" s="1">
        <v>7.3867228076687166E-6</v>
      </c>
      <c r="G263" s="1">
        <v>7.3867228076687178E-4</v>
      </c>
      <c r="H263" s="2">
        <v>262</v>
      </c>
      <c r="I263">
        <v>360</v>
      </c>
    </row>
    <row r="264" spans="1:9" x14ac:dyDescent="0.45">
      <c r="A264">
        <v>2002</v>
      </c>
      <c r="B264">
        <v>7578720</v>
      </c>
      <c r="C264">
        <v>7.4209417307762092E-4</v>
      </c>
      <c r="D264" s="1">
        <v>7.4209417307762099E-6</v>
      </c>
      <c r="E264" s="1">
        <v>7.4209417307762092E-4</v>
      </c>
      <c r="F264" s="1">
        <v>7.4209417307762099E-6</v>
      </c>
      <c r="G264" s="1">
        <v>7.4209417307762092E-4</v>
      </c>
      <c r="H264" s="2">
        <v>263</v>
      </c>
      <c r="I264">
        <v>360</v>
      </c>
    </row>
    <row r="265" spans="1:9" x14ac:dyDescent="0.45">
      <c r="A265">
        <v>2003</v>
      </c>
      <c r="B265">
        <v>7579080</v>
      </c>
      <c r="C265">
        <v>4.6396100700759078E-4</v>
      </c>
      <c r="D265" s="1">
        <v>4.6396100700759093E-6</v>
      </c>
      <c r="E265" s="1">
        <v>4.6396100700759078E-4</v>
      </c>
      <c r="F265" s="1">
        <v>4.6396100700759093E-6</v>
      </c>
      <c r="G265" s="1">
        <v>4.6396100700759078E-4</v>
      </c>
      <c r="H265" s="2">
        <v>264</v>
      </c>
      <c r="I265">
        <v>360</v>
      </c>
    </row>
    <row r="266" spans="1:9" x14ac:dyDescent="0.45">
      <c r="A266">
        <v>2004</v>
      </c>
      <c r="B266">
        <v>7579440</v>
      </c>
      <c r="C266">
        <v>4.5068228800443209E-4</v>
      </c>
      <c r="D266" s="1">
        <v>4.5068228800443208E-6</v>
      </c>
      <c r="E266" s="1">
        <v>4.5068228800443209E-4</v>
      </c>
      <c r="F266" s="1">
        <v>4.5068228800443208E-6</v>
      </c>
      <c r="G266" s="1">
        <v>4.5068228800443209E-4</v>
      </c>
      <c r="H266" s="2">
        <v>265</v>
      </c>
      <c r="I266">
        <v>360</v>
      </c>
    </row>
    <row r="267" spans="1:9" x14ac:dyDescent="0.45">
      <c r="A267">
        <v>2005</v>
      </c>
      <c r="B267">
        <v>7579800</v>
      </c>
      <c r="C267">
        <v>3.7507530034252027E-4</v>
      </c>
      <c r="D267" s="1">
        <v>3.7507530034252029E-6</v>
      </c>
      <c r="E267" s="1">
        <v>3.7507530034252027E-4</v>
      </c>
      <c r="F267" s="1">
        <v>3.7507530034252029E-6</v>
      </c>
      <c r="G267" s="1">
        <v>3.7507530034252027E-4</v>
      </c>
      <c r="H267" s="2">
        <v>266</v>
      </c>
      <c r="I267">
        <v>360</v>
      </c>
    </row>
    <row r="268" spans="1:9" x14ac:dyDescent="0.45">
      <c r="A268">
        <v>2006</v>
      </c>
      <c r="B268">
        <v>7580160</v>
      </c>
      <c r="C268">
        <v>5.0388556352573002E-4</v>
      </c>
      <c r="D268" s="1">
        <v>5.0388556352573001E-6</v>
      </c>
      <c r="E268" s="1">
        <v>5.0388556352573002E-4</v>
      </c>
      <c r="F268" s="1">
        <v>5.0388556352573001E-6</v>
      </c>
      <c r="G268" s="1">
        <v>5.0388556352573002E-4</v>
      </c>
      <c r="H268" s="2">
        <v>267</v>
      </c>
      <c r="I268">
        <v>360</v>
      </c>
    </row>
    <row r="269" spans="1:9" x14ac:dyDescent="0.45">
      <c r="A269">
        <v>2007</v>
      </c>
      <c r="B269">
        <v>7580520</v>
      </c>
      <c r="C269">
        <v>8.0294967571109023E-4</v>
      </c>
      <c r="D269" s="1">
        <v>8.029496757110902E-6</v>
      </c>
      <c r="E269" s="1">
        <v>8.0294967571109023E-4</v>
      </c>
      <c r="F269" s="1">
        <v>8.029496757110902E-6</v>
      </c>
      <c r="G269" s="1">
        <v>8.0294967571109023E-4</v>
      </c>
      <c r="H269" s="2">
        <v>268</v>
      </c>
      <c r="I269">
        <v>360</v>
      </c>
    </row>
    <row r="270" spans="1:9" x14ac:dyDescent="0.45">
      <c r="A270">
        <v>2008</v>
      </c>
      <c r="B270">
        <v>7580880</v>
      </c>
      <c r="C270">
        <v>7.0007171819925801E-4</v>
      </c>
      <c r="D270" s="1">
        <v>7.0007171819925796E-6</v>
      </c>
      <c r="E270" s="1">
        <v>7.0007171819925801E-4</v>
      </c>
      <c r="F270" s="1">
        <v>7.0007171819925796E-6</v>
      </c>
      <c r="G270" s="1">
        <v>7.0007171819925801E-4</v>
      </c>
      <c r="H270" s="2">
        <v>269</v>
      </c>
      <c r="I270">
        <v>360</v>
      </c>
    </row>
    <row r="271" spans="1:9" x14ac:dyDescent="0.45">
      <c r="A271">
        <v>2009</v>
      </c>
      <c r="B271">
        <v>7581240</v>
      </c>
      <c r="C271">
        <v>5.6649151685696242E-4</v>
      </c>
      <c r="D271" s="1">
        <v>5.6649151685696243E-6</v>
      </c>
      <c r="E271" s="1">
        <v>5.6649151685696242E-4</v>
      </c>
      <c r="F271" s="1">
        <v>5.6649151685696243E-6</v>
      </c>
      <c r="G271" s="1">
        <v>5.6649151685696242E-4</v>
      </c>
      <c r="H271" s="2">
        <v>270</v>
      </c>
      <c r="I271">
        <v>360</v>
      </c>
    </row>
    <row r="272" spans="1:9" x14ac:dyDescent="0.45">
      <c r="A272">
        <v>2010</v>
      </c>
      <c r="B272">
        <v>7581600</v>
      </c>
      <c r="C272">
        <v>4.2985466508481168E-4</v>
      </c>
      <c r="D272" s="1">
        <v>4.2985466508481163E-6</v>
      </c>
      <c r="E272" s="1">
        <v>4.2985466508481168E-4</v>
      </c>
      <c r="F272" s="1">
        <v>4.2985466508481163E-6</v>
      </c>
      <c r="G272" s="1">
        <v>4.2985466508481168E-4</v>
      </c>
      <c r="H272" s="2">
        <v>271</v>
      </c>
      <c r="I272">
        <v>360</v>
      </c>
    </row>
    <row r="273" spans="1:9" x14ac:dyDescent="0.45">
      <c r="A273">
        <v>2011</v>
      </c>
      <c r="B273">
        <v>7581960</v>
      </c>
      <c r="C273">
        <v>3.0854060773305718E-4</v>
      </c>
      <c r="D273" s="1">
        <v>3.085406077330572E-6</v>
      </c>
      <c r="E273" s="1">
        <v>3.0854060773305718E-4</v>
      </c>
      <c r="F273" s="1">
        <v>3.085406077330572E-6</v>
      </c>
      <c r="G273" s="1">
        <v>3.0854060773305718E-4</v>
      </c>
      <c r="H273" s="2">
        <v>272</v>
      </c>
      <c r="I273">
        <v>360</v>
      </c>
    </row>
    <row r="274" spans="1:9" x14ac:dyDescent="0.45">
      <c r="A274">
        <v>2012</v>
      </c>
      <c r="B274">
        <v>7582320</v>
      </c>
      <c r="C274">
        <v>5.7701883542728865E-4</v>
      </c>
      <c r="D274" s="1">
        <v>5.7701883542728854E-6</v>
      </c>
      <c r="E274" s="1">
        <v>5.7701883542728865E-4</v>
      </c>
      <c r="F274" s="1">
        <v>5.7701883542728854E-6</v>
      </c>
      <c r="G274" s="1">
        <v>5.7701883542728865E-4</v>
      </c>
      <c r="H274" s="2">
        <v>273</v>
      </c>
      <c r="I274">
        <v>360</v>
      </c>
    </row>
    <row r="275" spans="1:9" x14ac:dyDescent="0.45">
      <c r="A275">
        <v>2013</v>
      </c>
      <c r="B275">
        <v>7582680</v>
      </c>
      <c r="C275">
        <v>8.4426260266278266E-4</v>
      </c>
      <c r="D275" s="1">
        <v>8.4426260266278264E-6</v>
      </c>
      <c r="E275" s="1">
        <v>8.4426260266278266E-4</v>
      </c>
      <c r="F275" s="1">
        <v>8.4426260266278264E-6</v>
      </c>
      <c r="G275" s="1">
        <v>8.4426260266278266E-4</v>
      </c>
      <c r="H275" s="2">
        <v>274</v>
      </c>
      <c r="I275">
        <v>360</v>
      </c>
    </row>
    <row r="276" spans="1:9" x14ac:dyDescent="0.45">
      <c r="A276">
        <v>2014</v>
      </c>
      <c r="B276">
        <v>7583040</v>
      </c>
      <c r="C276">
        <v>9.552168804465085E-4</v>
      </c>
      <c r="D276" s="1">
        <v>9.5521688044650852E-6</v>
      </c>
      <c r="E276" s="1">
        <v>9.552168804465085E-4</v>
      </c>
      <c r="F276" s="1">
        <v>9.5521688044650852E-6</v>
      </c>
      <c r="G276" s="1">
        <v>9.552168804465085E-4</v>
      </c>
      <c r="H276" s="2">
        <v>275</v>
      </c>
      <c r="I276">
        <v>360</v>
      </c>
    </row>
    <row r="277" spans="1:9" x14ac:dyDescent="0.45">
      <c r="A277">
        <v>2015</v>
      </c>
      <c r="B277">
        <v>7583400</v>
      </c>
      <c r="C277">
        <v>3.5786093692759128E-4</v>
      </c>
      <c r="D277" s="1">
        <v>3.5786093692759129E-6</v>
      </c>
      <c r="E277" s="1">
        <v>3.5786093692759128E-4</v>
      </c>
      <c r="F277" s="1">
        <v>3.5786093692759129E-6</v>
      </c>
      <c r="G277" s="1">
        <v>3.5786093692759128E-4</v>
      </c>
      <c r="H277" s="2">
        <v>276</v>
      </c>
      <c r="I277">
        <v>360</v>
      </c>
    </row>
    <row r="278" spans="1:9" x14ac:dyDescent="0.45">
      <c r="A278">
        <v>2016</v>
      </c>
      <c r="B278">
        <v>7583760</v>
      </c>
      <c r="C278">
        <v>9.5065057852621645E-4</v>
      </c>
      <c r="D278" s="1">
        <v>9.5065057852621648E-6</v>
      </c>
      <c r="E278" s="1">
        <v>9.5065057852621645E-4</v>
      </c>
      <c r="F278" s="1">
        <v>9.5065057852621648E-6</v>
      </c>
      <c r="G278" s="1">
        <v>9.5065057852621645E-4</v>
      </c>
      <c r="H278" s="2">
        <v>277</v>
      </c>
      <c r="I278">
        <v>360</v>
      </c>
    </row>
    <row r="279" spans="1:9" x14ac:dyDescent="0.45">
      <c r="A279">
        <v>2017</v>
      </c>
      <c r="B279">
        <v>7584120</v>
      </c>
      <c r="C279">
        <v>4.7094307374518279E-4</v>
      </c>
      <c r="D279" s="1">
        <v>4.7094307374518287E-6</v>
      </c>
      <c r="E279" s="1">
        <v>4.7094307374518279E-4</v>
      </c>
      <c r="F279" s="1">
        <v>4.7094307374518287E-6</v>
      </c>
      <c r="G279" s="1">
        <v>4.7094307374518279E-4</v>
      </c>
      <c r="H279" s="2">
        <v>278</v>
      </c>
      <c r="I279">
        <v>360</v>
      </c>
    </row>
    <row r="280" spans="1:9" x14ac:dyDescent="0.45">
      <c r="A280">
        <v>2018</v>
      </c>
      <c r="B280">
        <v>7584480</v>
      </c>
      <c r="C280">
        <v>7.0474477053287924E-4</v>
      </c>
      <c r="D280" s="1">
        <v>7.0474477053287921E-6</v>
      </c>
      <c r="E280" s="1">
        <v>7.0474477053287924E-4</v>
      </c>
      <c r="F280" s="1">
        <v>7.0474477053287921E-6</v>
      </c>
      <c r="G280" s="1">
        <v>7.0474477053287924E-4</v>
      </c>
      <c r="H280" s="2">
        <v>279</v>
      </c>
      <c r="I280">
        <v>360</v>
      </c>
    </row>
    <row r="281" spans="1:9" x14ac:dyDescent="0.45">
      <c r="A281">
        <v>2019</v>
      </c>
      <c r="B281">
        <v>7584840</v>
      </c>
      <c r="C281">
        <v>6.47540851284781E-4</v>
      </c>
      <c r="D281" s="1">
        <v>6.4754085128478099E-6</v>
      </c>
      <c r="E281" s="1">
        <v>6.47540851284781E-4</v>
      </c>
      <c r="F281" s="1">
        <v>6.4754085128478099E-6</v>
      </c>
      <c r="G281" s="1">
        <v>6.47540851284781E-4</v>
      </c>
      <c r="H281" s="2">
        <v>280</v>
      </c>
      <c r="I281">
        <v>360</v>
      </c>
    </row>
    <row r="282" spans="1:9" x14ac:dyDescent="0.45">
      <c r="A282">
        <v>2020</v>
      </c>
      <c r="B282">
        <v>7585200</v>
      </c>
      <c r="C282">
        <v>9.4119160098010126E-4</v>
      </c>
      <c r="D282" s="1">
        <v>9.4119160098010124E-6</v>
      </c>
      <c r="E282" s="1">
        <v>9.4119160098010126E-4</v>
      </c>
      <c r="F282" s="1">
        <v>9.4119160098010124E-6</v>
      </c>
      <c r="G282" s="1">
        <v>9.4119160098010126E-4</v>
      </c>
      <c r="H282" s="2">
        <v>281</v>
      </c>
      <c r="I282">
        <v>360</v>
      </c>
    </row>
    <row r="283" spans="1:9" x14ac:dyDescent="0.45">
      <c r="A283">
        <v>2021</v>
      </c>
      <c r="B283">
        <v>7585560</v>
      </c>
      <c r="C283">
        <v>5.0662494239123103E-4</v>
      </c>
      <c r="D283" s="1">
        <v>5.0662494239123114E-6</v>
      </c>
      <c r="E283" s="1">
        <v>5.0662494239123103E-4</v>
      </c>
      <c r="F283" s="1">
        <v>5.0662494239123114E-6</v>
      </c>
      <c r="G283" s="1">
        <v>5.0662494239123103E-4</v>
      </c>
      <c r="H283" s="2">
        <v>282</v>
      </c>
      <c r="I283">
        <v>360</v>
      </c>
    </row>
    <row r="284" spans="1:9" x14ac:dyDescent="0.45">
      <c r="A284">
        <v>2022</v>
      </c>
      <c r="B284">
        <v>7585920</v>
      </c>
      <c r="C284">
        <v>5.5343966107292586E-4</v>
      </c>
      <c r="D284" s="1">
        <v>5.5343966107292573E-6</v>
      </c>
      <c r="E284" s="1">
        <v>5.5343966107292586E-4</v>
      </c>
      <c r="F284" s="1">
        <v>5.5343966107292573E-6</v>
      </c>
      <c r="G284" s="1">
        <v>5.5343966107292586E-4</v>
      </c>
      <c r="H284" s="2">
        <v>283</v>
      </c>
      <c r="I284">
        <v>360</v>
      </c>
    </row>
    <row r="285" spans="1:9" x14ac:dyDescent="0.45">
      <c r="A285">
        <v>2023</v>
      </c>
      <c r="B285">
        <v>7586280</v>
      </c>
      <c r="C285">
        <v>6.3697425558412722E-4</v>
      </c>
      <c r="D285" s="1">
        <v>6.3697425558412728E-6</v>
      </c>
      <c r="E285" s="1">
        <v>6.3697425558412722E-4</v>
      </c>
      <c r="F285" s="1">
        <v>6.3697425558412728E-6</v>
      </c>
      <c r="G285" s="1">
        <v>6.3697425558412722E-4</v>
      </c>
      <c r="H285" s="2">
        <v>284</v>
      </c>
      <c r="I285">
        <v>360</v>
      </c>
    </row>
    <row r="286" spans="1:9" x14ac:dyDescent="0.45">
      <c r="A286">
        <v>2024</v>
      </c>
      <c r="B286">
        <v>7586640</v>
      </c>
      <c r="C286">
        <v>7.291229427225874E-4</v>
      </c>
      <c r="D286" s="1">
        <v>7.2912294272258739E-6</v>
      </c>
      <c r="E286" s="1">
        <v>7.291229427225874E-4</v>
      </c>
      <c r="F286" s="1">
        <v>7.2912294272258739E-6</v>
      </c>
      <c r="G286" s="1">
        <v>7.291229427225874E-4</v>
      </c>
      <c r="H286" s="2">
        <v>285</v>
      </c>
      <c r="I286">
        <v>360</v>
      </c>
    </row>
    <row r="287" spans="1:9" x14ac:dyDescent="0.45">
      <c r="A287">
        <v>2025</v>
      </c>
      <c r="B287">
        <v>7587000</v>
      </c>
      <c r="C287">
        <v>6.4225139746381982E-4</v>
      </c>
      <c r="D287" s="1">
        <v>6.4225139746381978E-6</v>
      </c>
      <c r="E287" s="1">
        <v>6.4225139746381982E-4</v>
      </c>
      <c r="F287" s="1">
        <v>6.4225139746381978E-6</v>
      </c>
      <c r="G287" s="1">
        <v>6.4225139746381982E-4</v>
      </c>
      <c r="H287" s="2">
        <v>286</v>
      </c>
      <c r="I287">
        <v>360</v>
      </c>
    </row>
    <row r="288" spans="1:9" x14ac:dyDescent="0.45">
      <c r="A288">
        <v>2026</v>
      </c>
      <c r="B288">
        <v>7587360</v>
      </c>
      <c r="C288">
        <v>4.8630228955171201E-4</v>
      </c>
      <c r="D288" s="1">
        <v>4.86302289551712E-6</v>
      </c>
      <c r="E288" s="1">
        <v>4.8630228955171201E-4</v>
      </c>
      <c r="F288" s="1">
        <v>4.86302289551712E-6</v>
      </c>
      <c r="G288" s="1">
        <v>4.8630228955171201E-4</v>
      </c>
      <c r="H288" s="2">
        <v>287</v>
      </c>
      <c r="I288">
        <v>360</v>
      </c>
    </row>
    <row r="289" spans="1:9" x14ac:dyDescent="0.45">
      <c r="A289">
        <v>2027</v>
      </c>
      <c r="B289">
        <v>7587720</v>
      </c>
      <c r="C289">
        <v>7.8134219163826664E-4</v>
      </c>
      <c r="D289" s="1">
        <v>7.8134219163826665E-6</v>
      </c>
      <c r="E289" s="1">
        <v>7.8134219163826664E-4</v>
      </c>
      <c r="F289" s="1">
        <v>7.8134219163826665E-6</v>
      </c>
      <c r="G289" s="1">
        <v>7.8134219163826664E-4</v>
      </c>
      <c r="H289" s="2">
        <v>288</v>
      </c>
      <c r="I289">
        <v>360</v>
      </c>
    </row>
    <row r="290" spans="1:9" x14ac:dyDescent="0.45">
      <c r="A290">
        <v>2028</v>
      </c>
      <c r="B290">
        <v>7588080</v>
      </c>
      <c r="C290">
        <v>5.8506117777726231E-4</v>
      </c>
      <c r="D290" s="1">
        <v>5.850611777772623E-6</v>
      </c>
      <c r="E290" s="1">
        <v>5.8506117777726231E-4</v>
      </c>
      <c r="F290" s="1">
        <v>5.850611777772623E-6</v>
      </c>
      <c r="G290" s="1">
        <v>5.8506117777726231E-4</v>
      </c>
      <c r="H290" s="2">
        <v>289</v>
      </c>
      <c r="I290">
        <v>360</v>
      </c>
    </row>
    <row r="291" spans="1:9" x14ac:dyDescent="0.45">
      <c r="A291">
        <v>2029</v>
      </c>
      <c r="B291">
        <v>7588440</v>
      </c>
      <c r="C291">
        <v>6.370758623671785E-4</v>
      </c>
      <c r="D291" s="1">
        <v>6.3707586236717856E-6</v>
      </c>
      <c r="E291" s="1">
        <v>6.370758623671785E-4</v>
      </c>
      <c r="F291" s="1">
        <v>6.3707586236717856E-6</v>
      </c>
      <c r="G291" s="1">
        <v>6.370758623671785E-4</v>
      </c>
      <c r="H291" s="2">
        <v>290</v>
      </c>
      <c r="I291">
        <v>360</v>
      </c>
    </row>
    <row r="292" spans="1:9" x14ac:dyDescent="0.45">
      <c r="A292">
        <v>2030</v>
      </c>
      <c r="B292">
        <v>7588800</v>
      </c>
      <c r="C292">
        <v>8.0515352214514436E-4</v>
      </c>
      <c r="D292" s="1">
        <v>8.0515352214514445E-6</v>
      </c>
      <c r="E292" s="1">
        <v>8.0515352214514436E-4</v>
      </c>
      <c r="F292" s="1">
        <v>8.0515352214514445E-6</v>
      </c>
      <c r="G292" s="1">
        <v>8.0515352214514436E-4</v>
      </c>
      <c r="H292" s="2">
        <v>291</v>
      </c>
      <c r="I292">
        <v>360</v>
      </c>
    </row>
    <row r="293" spans="1:9" x14ac:dyDescent="0.45">
      <c r="A293">
        <v>2031</v>
      </c>
      <c r="B293">
        <v>7589160</v>
      </c>
      <c r="C293">
        <v>5.750724982417129E-4</v>
      </c>
      <c r="D293" s="1">
        <v>5.750724982417129E-6</v>
      </c>
      <c r="E293" s="1">
        <v>5.750724982417129E-4</v>
      </c>
      <c r="F293" s="1">
        <v>5.750724982417129E-6</v>
      </c>
      <c r="G293" s="1">
        <v>5.750724982417129E-4</v>
      </c>
      <c r="H293" s="2">
        <v>292</v>
      </c>
      <c r="I293">
        <v>360</v>
      </c>
    </row>
    <row r="294" spans="1:9" x14ac:dyDescent="0.45">
      <c r="A294">
        <v>2032</v>
      </c>
      <c r="B294">
        <v>7589520</v>
      </c>
      <c r="C294">
        <v>6.7040596663695798E-4</v>
      </c>
      <c r="D294" s="1">
        <v>6.7040596663695799E-6</v>
      </c>
      <c r="E294" s="1">
        <v>6.7040596663695798E-4</v>
      </c>
      <c r="F294" s="1">
        <v>6.7040596663695799E-6</v>
      </c>
      <c r="G294" s="1">
        <v>6.7040596663695798E-4</v>
      </c>
      <c r="H294" s="2">
        <v>293</v>
      </c>
      <c r="I294">
        <v>360</v>
      </c>
    </row>
    <row r="295" spans="1:9" x14ac:dyDescent="0.45">
      <c r="A295">
        <v>2033</v>
      </c>
      <c r="B295">
        <v>7589880</v>
      </c>
      <c r="C295">
        <v>6.6752831004103605E-4</v>
      </c>
      <c r="D295" s="1">
        <v>6.6752831004103607E-6</v>
      </c>
      <c r="E295" s="1">
        <v>6.6752831004103605E-4</v>
      </c>
      <c r="F295" s="1">
        <v>6.6752831004103607E-6</v>
      </c>
      <c r="G295" s="1">
        <v>6.6752831004103605E-4</v>
      </c>
      <c r="H295" s="2">
        <v>294</v>
      </c>
      <c r="I295">
        <v>360</v>
      </c>
    </row>
    <row r="296" spans="1:9" x14ac:dyDescent="0.45">
      <c r="A296">
        <v>2034</v>
      </c>
      <c r="B296">
        <v>7590240</v>
      </c>
      <c r="C296">
        <v>6.8681608077582183E-4</v>
      </c>
      <c r="D296" s="1">
        <v>6.8681608077582194E-6</v>
      </c>
      <c r="E296" s="1">
        <v>6.8681608077582183E-4</v>
      </c>
      <c r="F296" s="1">
        <v>6.8681608077582194E-6</v>
      </c>
      <c r="G296" s="1">
        <v>6.8681608077582183E-4</v>
      </c>
      <c r="H296" s="2">
        <v>295</v>
      </c>
      <c r="I296">
        <v>360</v>
      </c>
    </row>
    <row r="297" spans="1:9" x14ac:dyDescent="0.45">
      <c r="A297">
        <v>2035</v>
      </c>
      <c r="B297">
        <v>7590600</v>
      </c>
      <c r="C297">
        <v>8.5098987706838051E-4</v>
      </c>
      <c r="D297" s="1">
        <v>8.5098987706838055E-6</v>
      </c>
      <c r="E297" s="1">
        <v>8.5098987706838051E-4</v>
      </c>
      <c r="F297" s="1">
        <v>8.5098987706838055E-6</v>
      </c>
      <c r="G297" s="1">
        <v>8.5098987706838051E-4</v>
      </c>
      <c r="H297" s="2">
        <v>296</v>
      </c>
      <c r="I297">
        <v>360</v>
      </c>
    </row>
    <row r="298" spans="1:9" x14ac:dyDescent="0.45">
      <c r="A298">
        <v>2036</v>
      </c>
      <c r="B298">
        <v>7590960</v>
      </c>
      <c r="C298">
        <v>6.7755654381398901E-4</v>
      </c>
      <c r="D298" s="1">
        <v>6.7755654381398902E-6</v>
      </c>
      <c r="E298" s="1">
        <v>6.7755654381398901E-4</v>
      </c>
      <c r="F298" s="1">
        <v>6.7755654381398902E-6</v>
      </c>
      <c r="G298" s="1">
        <v>6.7755654381398901E-4</v>
      </c>
      <c r="H298" s="2">
        <v>297</v>
      </c>
      <c r="I298">
        <v>360</v>
      </c>
    </row>
    <row r="299" spans="1:9" x14ac:dyDescent="0.45">
      <c r="A299">
        <v>2037</v>
      </c>
      <c r="B299">
        <v>7591320</v>
      </c>
      <c r="C299">
        <v>9.4339543613295384E-4</v>
      </c>
      <c r="D299" s="1">
        <v>9.4339543613295396E-6</v>
      </c>
      <c r="E299" s="1">
        <v>9.4339543613295384E-4</v>
      </c>
      <c r="F299" s="1">
        <v>9.4339543613295396E-6</v>
      </c>
      <c r="G299" s="1">
        <v>9.4339543613295384E-4</v>
      </c>
      <c r="H299" s="2">
        <v>298</v>
      </c>
      <c r="I299">
        <v>360</v>
      </c>
    </row>
    <row r="300" spans="1:9" x14ac:dyDescent="0.45">
      <c r="A300">
        <v>2038</v>
      </c>
      <c r="B300">
        <v>7591680</v>
      </c>
      <c r="C300">
        <v>5.8085408169564559E-4</v>
      </c>
      <c r="D300" s="1">
        <v>5.8085408169564554E-6</v>
      </c>
      <c r="E300" s="1">
        <v>5.8085408169564559E-4</v>
      </c>
      <c r="F300" s="1">
        <v>5.8085408169564554E-6</v>
      </c>
      <c r="G300" s="1">
        <v>5.8085408169564559E-4</v>
      </c>
      <c r="H300" s="2">
        <v>299</v>
      </c>
      <c r="I300">
        <v>360</v>
      </c>
    </row>
    <row r="301" spans="1:9" x14ac:dyDescent="0.45">
      <c r="A301">
        <v>2039</v>
      </c>
      <c r="B301">
        <v>7592040</v>
      </c>
      <c r="C301">
        <v>3.6120501290660029E-4</v>
      </c>
      <c r="D301" s="1">
        <v>3.6120501290660029E-6</v>
      </c>
      <c r="E301" s="1">
        <v>3.6120501290660029E-4</v>
      </c>
      <c r="F301" s="1">
        <v>3.6120501290660029E-6</v>
      </c>
      <c r="G301" s="1">
        <v>3.6120501290660029E-4</v>
      </c>
      <c r="H301" s="2">
        <v>300</v>
      </c>
      <c r="I301">
        <v>360</v>
      </c>
    </row>
    <row r="302" spans="1:9" x14ac:dyDescent="0.45">
      <c r="A302">
        <v>2040</v>
      </c>
      <c r="B302">
        <v>7592400</v>
      </c>
      <c r="C302">
        <v>6.2975536923403231E-4</v>
      </c>
      <c r="D302" s="1">
        <v>6.2975536923403224E-6</v>
      </c>
      <c r="E302" s="1">
        <v>6.2975536923403231E-4</v>
      </c>
      <c r="F302" s="1">
        <v>6.2975536923403224E-6</v>
      </c>
      <c r="G302" s="1">
        <v>6.2975536923403231E-4</v>
      </c>
      <c r="H302" s="2">
        <v>301</v>
      </c>
      <c r="I302">
        <v>360</v>
      </c>
    </row>
    <row r="303" spans="1:9" x14ac:dyDescent="0.45">
      <c r="A303">
        <v>2041</v>
      </c>
      <c r="B303">
        <v>7592760</v>
      </c>
      <c r="C303">
        <v>7.228323272845125E-4</v>
      </c>
      <c r="D303" s="1">
        <v>7.2283232728451259E-6</v>
      </c>
      <c r="E303" s="1">
        <v>7.228323272845125E-4</v>
      </c>
      <c r="F303" s="1">
        <v>7.2283232728451259E-6</v>
      </c>
      <c r="G303" s="1">
        <v>7.228323272845125E-4</v>
      </c>
      <c r="H303" s="2">
        <v>302</v>
      </c>
      <c r="I303">
        <v>360</v>
      </c>
    </row>
    <row r="304" spans="1:9" x14ac:dyDescent="0.45">
      <c r="A304">
        <v>2042</v>
      </c>
      <c r="B304">
        <v>7593120</v>
      </c>
      <c r="C304">
        <v>4.6803677487896461E-4</v>
      </c>
      <c r="D304" s="1">
        <v>4.6803677487896461E-6</v>
      </c>
      <c r="E304" s="1">
        <v>4.6803677487896461E-4</v>
      </c>
      <c r="F304" s="1">
        <v>4.6803677487896461E-6</v>
      </c>
      <c r="G304" s="1">
        <v>4.6803677487896461E-4</v>
      </c>
      <c r="H304" s="2">
        <v>303</v>
      </c>
      <c r="I304">
        <v>360</v>
      </c>
    </row>
    <row r="305" spans="1:9" x14ac:dyDescent="0.45">
      <c r="A305">
        <v>2043</v>
      </c>
      <c r="B305">
        <v>7593480</v>
      </c>
      <c r="C305">
        <v>7.7336905885629418E-4</v>
      </c>
      <c r="D305" s="1">
        <v>7.7336905885629418E-6</v>
      </c>
      <c r="E305" s="1">
        <v>7.7336905885629418E-4</v>
      </c>
      <c r="F305" s="1">
        <v>7.7336905885629418E-6</v>
      </c>
      <c r="G305" s="1">
        <v>7.7336905885629418E-4</v>
      </c>
      <c r="H305" s="2">
        <v>304</v>
      </c>
      <c r="I305">
        <v>360</v>
      </c>
    </row>
    <row r="306" spans="1:9" x14ac:dyDescent="0.45">
      <c r="A306">
        <v>2044</v>
      </c>
      <c r="B306">
        <v>7593840</v>
      </c>
      <c r="C306">
        <v>5.6237098746364077E-4</v>
      </c>
      <c r="D306" s="1">
        <v>5.6237098746364081E-6</v>
      </c>
      <c r="E306" s="1">
        <v>5.6237098746364077E-4</v>
      </c>
      <c r="F306" s="1">
        <v>5.6237098746364081E-6</v>
      </c>
      <c r="G306" s="1">
        <v>5.6237098746364077E-4</v>
      </c>
      <c r="H306" s="2">
        <v>305</v>
      </c>
      <c r="I306">
        <v>360</v>
      </c>
    </row>
    <row r="307" spans="1:9" x14ac:dyDescent="0.45">
      <c r="A307">
        <v>2045</v>
      </c>
      <c r="B307">
        <v>7594200</v>
      </c>
      <c r="C307">
        <v>8.1362777910270177E-4</v>
      </c>
      <c r="D307" s="1">
        <v>8.1362777910270177E-6</v>
      </c>
      <c r="E307" s="1">
        <v>8.1362777910270177E-4</v>
      </c>
      <c r="F307" s="1">
        <v>8.1362777910270177E-6</v>
      </c>
      <c r="G307" s="1">
        <v>8.1362777910270177E-4</v>
      </c>
      <c r="H307" s="2">
        <v>306</v>
      </c>
      <c r="I307">
        <v>360</v>
      </c>
    </row>
    <row r="308" spans="1:9" x14ac:dyDescent="0.45">
      <c r="A308">
        <v>2046</v>
      </c>
      <c r="B308">
        <v>7594560</v>
      </c>
      <c r="C308">
        <v>4.356087488178263E-4</v>
      </c>
      <c r="D308" s="1">
        <v>4.3560874881782632E-6</v>
      </c>
      <c r="E308" s="1">
        <v>4.356087488178263E-4</v>
      </c>
      <c r="F308" s="1">
        <v>4.3560874881782632E-6</v>
      </c>
      <c r="G308" s="1">
        <v>4.356087488178263E-4</v>
      </c>
      <c r="H308" s="2">
        <v>307</v>
      </c>
      <c r="I308">
        <v>360</v>
      </c>
    </row>
    <row r="309" spans="1:9" x14ac:dyDescent="0.45">
      <c r="A309">
        <v>2047</v>
      </c>
      <c r="B309">
        <v>7594920</v>
      </c>
      <c r="C309">
        <v>1.0028195602172999E-3</v>
      </c>
      <c r="D309" s="1">
        <v>1.0028195602173E-5</v>
      </c>
      <c r="E309" s="1">
        <v>1.0028195602172999E-3</v>
      </c>
      <c r="F309" s="1">
        <v>1.0028195602173E-5</v>
      </c>
      <c r="G309" s="1">
        <v>1.0028195602172999E-3</v>
      </c>
      <c r="H309" s="2">
        <v>308</v>
      </c>
      <c r="I309">
        <v>360</v>
      </c>
    </row>
    <row r="310" spans="1:9" x14ac:dyDescent="0.45">
      <c r="A310">
        <v>2048</v>
      </c>
      <c r="B310">
        <v>7595280</v>
      </c>
      <c r="C310">
        <v>5.0364788225881177E-4</v>
      </c>
      <c r="D310" s="1">
        <v>5.0364788225881183E-6</v>
      </c>
      <c r="E310" s="1">
        <v>5.0364788225881177E-4</v>
      </c>
      <c r="F310" s="1">
        <v>5.0364788225881183E-6</v>
      </c>
      <c r="G310" s="1">
        <v>5.0364788225881177E-4</v>
      </c>
      <c r="H310" s="2">
        <v>309</v>
      </c>
      <c r="I310">
        <v>360</v>
      </c>
    </row>
    <row r="311" spans="1:9" x14ac:dyDescent="0.45">
      <c r="A311">
        <v>2049</v>
      </c>
      <c r="B311">
        <v>7595640</v>
      </c>
      <c r="C311">
        <v>7.9643019829107138E-4</v>
      </c>
      <c r="D311" s="1">
        <v>7.9643019829107136E-6</v>
      </c>
      <c r="E311" s="1">
        <v>7.9643019829107138E-4</v>
      </c>
      <c r="F311" s="1">
        <v>7.9643019829107136E-6</v>
      </c>
      <c r="G311" s="1">
        <v>7.9643019829107138E-4</v>
      </c>
      <c r="H311" s="2">
        <v>310</v>
      </c>
      <c r="I311">
        <v>360</v>
      </c>
    </row>
    <row r="312" spans="1:9" x14ac:dyDescent="0.45">
      <c r="A312">
        <v>2050</v>
      </c>
      <c r="B312">
        <v>7596000</v>
      </c>
      <c r="C312">
        <v>4.7180228576033662E-4</v>
      </c>
      <c r="D312" s="1">
        <v>4.7180228576033659E-6</v>
      </c>
      <c r="E312" s="1">
        <v>4.7180228576033662E-4</v>
      </c>
      <c r="F312" s="1">
        <v>4.7180228576033659E-6</v>
      </c>
      <c r="G312" s="1">
        <v>4.7180228576033662E-4</v>
      </c>
      <c r="H312" s="2">
        <v>311</v>
      </c>
      <c r="I312">
        <v>360</v>
      </c>
    </row>
    <row r="313" spans="1:9" x14ac:dyDescent="0.45">
      <c r="A313">
        <v>2051</v>
      </c>
      <c r="B313">
        <v>7596360</v>
      </c>
      <c r="C313">
        <v>6.1373542849109256E-4</v>
      </c>
      <c r="D313" s="1">
        <v>6.137354284910926E-6</v>
      </c>
      <c r="E313" s="1">
        <v>6.1373542849109256E-4</v>
      </c>
      <c r="F313" s="1">
        <v>6.137354284910926E-6</v>
      </c>
      <c r="G313" s="1">
        <v>6.1373542849109256E-4</v>
      </c>
      <c r="H313" s="2">
        <v>312</v>
      </c>
      <c r="I313">
        <v>360</v>
      </c>
    </row>
    <row r="314" spans="1:9" x14ac:dyDescent="0.45">
      <c r="A314">
        <v>2052</v>
      </c>
      <c r="B314">
        <v>7596720</v>
      </c>
      <c r="C314">
        <v>6.4311012308476624E-4</v>
      </c>
      <c r="D314" s="1">
        <v>6.4311012308476629E-6</v>
      </c>
      <c r="E314" s="1">
        <v>6.4311012308476624E-4</v>
      </c>
      <c r="F314" s="1">
        <v>6.4311012308476629E-6</v>
      </c>
      <c r="G314" s="1">
        <v>6.4311012308476624E-4</v>
      </c>
      <c r="H314" s="2">
        <v>313</v>
      </c>
      <c r="I314">
        <v>360</v>
      </c>
    </row>
    <row r="315" spans="1:9" x14ac:dyDescent="0.45">
      <c r="A315">
        <v>2053</v>
      </c>
      <c r="B315">
        <v>7597080</v>
      </c>
      <c r="C315">
        <v>6.2770310871303756E-4</v>
      </c>
      <c r="D315" s="1">
        <v>6.2770310871303753E-6</v>
      </c>
      <c r="E315" s="1">
        <v>6.2770310871303756E-4</v>
      </c>
      <c r="F315" s="1">
        <v>6.2770310871303753E-6</v>
      </c>
      <c r="G315" s="1">
        <v>6.2770310871303756E-4</v>
      </c>
      <c r="H315" s="2">
        <v>314</v>
      </c>
      <c r="I315">
        <v>360</v>
      </c>
    </row>
    <row r="316" spans="1:9" x14ac:dyDescent="0.45">
      <c r="A316">
        <v>2054</v>
      </c>
      <c r="B316">
        <v>7597440</v>
      </c>
      <c r="C316">
        <v>5.7559569640524308E-4</v>
      </c>
      <c r="D316" s="1">
        <v>5.7559569640524311E-6</v>
      </c>
      <c r="E316" s="1">
        <v>5.7559569640524308E-4</v>
      </c>
      <c r="F316" s="1">
        <v>5.7559569640524311E-6</v>
      </c>
      <c r="G316" s="1">
        <v>5.7559569640524308E-4</v>
      </c>
      <c r="H316" s="2">
        <v>315</v>
      </c>
      <c r="I316">
        <v>360</v>
      </c>
    </row>
    <row r="317" spans="1:9" x14ac:dyDescent="0.45">
      <c r="A317">
        <v>2055</v>
      </c>
      <c r="B317">
        <v>7597800</v>
      </c>
      <c r="C317">
        <v>5.3332641124062639E-4</v>
      </c>
      <c r="D317" s="1">
        <v>5.3332641124062646E-6</v>
      </c>
      <c r="E317" s="1">
        <v>5.3332641124062639E-4</v>
      </c>
      <c r="F317" s="1">
        <v>5.3332641124062646E-6</v>
      </c>
      <c r="G317" s="1">
        <v>5.3332641124062639E-4</v>
      </c>
      <c r="H317" s="2">
        <v>316</v>
      </c>
      <c r="I317">
        <v>360</v>
      </c>
    </row>
    <row r="318" spans="1:9" x14ac:dyDescent="0.45">
      <c r="A318">
        <v>2056</v>
      </c>
      <c r="B318">
        <v>7598160</v>
      </c>
      <c r="C318">
        <v>8.2728508003655082E-4</v>
      </c>
      <c r="D318" s="1">
        <v>8.2728508003655077E-6</v>
      </c>
      <c r="E318" s="1">
        <v>8.2728508003655082E-4</v>
      </c>
      <c r="F318" s="1">
        <v>8.2728508003655077E-6</v>
      </c>
      <c r="G318" s="1">
        <v>8.2728508003655082E-4</v>
      </c>
      <c r="H318" s="2">
        <v>317</v>
      </c>
      <c r="I318">
        <v>360</v>
      </c>
    </row>
    <row r="319" spans="1:9" x14ac:dyDescent="0.45">
      <c r="A319">
        <v>2057</v>
      </c>
      <c r="B319">
        <v>7598520</v>
      </c>
      <c r="C319">
        <v>9.7268368705790624E-4</v>
      </c>
      <c r="D319" s="1">
        <v>9.7268368705790621E-6</v>
      </c>
      <c r="E319" s="1">
        <v>9.7268368705790624E-4</v>
      </c>
      <c r="F319" s="1">
        <v>9.7268368705790621E-6</v>
      </c>
      <c r="G319" s="1">
        <v>9.7268368705790624E-4</v>
      </c>
      <c r="H319" s="2">
        <v>318</v>
      </c>
      <c r="I319">
        <v>360</v>
      </c>
    </row>
    <row r="320" spans="1:9" x14ac:dyDescent="0.45">
      <c r="A320">
        <v>2058</v>
      </c>
      <c r="B320">
        <v>7598880</v>
      </c>
      <c r="C320">
        <v>4.8961483057842047E-4</v>
      </c>
      <c r="D320" s="1">
        <v>4.8961483057842049E-6</v>
      </c>
      <c r="E320" s="1">
        <v>4.8961483057842047E-4</v>
      </c>
      <c r="F320" s="1">
        <v>4.8961483057842049E-6</v>
      </c>
      <c r="G320" s="1">
        <v>4.8961483057842047E-4</v>
      </c>
      <c r="H320" s="2">
        <v>319</v>
      </c>
      <c r="I320">
        <v>360</v>
      </c>
    </row>
    <row r="321" spans="1:9" x14ac:dyDescent="0.45">
      <c r="A321">
        <v>2059</v>
      </c>
      <c r="B321">
        <v>7599240</v>
      </c>
      <c r="C321">
        <v>5.6725746685323385E-4</v>
      </c>
      <c r="D321" s="1">
        <v>5.6725746685323379E-6</v>
      </c>
      <c r="E321" s="1">
        <v>5.6725746685323385E-4</v>
      </c>
      <c r="F321" s="1">
        <v>5.6725746685323379E-6</v>
      </c>
      <c r="G321" s="1">
        <v>5.6725746685323385E-4</v>
      </c>
      <c r="H321" s="2">
        <v>320</v>
      </c>
      <c r="I321">
        <v>360</v>
      </c>
    </row>
    <row r="322" spans="1:9" x14ac:dyDescent="0.45">
      <c r="A322">
        <v>2060</v>
      </c>
      <c r="B322">
        <v>7599600</v>
      </c>
      <c r="C322">
        <v>5.7586134556664864E-4</v>
      </c>
      <c r="D322" s="1">
        <v>5.7586134556664866E-6</v>
      </c>
      <c r="E322" s="1">
        <v>5.7586134556664864E-4</v>
      </c>
      <c r="F322" s="1">
        <v>5.7586134556664866E-6</v>
      </c>
      <c r="G322" s="1">
        <v>5.7586134556664864E-4</v>
      </c>
      <c r="H322" s="2">
        <v>321</v>
      </c>
      <c r="I322">
        <v>360</v>
      </c>
    </row>
    <row r="323" spans="1:9" x14ac:dyDescent="0.45">
      <c r="A323">
        <v>2061</v>
      </c>
      <c r="B323">
        <v>7599960</v>
      </c>
      <c r="C323">
        <v>6.64750588599489E-4</v>
      </c>
      <c r="D323" s="1">
        <v>6.6475058859948897E-6</v>
      </c>
      <c r="E323" s="1">
        <v>6.64750588599489E-4</v>
      </c>
      <c r="F323" s="1">
        <v>6.6475058859948897E-6</v>
      </c>
      <c r="G323" s="1">
        <v>6.64750588599489E-4</v>
      </c>
      <c r="H323" s="2">
        <v>322</v>
      </c>
      <c r="I323">
        <v>360</v>
      </c>
    </row>
    <row r="324" spans="1:9" x14ac:dyDescent="0.45">
      <c r="A324">
        <v>2062</v>
      </c>
      <c r="B324">
        <v>7600320</v>
      </c>
      <c r="C324">
        <v>9.4712108096549959E-4</v>
      </c>
      <c r="D324" s="1">
        <v>9.4712108096549968E-6</v>
      </c>
      <c r="E324" s="1">
        <v>9.4712108096549959E-4</v>
      </c>
      <c r="F324" s="1">
        <v>9.4712108096549968E-6</v>
      </c>
      <c r="G324" s="1">
        <v>9.4712108096549959E-4</v>
      </c>
      <c r="H324" s="2">
        <v>323</v>
      </c>
      <c r="I324">
        <v>360</v>
      </c>
    </row>
    <row r="325" spans="1:9" x14ac:dyDescent="0.45">
      <c r="A325">
        <v>2063</v>
      </c>
      <c r="B325">
        <v>7600680</v>
      </c>
      <c r="C325">
        <v>5.5438130895789643E-4</v>
      </c>
      <c r="D325" s="1">
        <v>5.5438130895789654E-6</v>
      </c>
      <c r="E325" s="1">
        <v>5.5438130895789643E-4</v>
      </c>
      <c r="F325" s="1">
        <v>5.5438130895789654E-6</v>
      </c>
      <c r="G325" s="1">
        <v>5.5438130895789643E-4</v>
      </c>
      <c r="H325" s="2">
        <v>324</v>
      </c>
      <c r="I325">
        <v>360</v>
      </c>
    </row>
    <row r="326" spans="1:9" x14ac:dyDescent="0.45">
      <c r="A326">
        <v>2064</v>
      </c>
      <c r="B326">
        <v>7601040</v>
      </c>
      <c r="C326">
        <v>9.0184342071178349E-4</v>
      </c>
      <c r="D326" s="1">
        <v>9.0184342071178359E-6</v>
      </c>
      <c r="E326" s="1">
        <v>9.0184342071178349E-4</v>
      </c>
      <c r="F326" s="1">
        <v>9.0184342071178359E-6</v>
      </c>
      <c r="G326" s="1">
        <v>9.0184342071178349E-4</v>
      </c>
      <c r="H326" s="2">
        <v>325</v>
      </c>
      <c r="I326">
        <v>360</v>
      </c>
    </row>
    <row r="327" spans="1:9" x14ac:dyDescent="0.45">
      <c r="A327">
        <v>2065</v>
      </c>
      <c r="B327">
        <v>7601400</v>
      </c>
      <c r="C327">
        <v>6.2612911789142764E-4</v>
      </c>
      <c r="D327" s="1">
        <v>6.2612911789142768E-6</v>
      </c>
      <c r="E327" s="1">
        <v>6.2612911789142764E-4</v>
      </c>
      <c r="F327" s="1">
        <v>6.2612911789142768E-6</v>
      </c>
      <c r="G327" s="1">
        <v>6.2612911789142764E-4</v>
      </c>
      <c r="H327" s="2">
        <v>326</v>
      </c>
      <c r="I327">
        <v>360</v>
      </c>
    </row>
    <row r="328" spans="1:9" x14ac:dyDescent="0.45">
      <c r="A328">
        <v>2066</v>
      </c>
      <c r="B328">
        <v>7601760</v>
      </c>
      <c r="C328">
        <v>7.5873173424928584E-4</v>
      </c>
      <c r="D328" s="1">
        <v>7.5873173424928586E-6</v>
      </c>
      <c r="E328" s="1">
        <v>7.5873173424928584E-4</v>
      </c>
      <c r="F328" s="1">
        <v>7.5873173424928586E-6</v>
      </c>
      <c r="G328" s="1">
        <v>7.5873173424928584E-4</v>
      </c>
      <c r="H328" s="2">
        <v>327</v>
      </c>
      <c r="I328">
        <v>360</v>
      </c>
    </row>
    <row r="329" spans="1:9" x14ac:dyDescent="0.45">
      <c r="A329">
        <v>2067</v>
      </c>
      <c r="B329">
        <v>7602120</v>
      </c>
      <c r="C329">
        <v>6.1259290710490542E-4</v>
      </c>
      <c r="D329" s="1">
        <v>6.1259290710490544E-6</v>
      </c>
      <c r="E329" s="1">
        <v>6.1259290710490542E-4</v>
      </c>
      <c r="F329" s="1">
        <v>6.1259290710490544E-6</v>
      </c>
      <c r="G329" s="1">
        <v>6.1259290710490542E-4</v>
      </c>
      <c r="H329" s="2">
        <v>328</v>
      </c>
      <c r="I329">
        <v>360</v>
      </c>
    </row>
    <row r="330" spans="1:9" x14ac:dyDescent="0.45">
      <c r="A330">
        <v>2068</v>
      </c>
      <c r="B330">
        <v>7602480</v>
      </c>
      <c r="C330">
        <v>6.9084118394068103E-4</v>
      </c>
      <c r="D330" s="1">
        <v>6.9084118394068097E-6</v>
      </c>
      <c r="E330" s="1">
        <v>6.9084118394068103E-4</v>
      </c>
      <c r="F330" s="1">
        <v>6.9084118394068097E-6</v>
      </c>
      <c r="G330" s="1">
        <v>6.9084118394068103E-4</v>
      </c>
      <c r="H330" s="2">
        <v>329</v>
      </c>
      <c r="I330">
        <v>360</v>
      </c>
    </row>
    <row r="331" spans="1:9" x14ac:dyDescent="0.45">
      <c r="A331">
        <v>2069</v>
      </c>
      <c r="B331">
        <v>7602840</v>
      </c>
      <c r="C331">
        <v>6.6669851278469488E-4</v>
      </c>
      <c r="D331" s="1">
        <v>6.6669851278469489E-6</v>
      </c>
      <c r="E331" s="1">
        <v>6.6669851278469488E-4</v>
      </c>
      <c r="F331" s="1">
        <v>6.6669851278469489E-6</v>
      </c>
      <c r="G331" s="1">
        <v>6.6669851278469488E-4</v>
      </c>
      <c r="H331" s="2">
        <v>330</v>
      </c>
      <c r="I331">
        <v>360</v>
      </c>
    </row>
    <row r="332" spans="1:9" x14ac:dyDescent="0.45">
      <c r="A332">
        <v>2070</v>
      </c>
      <c r="B332">
        <v>7603200</v>
      </c>
      <c r="C332">
        <v>8.2045218583240757E-4</v>
      </c>
      <c r="D332" s="1">
        <v>8.2045218583240759E-6</v>
      </c>
      <c r="E332" s="1">
        <v>8.2045218583240757E-4</v>
      </c>
      <c r="F332" s="1">
        <v>8.2045218583240759E-6</v>
      </c>
      <c r="G332" s="1">
        <v>8.2045218583240757E-4</v>
      </c>
      <c r="H332" s="2">
        <v>331</v>
      </c>
      <c r="I332">
        <v>360</v>
      </c>
    </row>
    <row r="333" spans="1:9" x14ac:dyDescent="0.45">
      <c r="A333">
        <v>2071</v>
      </c>
      <c r="B333">
        <v>7603560</v>
      </c>
      <c r="C333">
        <v>5.2081387235738941E-4</v>
      </c>
      <c r="D333" s="1">
        <v>5.2081387235738946E-6</v>
      </c>
      <c r="E333" s="1">
        <v>5.2081387235738941E-4</v>
      </c>
      <c r="F333" s="1">
        <v>5.2081387235738946E-6</v>
      </c>
      <c r="G333" s="1">
        <v>5.2081387235738941E-4</v>
      </c>
      <c r="H333" s="2">
        <v>332</v>
      </c>
      <c r="I333">
        <v>360</v>
      </c>
    </row>
    <row r="334" spans="1:9" x14ac:dyDescent="0.45">
      <c r="A334">
        <v>2072</v>
      </c>
      <c r="B334">
        <v>7603920</v>
      </c>
      <c r="C334">
        <v>5.7189465431413248E-4</v>
      </c>
      <c r="D334" s="1">
        <v>5.7189465431413253E-6</v>
      </c>
      <c r="E334" s="1">
        <v>5.7189465431413248E-4</v>
      </c>
      <c r="F334" s="1">
        <v>5.7189465431413253E-6</v>
      </c>
      <c r="G334" s="1">
        <v>5.7189465431413248E-4</v>
      </c>
      <c r="H334" s="2">
        <v>333</v>
      </c>
      <c r="I334">
        <v>360</v>
      </c>
    </row>
    <row r="335" spans="1:9" x14ac:dyDescent="0.45">
      <c r="A335">
        <v>2073</v>
      </c>
      <c r="B335">
        <v>7604280</v>
      </c>
      <c r="C335">
        <v>9.1233097501937279E-4</v>
      </c>
      <c r="D335" s="1">
        <v>9.1233097501937278E-6</v>
      </c>
      <c r="E335" s="1">
        <v>9.1233097501937279E-4</v>
      </c>
      <c r="F335" s="1">
        <v>9.1233097501937278E-6</v>
      </c>
      <c r="G335" s="1">
        <v>9.1233097501937279E-4</v>
      </c>
      <c r="H335" s="2">
        <v>334</v>
      </c>
      <c r="I335">
        <v>360</v>
      </c>
    </row>
    <row r="336" spans="1:9" x14ac:dyDescent="0.45">
      <c r="A336">
        <v>2074</v>
      </c>
      <c r="B336">
        <v>7604640</v>
      </c>
      <c r="C336">
        <v>5.1138621680753824E-4</v>
      </c>
      <c r="D336" s="1">
        <v>5.113862168075382E-6</v>
      </c>
      <c r="E336" s="1">
        <v>5.1138621680753824E-4</v>
      </c>
      <c r="F336" s="1">
        <v>5.113862168075382E-6</v>
      </c>
      <c r="G336" s="1">
        <v>5.1138621680753824E-4</v>
      </c>
      <c r="H336" s="2">
        <v>335</v>
      </c>
      <c r="I336">
        <v>360</v>
      </c>
    </row>
    <row r="337" spans="1:9" x14ac:dyDescent="0.45">
      <c r="A337">
        <v>2075</v>
      </c>
      <c r="B337">
        <v>7605000</v>
      </c>
      <c r="C337">
        <v>5.834401472729541E-4</v>
      </c>
      <c r="D337" s="1">
        <v>5.8344014727295408E-6</v>
      </c>
      <c r="E337" s="1">
        <v>5.834401472729541E-4</v>
      </c>
      <c r="F337" s="1">
        <v>5.8344014727295408E-6</v>
      </c>
      <c r="G337" s="1">
        <v>5.834401472729541E-4</v>
      </c>
      <c r="H337" s="2">
        <v>336</v>
      </c>
      <c r="I337">
        <v>360</v>
      </c>
    </row>
    <row r="338" spans="1:9" x14ac:dyDescent="0.45">
      <c r="A338">
        <v>2076</v>
      </c>
      <c r="B338">
        <v>7605360</v>
      </c>
      <c r="C338">
        <v>7.1160228947361758E-4</v>
      </c>
      <c r="D338" s="1">
        <v>7.1160228947361762E-6</v>
      </c>
      <c r="E338" s="1">
        <v>7.1160228947361758E-4</v>
      </c>
      <c r="F338" s="1">
        <v>7.1160228947361762E-6</v>
      </c>
      <c r="G338" s="1">
        <v>7.1160228947361758E-4</v>
      </c>
      <c r="H338" s="2">
        <v>337</v>
      </c>
      <c r="I338">
        <v>360</v>
      </c>
    </row>
    <row r="339" spans="1:9" x14ac:dyDescent="0.45">
      <c r="A339">
        <v>2077</v>
      </c>
      <c r="B339">
        <v>7605720</v>
      </c>
      <c r="C339">
        <v>6.7192904177343729E-4</v>
      </c>
      <c r="D339" s="1">
        <v>6.719290417734373E-6</v>
      </c>
      <c r="E339" s="1">
        <v>6.7192904177343729E-4</v>
      </c>
      <c r="F339" s="1">
        <v>6.719290417734373E-6</v>
      </c>
      <c r="G339" s="1">
        <v>6.7192904177343729E-4</v>
      </c>
      <c r="H339" s="2">
        <v>338</v>
      </c>
      <c r="I339">
        <v>360</v>
      </c>
    </row>
    <row r="340" spans="1:9" x14ac:dyDescent="0.45">
      <c r="A340">
        <v>2078</v>
      </c>
      <c r="B340">
        <v>7606080</v>
      </c>
      <c r="C340">
        <v>6.8402164621609858E-4</v>
      </c>
      <c r="D340" s="1">
        <v>6.8402164621609853E-6</v>
      </c>
      <c r="E340" s="1">
        <v>6.8402164621609858E-4</v>
      </c>
      <c r="F340" s="1">
        <v>6.8402164621609853E-6</v>
      </c>
      <c r="G340" s="1">
        <v>6.8402164621609858E-4</v>
      </c>
      <c r="H340" s="2">
        <v>339</v>
      </c>
      <c r="I340">
        <v>360</v>
      </c>
    </row>
    <row r="341" spans="1:9" x14ac:dyDescent="0.45">
      <c r="A341">
        <v>2079</v>
      </c>
      <c r="B341">
        <v>7606440</v>
      </c>
      <c r="C341">
        <v>7.3510433221211555E-4</v>
      </c>
      <c r="D341" s="1">
        <v>7.3510433221211552E-6</v>
      </c>
      <c r="E341" s="1">
        <v>7.3510433221211555E-4</v>
      </c>
      <c r="F341" s="1">
        <v>7.3510433221211552E-6</v>
      </c>
      <c r="G341" s="1">
        <v>7.3510433221211555E-4</v>
      </c>
      <c r="H341" s="2">
        <v>340</v>
      </c>
      <c r="I341">
        <v>360</v>
      </c>
    </row>
    <row r="342" spans="1:9" x14ac:dyDescent="0.45">
      <c r="A342">
        <v>2080</v>
      </c>
      <c r="B342">
        <v>7606800</v>
      </c>
      <c r="C342">
        <v>6.8958168854050443E-4</v>
      </c>
      <c r="D342" s="1">
        <v>6.8958168854050438E-6</v>
      </c>
      <c r="E342" s="1">
        <v>6.8958168854050443E-4</v>
      </c>
      <c r="F342" s="1">
        <v>6.8958168854050438E-6</v>
      </c>
      <c r="G342" s="1">
        <v>6.8958168854050443E-4</v>
      </c>
      <c r="H342" s="2">
        <v>341</v>
      </c>
      <c r="I342">
        <v>360</v>
      </c>
    </row>
    <row r="343" spans="1:9" x14ac:dyDescent="0.45">
      <c r="A343">
        <v>2081</v>
      </c>
      <c r="B343">
        <v>7607160</v>
      </c>
      <c r="C343">
        <v>7.0175093423377206E-4</v>
      </c>
      <c r="D343" s="1">
        <v>7.01750934233772E-6</v>
      </c>
      <c r="E343" s="1">
        <v>7.0175093423377206E-4</v>
      </c>
      <c r="F343" s="1">
        <v>7.01750934233772E-6</v>
      </c>
      <c r="G343" s="1">
        <v>7.0175093423377206E-4</v>
      </c>
      <c r="H343" s="2">
        <v>342</v>
      </c>
      <c r="I343">
        <v>360</v>
      </c>
    </row>
    <row r="344" spans="1:9" x14ac:dyDescent="0.45">
      <c r="A344">
        <v>2082</v>
      </c>
      <c r="B344">
        <v>7607520</v>
      </c>
      <c r="C344">
        <v>9.24392529713391E-4</v>
      </c>
      <c r="D344" s="1">
        <v>9.2439252971339094E-6</v>
      </c>
      <c r="E344" s="1">
        <v>9.24392529713391E-4</v>
      </c>
      <c r="F344" s="1">
        <v>9.2439252971339094E-6</v>
      </c>
      <c r="G344" s="1">
        <v>9.24392529713391E-4</v>
      </c>
      <c r="H344" s="2">
        <v>343</v>
      </c>
      <c r="I344">
        <v>360</v>
      </c>
    </row>
    <row r="345" spans="1:9" x14ac:dyDescent="0.45">
      <c r="A345">
        <v>2083</v>
      </c>
      <c r="B345">
        <v>7607880</v>
      </c>
      <c r="C345">
        <v>4.2679489394130968E-4</v>
      </c>
      <c r="D345" s="1">
        <v>4.267948939413098E-6</v>
      </c>
      <c r="E345" s="1">
        <v>4.2679489394130968E-4</v>
      </c>
      <c r="F345" s="1">
        <v>4.267948939413098E-6</v>
      </c>
      <c r="G345" s="1">
        <v>4.2679489394130968E-4</v>
      </c>
      <c r="H345" s="2">
        <v>344</v>
      </c>
      <c r="I345">
        <v>360</v>
      </c>
    </row>
    <row r="346" spans="1:9" x14ac:dyDescent="0.45">
      <c r="A346">
        <v>2084</v>
      </c>
      <c r="B346">
        <v>7608240</v>
      </c>
      <c r="C346">
        <v>7.0492044974188462E-4</v>
      </c>
      <c r="D346" s="1">
        <v>7.0492044974188467E-6</v>
      </c>
      <c r="E346" s="1">
        <v>7.0492044974188462E-4</v>
      </c>
      <c r="F346" s="1">
        <v>7.0492044974188467E-6</v>
      </c>
      <c r="G346" s="1">
        <v>7.0492044974188462E-4</v>
      </c>
      <c r="H346" s="2">
        <v>345</v>
      </c>
      <c r="I346">
        <v>360</v>
      </c>
    </row>
    <row r="347" spans="1:9" x14ac:dyDescent="0.45">
      <c r="A347">
        <v>2085</v>
      </c>
      <c r="B347">
        <v>7608600</v>
      </c>
      <c r="C347">
        <v>6.0317831663807579E-4</v>
      </c>
      <c r="D347" s="1">
        <v>6.031783166380758E-6</v>
      </c>
      <c r="E347" s="1">
        <v>6.0317831663807579E-4</v>
      </c>
      <c r="F347" s="1">
        <v>6.031783166380758E-6</v>
      </c>
      <c r="G347" s="1">
        <v>6.0317831663807579E-4</v>
      </c>
      <c r="H347" s="2">
        <v>346</v>
      </c>
      <c r="I347">
        <v>360</v>
      </c>
    </row>
    <row r="348" spans="1:9" x14ac:dyDescent="0.45">
      <c r="A348">
        <v>2086</v>
      </c>
      <c r="B348">
        <v>7608960</v>
      </c>
      <c r="C348">
        <v>5.3431529879549361E-4</v>
      </c>
      <c r="D348" s="1">
        <v>5.3431529879549362E-6</v>
      </c>
      <c r="E348" s="1">
        <v>5.3431529879549361E-4</v>
      </c>
      <c r="F348" s="1">
        <v>5.3431529879549362E-6</v>
      </c>
      <c r="G348" s="1">
        <v>5.3431529879549361E-4</v>
      </c>
      <c r="H348" s="2">
        <v>347</v>
      </c>
      <c r="I348">
        <v>360</v>
      </c>
    </row>
    <row r="349" spans="1:9" x14ac:dyDescent="0.45">
      <c r="A349">
        <v>2087</v>
      </c>
      <c r="B349">
        <v>7609320</v>
      </c>
      <c r="C349">
        <v>9.2650687165257131E-4</v>
      </c>
      <c r="D349" s="1">
        <v>9.2650687165257119E-6</v>
      </c>
      <c r="E349" s="1">
        <v>9.2650687165257131E-4</v>
      </c>
      <c r="F349" s="1">
        <v>9.2650687165257119E-6</v>
      </c>
      <c r="G349" s="1">
        <v>9.2650687165257131E-4</v>
      </c>
      <c r="H349" s="2">
        <v>348</v>
      </c>
      <c r="I349">
        <v>360</v>
      </c>
    </row>
    <row r="350" spans="1:9" x14ac:dyDescent="0.45">
      <c r="A350">
        <v>2088</v>
      </c>
      <c r="B350">
        <v>7609680</v>
      </c>
      <c r="C350">
        <v>4.9093461376614072E-4</v>
      </c>
      <c r="D350" s="1">
        <v>4.9093461376614071E-6</v>
      </c>
      <c r="E350" s="1">
        <v>4.9093461376614072E-4</v>
      </c>
      <c r="F350" s="1">
        <v>4.9093461376614071E-6</v>
      </c>
      <c r="G350" s="1">
        <v>4.9093461376614072E-4</v>
      </c>
      <c r="H350" s="2">
        <v>349</v>
      </c>
      <c r="I350">
        <v>360</v>
      </c>
    </row>
    <row r="351" spans="1:9" x14ac:dyDescent="0.45">
      <c r="A351">
        <v>2089</v>
      </c>
      <c r="B351">
        <v>7610040</v>
      </c>
      <c r="C351">
        <v>4.6471042769603648E-4</v>
      </c>
      <c r="D351" s="1">
        <v>4.6471042769603649E-6</v>
      </c>
      <c r="E351" s="1">
        <v>4.6471042769603648E-4</v>
      </c>
      <c r="F351" s="1">
        <v>4.6471042769603649E-6</v>
      </c>
      <c r="G351" s="1">
        <v>4.6471042769603648E-4</v>
      </c>
      <c r="H351" s="2">
        <v>350</v>
      </c>
      <c r="I351">
        <v>360</v>
      </c>
    </row>
    <row r="352" spans="1:9" x14ac:dyDescent="0.45">
      <c r="A352">
        <v>2090</v>
      </c>
      <c r="B352">
        <v>7610400</v>
      </c>
      <c r="C352">
        <v>3.9116170433328728E-4</v>
      </c>
      <c r="D352" s="1">
        <v>3.911617043332873E-6</v>
      </c>
      <c r="E352" s="1">
        <v>3.9116170433328728E-4</v>
      </c>
      <c r="F352" s="1">
        <v>3.911617043332873E-6</v>
      </c>
      <c r="G352" s="1">
        <v>3.9116170433328728E-4</v>
      </c>
      <c r="H352" s="2">
        <v>351</v>
      </c>
      <c r="I352">
        <v>360</v>
      </c>
    </row>
    <row r="353" spans="1:9" x14ac:dyDescent="0.45">
      <c r="A353">
        <v>2091</v>
      </c>
      <c r="B353">
        <v>7610760</v>
      </c>
      <c r="C353">
        <v>4.0431038289007962E-4</v>
      </c>
      <c r="D353" s="1">
        <v>4.043103828900796E-6</v>
      </c>
      <c r="E353" s="1">
        <v>4.0431038289007962E-4</v>
      </c>
      <c r="F353" s="1">
        <v>4.043103828900796E-6</v>
      </c>
      <c r="G353" s="1">
        <v>4.0431038289007962E-4</v>
      </c>
      <c r="H353" s="2">
        <v>352</v>
      </c>
      <c r="I353">
        <v>360</v>
      </c>
    </row>
    <row r="354" spans="1:9" x14ac:dyDescent="0.45">
      <c r="A354">
        <v>2092</v>
      </c>
      <c r="B354">
        <v>7611120</v>
      </c>
      <c r="C354">
        <v>6.785411243790979E-4</v>
      </c>
      <c r="D354" s="1">
        <v>6.7854112437909794E-6</v>
      </c>
      <c r="E354" s="1">
        <v>6.785411243790979E-4</v>
      </c>
      <c r="F354" s="1">
        <v>6.7854112437909794E-6</v>
      </c>
      <c r="G354" s="1">
        <v>6.785411243790979E-4</v>
      </c>
      <c r="H354" s="2">
        <v>353</v>
      </c>
      <c r="I354">
        <v>360</v>
      </c>
    </row>
    <row r="355" spans="1:9" x14ac:dyDescent="0.45">
      <c r="A355">
        <v>2093</v>
      </c>
      <c r="B355">
        <v>7611480</v>
      </c>
      <c r="C355">
        <v>7.2348983877483703E-4</v>
      </c>
      <c r="D355" s="1">
        <v>7.2348983877483707E-6</v>
      </c>
      <c r="E355" s="1">
        <v>7.2348983877483703E-4</v>
      </c>
      <c r="F355" s="1">
        <v>7.2348983877483707E-6</v>
      </c>
      <c r="G355" s="1">
        <v>7.2348983877483703E-4</v>
      </c>
      <c r="H355" s="2">
        <v>354</v>
      </c>
      <c r="I355">
        <v>360</v>
      </c>
    </row>
    <row r="356" spans="1:9" x14ac:dyDescent="0.45">
      <c r="A356">
        <v>2094</v>
      </c>
      <c r="B356">
        <v>7611840</v>
      </c>
      <c r="C356">
        <v>6.5532909863160892E-4</v>
      </c>
      <c r="D356" s="1">
        <v>6.5532909863160904E-6</v>
      </c>
      <c r="E356" s="1">
        <v>6.5532909863160892E-4</v>
      </c>
      <c r="F356" s="1">
        <v>6.5532909863160904E-6</v>
      </c>
      <c r="G356" s="1">
        <v>6.5532909863160892E-4</v>
      </c>
      <c r="H356" s="2">
        <v>355</v>
      </c>
      <c r="I356">
        <v>360</v>
      </c>
    </row>
    <row r="357" spans="1:9" x14ac:dyDescent="0.45">
      <c r="A357">
        <v>2095</v>
      </c>
      <c r="B357">
        <v>7612200</v>
      </c>
      <c r="C357">
        <v>7.5474341979737567E-4</v>
      </c>
      <c r="D357" s="1">
        <v>7.5474341979737569E-6</v>
      </c>
      <c r="E357" s="1">
        <v>7.5474341979737567E-4</v>
      </c>
      <c r="F357" s="1">
        <v>7.5474341979737569E-6</v>
      </c>
      <c r="G357" s="1">
        <v>7.5474341979737567E-4</v>
      </c>
      <c r="H357" s="2">
        <v>356</v>
      </c>
      <c r="I357">
        <v>360</v>
      </c>
    </row>
    <row r="358" spans="1:9" x14ac:dyDescent="0.45">
      <c r="A358">
        <v>2096</v>
      </c>
      <c r="B358">
        <v>7612560</v>
      </c>
      <c r="C358">
        <v>5.7669688744116539E-4</v>
      </c>
      <c r="D358" s="1">
        <v>5.7669688744116542E-6</v>
      </c>
      <c r="E358" s="1">
        <v>5.7669688744116539E-4</v>
      </c>
      <c r="F358" s="1">
        <v>5.7669688744116542E-6</v>
      </c>
      <c r="G358" s="1">
        <v>5.7669688744116539E-4</v>
      </c>
      <c r="H358" s="2">
        <v>357</v>
      </c>
      <c r="I358">
        <v>360</v>
      </c>
    </row>
    <row r="359" spans="1:9" x14ac:dyDescent="0.45">
      <c r="A359">
        <v>2097</v>
      </c>
      <c r="B359">
        <v>7612920</v>
      </c>
      <c r="C359">
        <v>8.0697176066542612E-4</v>
      </c>
      <c r="D359" s="1">
        <v>8.0697176066542615E-6</v>
      </c>
      <c r="E359" s="1">
        <v>8.0697176066542612E-4</v>
      </c>
      <c r="F359" s="1">
        <v>8.0697176066542615E-6</v>
      </c>
      <c r="G359" s="1">
        <v>8.0697176066542612E-4</v>
      </c>
      <c r="H359" s="2">
        <v>358</v>
      </c>
      <c r="I359">
        <v>360</v>
      </c>
    </row>
    <row r="360" spans="1:9" x14ac:dyDescent="0.45">
      <c r="A360">
        <v>2098</v>
      </c>
      <c r="B360">
        <v>7613280</v>
      </c>
      <c r="C360">
        <v>6.0999509381094925E-4</v>
      </c>
      <c r="D360" s="1">
        <v>6.0999509381094906E-6</v>
      </c>
      <c r="E360" s="1">
        <v>6.0999509381094925E-4</v>
      </c>
      <c r="F360" s="1">
        <v>6.0999509381094906E-6</v>
      </c>
      <c r="G360" s="1">
        <v>6.0999509381094925E-4</v>
      </c>
      <c r="H360" s="2">
        <v>359</v>
      </c>
      <c r="I360">
        <v>360</v>
      </c>
    </row>
    <row r="361" spans="1:9" x14ac:dyDescent="0.45">
      <c r="A361">
        <v>2099</v>
      </c>
      <c r="B361">
        <v>7613640</v>
      </c>
      <c r="C361">
        <v>5.3117803129513444E-4</v>
      </c>
      <c r="D361" s="1">
        <v>5.3117803129513436E-6</v>
      </c>
      <c r="E361" s="1">
        <v>5.3117803129513444E-4</v>
      </c>
      <c r="F361" s="1">
        <v>5.3117803129513436E-6</v>
      </c>
      <c r="G361" s="1">
        <v>5.3117803129513444E-4</v>
      </c>
      <c r="H361" s="2">
        <v>360</v>
      </c>
      <c r="I361">
        <v>360</v>
      </c>
    </row>
    <row r="362" spans="1:9" x14ac:dyDescent="0.45">
      <c r="A362">
        <v>2100</v>
      </c>
      <c r="B362">
        <v>7614000</v>
      </c>
      <c r="C362">
        <v>6.8402085428227407E-4</v>
      </c>
      <c r="D362" s="1">
        <v>6.8402085428227409E-6</v>
      </c>
      <c r="E362" s="1">
        <v>6.8402085428227407E-4</v>
      </c>
      <c r="F362" s="1">
        <v>6.8402085428227409E-6</v>
      </c>
      <c r="G362" s="1">
        <v>6.8402085428227407E-4</v>
      </c>
      <c r="H362" s="2">
        <v>361</v>
      </c>
      <c r="I362">
        <v>360</v>
      </c>
    </row>
    <row r="363" spans="1:9" x14ac:dyDescent="0.45">
      <c r="A363" t="s">
        <v>804</v>
      </c>
      <c r="B363">
        <v>7614360</v>
      </c>
      <c r="C363">
        <v>5.6115552392589597E-4</v>
      </c>
      <c r="D363" s="1">
        <v>5.6115552392589597E-6</v>
      </c>
      <c r="E363" s="1">
        <v>5.6115552392589597E-4</v>
      </c>
      <c r="F363" s="1">
        <v>5.6115552392589597E-6</v>
      </c>
      <c r="G363" s="1">
        <v>5.6115552392589597E-4</v>
      </c>
      <c r="H363" s="2">
        <v>362</v>
      </c>
      <c r="I363">
        <v>360</v>
      </c>
    </row>
    <row r="364" spans="1:9" x14ac:dyDescent="0.45">
      <c r="B364">
        <v>20000000</v>
      </c>
      <c r="C364">
        <v>5.6175108458420442E-4</v>
      </c>
      <c r="D364" s="1">
        <v>5.6175108458420433E-6</v>
      </c>
      <c r="E364" s="1">
        <v>5.6175108458420442E-4</v>
      </c>
      <c r="F364" s="1">
        <v>5.6175108458420433E-6</v>
      </c>
      <c r="G364" s="1">
        <v>5.6175108458420442E-4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grid</vt:lpstr>
      <vt:lpstr>geometry</vt:lpstr>
      <vt:lpstr>tdis</vt:lpstr>
      <vt:lpstr>parameters</vt:lpstr>
      <vt:lpstr>transient_recharge</vt:lpstr>
      <vt:lpstr>observations</vt:lpstr>
      <vt:lpstr>wells_st</vt:lpstr>
      <vt:lpstr>wells</vt:lpstr>
      <vt:lpstr>response_times</vt:lpstr>
      <vt:lpstr>q_values_st</vt:lpstr>
      <vt:lpstr>q_values_tr</vt:lpstr>
      <vt:lpstr>parameter_analysis</vt:lpstr>
      <vt:lpstr>workplace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Felipe Marin Rivera</dc:creator>
  <cp:lastModifiedBy>Carlos Felipe Marin Rivera</cp:lastModifiedBy>
  <dcterms:created xsi:type="dcterms:W3CDTF">2025-09-17T19:19:39Z</dcterms:created>
  <dcterms:modified xsi:type="dcterms:W3CDTF">2026-08-26T17:00:57Z</dcterms:modified>
</cp:coreProperties>
</file>