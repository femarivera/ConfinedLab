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09AE2BAB-31CC-4A5A-83D6-6F02B28D292E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8" l="1"/>
  <c r="C8" i="8"/>
  <c r="C9" i="8"/>
  <c r="C10" i="8"/>
  <c r="AA154" i="1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<sst xmlns="http://schemas.openxmlformats.org/spreadsheetml/2006/main" count="591" uniqueCount="341">
  <si>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</si>
  <si>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</si>
  <si>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</si>
  <si>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</si>
  <si>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</si>
  <si>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</si>
  <si>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</si>
  <si>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</si>
  <si>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</si>
  <si>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</si>
  <si>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</si>
  <si>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</si>
  <si>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</si>
  <si>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</si>
  <si>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</si>
  <si>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</si>
  <si>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</si>
  <si>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</si>
  <si>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</si>
  <si>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</si>
  <si>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</si>
  <si>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</si>
  <si>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</si>
  <si>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</si>
  <si>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</si>
  <si>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</si>
  <si>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</si>
  <si>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</si>
  <si>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</si>
  <si>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</si>
  <si>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</si>
  <si>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</si>
  <si>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</si>
  <si>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</si>
  <si>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</si>
  <si>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</si>
  <si>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</si>
  <si>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</si>
  <si>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</si>
  <si>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</si>
  <si>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</si>
  <si>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</si>
  <si>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</si>
  <si>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</si>
  <si>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</si>
  <si>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</si>
  <si>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</si>
  <si>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</si>
  <si>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</si>
  <si>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</si>
  <si>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</si>
  <si>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</si>
  <si>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</si>
  <si>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</si>
  <si>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</si>
  <si>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</si>
  <si>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</si>
  <si>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</si>
  <si>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</si>
  <si>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</si>
  <si>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</si>
  <si>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</si>
  <si>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</si>
  <si>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</si>
  <si>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</si>
  <si>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</si>
  <si>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</si>
  <si>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</si>
  <si>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</si>
  <si>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</si>
  <si>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</si>
  <si>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</si>
  <si>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</si>
  <si>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</si>
  <si>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</si>
  <si>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</si>
  <si>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</si>
  <si>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</si>
  <si>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</si>
  <si>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</si>
  <si>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</si>
  <si>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</si>
  <si>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</si>
  <si>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</si>
  <si>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</si>
  <si>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</si>
  <si>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</si>
  <si>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</si>
  <si>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</si>
  <si>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</si>
  <si>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</si>
  <si>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</si>
  <si>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</si>
  <si>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</si>
  <si>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</si>
  <si>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</si>
  <si>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</si>
  <si>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</si>
  <si>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</si>
  <si>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</si>
  <si>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</si>
  <si>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</si>
  <si>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</si>
  <si>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</si>
  <si>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</si>
  <si>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</si>
  <si>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</si>
  <si>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</si>
  <si>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</si>
  <si>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</si>
  <si>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</si>
  <si>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</si>
  <si>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</si>
  <si>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</si>
  <si>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</si>
  <si>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</si>
  <si>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</si>
  <si>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</si>
  <si>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</si>
  <si>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</si>
  <si>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</si>
  <si>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</si>
  <si>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</si>
  <si>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</si>
  <si>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</si>
  <si>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</si>
  <si>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</si>
  <si>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</si>
  <si>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</si>
  <si>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</si>
  <si>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</si>
  <si>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</si>
  <si>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</si>
  <si>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</si>
  <si>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</si>
  <si>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</si>
  <si>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</si>
  <si>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</si>
  <si>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</si>
  <si>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</si>
  <si>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</si>
  <si>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</si>
  <si>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</si>
  <si>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</si>
  <si>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</si>
  <si>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</si>
  <si>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</si>
  <si>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</si>
  <si>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</si>
  <si>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</si>
  <si>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</si>
  <si>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</si>
  <si>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</si>
  <si>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</si>
  <si>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</si>
  <si>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</si>
  <si>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</si>
  <si>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</si>
  <si>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</si>
  <si>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</si>
  <si>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</si>
  <si>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</si>
  <si>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</si>
  <si>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</si>
  <si>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</si>
  <si>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</si>
  <si>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</si>
  <si>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</si>
  <si>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</si>
  <si>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</si>
  <si>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</si>
  <si>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</si>
  <si>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</si>
  <si>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</si>
  <si>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</si>
  <si>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</si>
  <si>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</si>
  <si>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</si>
  <si>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</si>
  <si>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</si>
  <si>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</si>
  <si>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</si>
  <si>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</si>
  <si>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</si>
  <si>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</si>
  <si>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</si>
  <si>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</si>
  <si>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</si>
  <si>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</si>
  <si>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</si>
  <si>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</si>
  <si>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</si>
  <si>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</si>
  <si>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</si>
  <si>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</si>
  <si>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</si>
  <si>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</si>
  <si>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</si>
  <si>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</si>
  <si>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</si>
  <si>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</si>
  <si>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</si>
  <si>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</si>
  <si>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</si>
  <si>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</si>
  <si>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</si>
  <si>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</si>
  <si>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</si>
  <si>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</si>
  <si>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</si>
  <si>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</si>
  <si>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</si>
  <si>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</si>
  <si>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</si>
  <si>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</si>
  <si>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</si>
  <si>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</si>
  <si>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</si>
  <si>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</si>
  <si>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</si>
  <si>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</si>
  <si>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</si>
  <si>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</si>
  <si>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</si>
  <si>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</si>
  <si>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</si>
  <si>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</si>
  <si>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</si>
  <si>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</si>
  <si>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</si>
  <si>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</si>
  <si>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</si>
  <si>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</si>
  <si>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</si>
  <si>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</si>
  <si>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</si>
  <si>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</si>
  <si>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</si>
  <si>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</si>
  <si>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</si>
  <si>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</si>
  <si>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</si>
  <si>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</si>
  <si>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</si>
  <si>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</si>
  <si>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</si>
  <si>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</si>
  <si>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</si>
  <si>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</si>
  <si>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</si>
  <si>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</si>
  <si>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</si>
  <si>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</si>
  <si>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</si>
  <si>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</si>
  <si>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</si>
  <si>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</si>
  <si>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</si>
  <si>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</si>
  <si>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</si>
  <si>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</si>
  <si>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</si>
  <si>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</si>
  <si>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</si>
  <si>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</si>
  <si>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</si>
  <si>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</si>
  <si>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</si>
  <si>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</si>
  <si>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</si>
  <si>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</si>
  <si>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</si>
  <si>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</si>
  <si>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</si>
  <si>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</si>
  <si>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</si>
  <si>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</si>
  <si>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</si>
  <si>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</si>
  <si>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</si>
  <si>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</si>
  <si>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</si>
  <si>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</si>
  <si>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</si>
  <si>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</si>
  <si>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</si>
  <si>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</si>
  <si>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</si>
  <si>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</si>
  <si>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</si>
  <si>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</si>
  <si>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</si>
  <si>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</si>
  <si>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</si>
  <si>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</si>
  <si>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</si>
  <si>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</si>
  <si>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</si>
  <si>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</si>
  <si>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</si>
  <si>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</si>
  <si>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</si>
  <si>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</si>
  <si>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</si>
  <si>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</si>
  <si>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</si>
  <si>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</si>
  <si>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</si>
  <si>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</si>
  <si>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</si>
  <si>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</si>
  <si>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</si>
  <si>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</si>
  <si>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</si>
  <si>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</si>
  <si>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</si>
  <si>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</si>
  <si>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</si>
  <si>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</si>
  <si>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</si>
  <si>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21K BP - 14K BP</t>
  </si>
  <si>
    <t>14k - 11k BP</t>
  </si>
  <si>
    <t>Transient recharge step change experiment</t>
  </si>
  <si>
    <t>11kBP - present - 39kAP (500 years at annual step)</t>
  </si>
  <si>
    <t>11kBP - present - 39kAP (the rest at century steps)</t>
  </si>
  <si>
    <t>nsub</t>
  </si>
  <si>
    <t>q_0</t>
  </si>
  <si>
    <t>Steady state pumping rate</t>
  </si>
  <si>
    <t>One thousand years</t>
  </si>
  <si>
    <t>UncAq</t>
  </si>
  <si>
    <t>Aqt 1</t>
  </si>
  <si>
    <t>Caq 1</t>
  </si>
  <si>
    <t xml:space="preserve">Aqt 2 </t>
  </si>
  <si>
    <t>Caq 2</t>
  </si>
  <si>
    <t>Caq 1 outcrop</t>
  </si>
  <si>
    <t xml:space="preserve">HEAD </t>
  </si>
  <si>
    <t>WELL_07</t>
  </si>
  <si>
    <t>WELL_08</t>
  </si>
  <si>
    <t>WELL_09</t>
  </si>
  <si>
    <t>transition_cells</t>
  </si>
  <si>
    <t>epsilon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</si>
</sst>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0" xfId="0" applyFont="1"/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8" sqref="F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450</v>
      </c>
      <c r="C2">
        <v>450</v>
      </c>
      <c r="D2">
        <v>450000</v>
      </c>
      <c r="E2">
        <v>450000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tabSelected="1" workbookViewId="0">
      <selection activeCell="I1" sqref="I1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796875" bestFit="1" customWidth="1"/>
    <col min="6" max="6" width="14.066406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10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325</v>
      </c>
      <c r="I1" t="s">
        <v>339</v>
      </c>
      <c r="J1" t="s">
        <v>340</v>
      </c>
    </row>
    <row r="2" spans="1:10" x14ac:dyDescent="0.45">
      <c r="A2" t="s">
        <v>14</v>
      </c>
      <c r="B2" t="s">
        <v>15</v>
      </c>
      <c r="C2">
        <v>100</v>
      </c>
      <c r="D2">
        <v>-50</v>
      </c>
      <c r="E2">
        <v>100</v>
      </c>
      <c r="F2">
        <v>300</v>
      </c>
      <c r="G2" s="8">
        <v>225</v>
      </c>
      <c r="H2">
        <v>3</v>
      </c>
      <c r="I2">
        <v>52</v>
      </c>
      <c r="J2">
        <v>0</v>
      </c>
    </row>
    <row r="3" spans="1:10" x14ac:dyDescent="0.45">
      <c r="A3" t="s">
        <v>16</v>
      </c>
      <c r="B3" t="s">
        <v>17</v>
      </c>
      <c r="C3">
        <v>150</v>
      </c>
      <c r="D3">
        <v>100</v>
      </c>
      <c r="E3">
        <v>200</v>
      </c>
      <c r="F3">
        <v>150</v>
      </c>
      <c r="G3" s="8">
        <v>187.5</v>
      </c>
      <c r="H3">
        <v>3</v>
      </c>
      <c r="I3">
        <v>52</v>
      </c>
      <c r="J3">
        <v>0</v>
      </c>
    </row>
    <row r="4" spans="1:10" x14ac:dyDescent="0.45">
      <c r="A4" t="s">
        <v>18</v>
      </c>
      <c r="B4" t="s">
        <v>19</v>
      </c>
      <c r="C4">
        <v>200</v>
      </c>
      <c r="D4">
        <v>200</v>
      </c>
      <c r="E4">
        <v>300</v>
      </c>
      <c r="F4">
        <v>200</v>
      </c>
      <c r="G4" s="8">
        <v>112.5</v>
      </c>
      <c r="H4">
        <v>3</v>
      </c>
      <c r="I4">
        <v>52</v>
      </c>
      <c r="J4">
        <v>0</v>
      </c>
    </row>
    <row r="5" spans="1:10" x14ac:dyDescent="0.45">
      <c r="A5" t="s">
        <v>20</v>
      </c>
      <c r="B5" t="s">
        <v>21</v>
      </c>
      <c r="C5">
        <v>250</v>
      </c>
      <c r="D5">
        <v>300</v>
      </c>
      <c r="E5">
        <v>400</v>
      </c>
      <c r="F5">
        <v>150</v>
      </c>
      <c r="G5" s="8">
        <v>75</v>
      </c>
      <c r="H5">
        <v>3</v>
      </c>
      <c r="I5">
        <v>52</v>
      </c>
      <c r="J5">
        <v>0</v>
      </c>
    </row>
    <row r="6" spans="1:10" x14ac:dyDescent="0.45">
      <c r="A6" t="s">
        <v>22</v>
      </c>
      <c r="B6" t="s">
        <v>23</v>
      </c>
      <c r="C6">
        <v>350</v>
      </c>
      <c r="D6">
        <v>400</v>
      </c>
      <c r="E6">
        <v>450</v>
      </c>
      <c r="F6">
        <v>200</v>
      </c>
      <c r="G6" s="8">
        <v>0</v>
      </c>
      <c r="H6">
        <v>3</v>
      </c>
      <c r="I6">
        <v>52</v>
      </c>
      <c r="J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5"/>
  <sheetViews>
    <sheetView workbookViewId="0">
      <selection activeCell="C23" sqref="C23"/>
    </sheetView>
  </sheetViews>
  <sheetFormatPr baseColWidth="10" defaultRowHeight="14.25" x14ac:dyDescent="0.45"/>
  <cols>
    <col min="5" max="5" width="40.9296875" bestFit="1" customWidth="1"/>
  </cols>
  <sheetData>
    <row r="1" spans="1:5" x14ac:dyDescent="0.4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45">
      <c r="A3">
        <v>1</v>
      </c>
      <c r="B3">
        <v>2520000</v>
      </c>
      <c r="C3">
        <v>100</v>
      </c>
      <c r="D3">
        <v>1</v>
      </c>
      <c r="E3" t="s">
        <v>320</v>
      </c>
    </row>
    <row r="4" spans="1:5" x14ac:dyDescent="0.45">
      <c r="A4">
        <v>2</v>
      </c>
      <c r="B4">
        <v>1080000</v>
      </c>
      <c r="C4">
        <v>200</v>
      </c>
      <c r="D4">
        <v>1</v>
      </c>
      <c r="E4" t="s">
        <v>321</v>
      </c>
    </row>
    <row r="5" spans="1:5" x14ac:dyDescent="0.45">
      <c r="A5">
        <v>3</v>
      </c>
      <c r="B5">
        <v>180000</v>
      </c>
      <c r="C5">
        <v>500</v>
      </c>
      <c r="D5">
        <v>1</v>
      </c>
      <c r="E5" t="s">
        <v>323</v>
      </c>
    </row>
    <row r="6" spans="1:5" x14ac:dyDescent="0.45">
      <c r="A6">
        <v>4</v>
      </c>
      <c r="B6">
        <v>17820000</v>
      </c>
      <c r="C6">
        <v>495</v>
      </c>
      <c r="D6">
        <v>1</v>
      </c>
      <c r="E6" t="s">
        <v>324</v>
      </c>
    </row>
    <row r="8" spans="1:5" x14ac:dyDescent="0.45">
      <c r="A8" s="3"/>
    </row>
    <row r="9" spans="1:5" x14ac:dyDescent="0.45">
      <c r="A9" s="3"/>
    </row>
    <row r="10" spans="1:5" x14ac:dyDescent="0.45">
      <c r="A10" s="3"/>
    </row>
    <row r="11" spans="1:5" x14ac:dyDescent="0.45">
      <c r="A11" s="3"/>
    </row>
    <row r="12" spans="1:5" x14ac:dyDescent="0.45">
      <c r="A12" s="3"/>
    </row>
    <row r="13" spans="1:5" x14ac:dyDescent="0.45">
      <c r="A13" s="3"/>
    </row>
    <row r="14" spans="1:5" x14ac:dyDescent="0.45">
      <c r="A14" s="3"/>
    </row>
    <row r="15" spans="1:5" x14ac:dyDescent="0.45">
      <c r="A15" s="3"/>
    </row>
    <row r="16" spans="1:5" x14ac:dyDescent="0.45">
      <c r="A16" s="3"/>
    </row>
    <row r="17" spans="1:1" x14ac:dyDescent="0.45">
      <c r="A17" s="3"/>
    </row>
    <row r="18" spans="1:1" x14ac:dyDescent="0.45">
      <c r="A18" s="3"/>
    </row>
    <row r="19" spans="1:1" x14ac:dyDescent="0.45">
      <c r="A19" s="3"/>
    </row>
    <row r="20" spans="1:1" x14ac:dyDescent="0.45">
      <c r="A20" s="3"/>
    </row>
    <row r="21" spans="1:1" x14ac:dyDescent="0.45">
      <c r="A21" s="3"/>
    </row>
    <row r="22" spans="1:1" x14ac:dyDescent="0.45">
      <c r="A22" s="3"/>
    </row>
    <row r="23" spans="1:1" x14ac:dyDescent="0.45">
      <c r="A23" s="3"/>
    </row>
    <row r="24" spans="1:1" x14ac:dyDescent="0.45">
      <c r="A24" s="3"/>
    </row>
    <row r="25" spans="1:1" x14ac:dyDescent="0.45">
      <c r="A25" s="3"/>
    </row>
    <row r="26" spans="1:1" x14ac:dyDescent="0.45">
      <c r="A26" s="3"/>
    </row>
    <row r="27" spans="1:1" x14ac:dyDescent="0.45">
      <c r="A27" s="3"/>
    </row>
    <row r="28" spans="1:1" x14ac:dyDescent="0.45">
      <c r="A28" s="3"/>
    </row>
    <row r="29" spans="1:1" x14ac:dyDescent="0.45">
      <c r="A29" s="3"/>
    </row>
    <row r="30" spans="1:1" x14ac:dyDescent="0.45">
      <c r="A30" s="3"/>
    </row>
    <row r="31" spans="1:1" x14ac:dyDescent="0.45">
      <c r="A31" s="3"/>
    </row>
    <row r="32" spans="1:1" x14ac:dyDescent="0.45">
      <c r="A32" s="3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  <row r="70" spans="1:1" x14ac:dyDescent="0.45">
      <c r="A70" s="3"/>
    </row>
    <row r="71" spans="1:1" x14ac:dyDescent="0.45">
      <c r="A71" s="3"/>
    </row>
    <row r="72" spans="1:1" x14ac:dyDescent="0.45">
      <c r="A72" s="3"/>
    </row>
    <row r="73" spans="1:1" x14ac:dyDescent="0.45">
      <c r="A73" s="3"/>
    </row>
    <row r="74" spans="1:1" x14ac:dyDescent="0.45">
      <c r="A74" s="3"/>
    </row>
    <row r="75" spans="1:1" x14ac:dyDescent="0.45">
      <c r="A75" s="3"/>
    </row>
    <row r="76" spans="1:1" x14ac:dyDescent="0.45">
      <c r="A76" s="3"/>
    </row>
    <row r="77" spans="1:1" x14ac:dyDescent="0.45">
      <c r="A77" s="3"/>
    </row>
    <row r="78" spans="1:1" x14ac:dyDescent="0.45">
      <c r="A78" s="3"/>
    </row>
    <row r="79" spans="1:1" x14ac:dyDescent="0.45">
      <c r="A79" s="3"/>
    </row>
    <row r="80" spans="1:1" x14ac:dyDescent="0.45">
      <c r="A80" s="3"/>
    </row>
    <row r="81" spans="1:1" x14ac:dyDescent="0.45">
      <c r="A81" s="3"/>
    </row>
    <row r="82" spans="1:1" x14ac:dyDescent="0.45">
      <c r="A82" s="3"/>
    </row>
    <row r="83" spans="1:1" x14ac:dyDescent="0.45">
      <c r="A83" s="3"/>
    </row>
    <row r="84" spans="1:1" x14ac:dyDescent="0.45">
      <c r="A84" s="3"/>
    </row>
    <row r="85" spans="1:1" x14ac:dyDescent="0.45">
      <c r="A85" s="3"/>
    </row>
    <row r="86" spans="1:1" x14ac:dyDescent="0.45">
      <c r="A86" s="3"/>
    </row>
    <row r="87" spans="1:1" x14ac:dyDescent="0.45">
      <c r="A87" s="3"/>
    </row>
    <row r="88" spans="1:1" x14ac:dyDescent="0.45">
      <c r="A88" s="3"/>
    </row>
    <row r="89" spans="1:1" x14ac:dyDescent="0.45">
      <c r="A89" s="3"/>
    </row>
    <row r="90" spans="1:1" x14ac:dyDescent="0.45">
      <c r="A90" s="3"/>
    </row>
    <row r="91" spans="1:1" x14ac:dyDescent="0.45">
      <c r="A91" s="3"/>
    </row>
    <row r="92" spans="1:1" x14ac:dyDescent="0.45">
      <c r="A92" s="3"/>
    </row>
    <row r="93" spans="1:1" x14ac:dyDescent="0.45">
      <c r="A93" s="3"/>
    </row>
    <row r="94" spans="1:1" x14ac:dyDescent="0.45">
      <c r="A94" s="3"/>
    </row>
    <row r="95" spans="1:1" x14ac:dyDescent="0.45">
      <c r="A95" s="3"/>
    </row>
    <row r="96" spans="1:1" x14ac:dyDescent="0.45">
      <c r="A96" s="3"/>
    </row>
    <row r="97" spans="1:1" x14ac:dyDescent="0.45">
      <c r="A97" s="3"/>
    </row>
    <row r="98" spans="1:1" x14ac:dyDescent="0.45">
      <c r="A98" s="3"/>
    </row>
    <row r="99" spans="1:1" x14ac:dyDescent="0.45">
      <c r="A99" s="3"/>
    </row>
    <row r="100" spans="1:1" x14ac:dyDescent="0.45">
      <c r="A100" s="3"/>
    </row>
    <row r="101" spans="1:1" x14ac:dyDescent="0.45">
      <c r="A101" s="3"/>
    </row>
    <row r="102" spans="1:1" x14ac:dyDescent="0.45">
      <c r="A102" s="3"/>
    </row>
    <row r="103" spans="1:1" x14ac:dyDescent="0.45">
      <c r="A103" s="3"/>
    </row>
    <row r="104" spans="1:1" x14ac:dyDescent="0.45">
      <c r="A104" s="3"/>
    </row>
    <row r="105" spans="1:1" x14ac:dyDescent="0.45">
      <c r="A105" s="3"/>
    </row>
    <row r="106" spans="1:1" x14ac:dyDescent="0.45">
      <c r="A106" s="3"/>
    </row>
    <row r="107" spans="1:1" x14ac:dyDescent="0.45">
      <c r="A107" s="3"/>
    </row>
    <row r="108" spans="1:1" x14ac:dyDescent="0.45">
      <c r="A108" s="3"/>
    </row>
    <row r="109" spans="1:1" x14ac:dyDescent="0.45">
      <c r="A109" s="3"/>
    </row>
    <row r="110" spans="1:1" x14ac:dyDescent="0.45">
      <c r="A110" s="3"/>
    </row>
    <row r="111" spans="1:1" x14ac:dyDescent="0.45">
      <c r="A111" s="3"/>
    </row>
    <row r="112" spans="1:1" x14ac:dyDescent="0.45">
      <c r="A112" s="3"/>
    </row>
    <row r="113" spans="1:1" x14ac:dyDescent="0.45">
      <c r="A113" s="3"/>
    </row>
    <row r="114" spans="1:1" x14ac:dyDescent="0.45">
      <c r="A114" s="3"/>
    </row>
    <row r="115" spans="1:1" x14ac:dyDescent="0.45">
      <c r="A115" s="3"/>
    </row>
    <row r="116" spans="1:1" x14ac:dyDescent="0.45">
      <c r="A116" s="3"/>
    </row>
    <row r="117" spans="1:1" x14ac:dyDescent="0.45">
      <c r="A117" s="3"/>
    </row>
    <row r="118" spans="1:1" x14ac:dyDescent="0.45">
      <c r="A118" s="3"/>
    </row>
    <row r="119" spans="1:1" x14ac:dyDescent="0.45">
      <c r="A119" s="3"/>
    </row>
    <row r="120" spans="1:1" x14ac:dyDescent="0.45">
      <c r="A120" s="3"/>
    </row>
    <row r="121" spans="1:1" x14ac:dyDescent="0.45">
      <c r="A121" s="3"/>
    </row>
    <row r="122" spans="1:1" x14ac:dyDescent="0.45">
      <c r="A122" s="3"/>
    </row>
    <row r="123" spans="1:1" x14ac:dyDescent="0.45">
      <c r="A123" s="3"/>
    </row>
    <row r="124" spans="1:1" x14ac:dyDescent="0.45">
      <c r="A124" s="3"/>
    </row>
    <row r="125" spans="1:1" x14ac:dyDescent="0.45">
      <c r="A125" s="3"/>
    </row>
    <row r="126" spans="1:1" x14ac:dyDescent="0.45">
      <c r="A126" s="3"/>
    </row>
    <row r="127" spans="1:1" x14ac:dyDescent="0.45">
      <c r="A127" s="3"/>
    </row>
    <row r="128" spans="1:1" x14ac:dyDescent="0.45">
      <c r="A128" s="3"/>
    </row>
    <row r="129" spans="1:1" x14ac:dyDescent="0.45">
      <c r="A129" s="3"/>
    </row>
    <row r="130" spans="1:1" x14ac:dyDescent="0.45">
      <c r="A130" s="3"/>
    </row>
    <row r="131" spans="1:1" x14ac:dyDescent="0.45">
      <c r="A131" s="3"/>
    </row>
    <row r="132" spans="1:1" x14ac:dyDescent="0.45">
      <c r="A132" s="3"/>
    </row>
    <row r="133" spans="1:1" x14ac:dyDescent="0.45">
      <c r="A133" s="3"/>
    </row>
    <row r="134" spans="1:1" x14ac:dyDescent="0.45">
      <c r="A134" s="3"/>
    </row>
    <row r="135" spans="1:1" x14ac:dyDescent="0.45">
      <c r="A135" s="3"/>
    </row>
    <row r="136" spans="1:1" x14ac:dyDescent="0.45">
      <c r="A136" s="3"/>
    </row>
    <row r="137" spans="1:1" x14ac:dyDescent="0.45">
      <c r="A137" s="3"/>
    </row>
    <row r="138" spans="1:1" x14ac:dyDescent="0.45">
      <c r="A138" s="3"/>
    </row>
    <row r="139" spans="1:1" x14ac:dyDescent="0.45">
      <c r="A139" s="3"/>
    </row>
    <row r="140" spans="1:1" x14ac:dyDescent="0.45">
      <c r="A140" s="3"/>
    </row>
    <row r="141" spans="1:1" x14ac:dyDescent="0.45">
      <c r="A141" s="3"/>
    </row>
    <row r="142" spans="1:1" x14ac:dyDescent="0.45">
      <c r="A142" s="3"/>
    </row>
    <row r="143" spans="1:1" x14ac:dyDescent="0.45">
      <c r="A143" s="3"/>
    </row>
    <row r="144" spans="1:1" x14ac:dyDescent="0.45">
      <c r="A144" s="3"/>
    </row>
    <row r="145" spans="1:1" x14ac:dyDescent="0.45">
      <c r="A145" s="3"/>
    </row>
    <row r="146" spans="1:1" x14ac:dyDescent="0.45">
      <c r="A146" s="3"/>
    </row>
    <row r="147" spans="1:1" x14ac:dyDescent="0.45">
      <c r="A147" s="3"/>
    </row>
    <row r="148" spans="1:1" x14ac:dyDescent="0.45">
      <c r="A148" s="3"/>
    </row>
    <row r="149" spans="1:1" x14ac:dyDescent="0.45">
      <c r="A149" s="3"/>
    </row>
    <row r="150" spans="1:1" x14ac:dyDescent="0.45">
      <c r="A150" s="3"/>
    </row>
    <row r="151" spans="1:1" x14ac:dyDescent="0.45">
      <c r="A151" s="3"/>
    </row>
    <row r="152" spans="1:1" x14ac:dyDescent="0.45">
      <c r="A152" s="3"/>
    </row>
    <row r="153" spans="1:1" x14ac:dyDescent="0.45">
      <c r="A153" s="3"/>
    </row>
    <row r="154" spans="1:1" x14ac:dyDescent="0.45">
      <c r="A154" s="3"/>
    </row>
    <row r="155" spans="1:1" x14ac:dyDescent="0.45">
      <c r="A155" s="3"/>
    </row>
    <row r="156" spans="1:1" x14ac:dyDescent="0.45">
      <c r="A156" s="3"/>
    </row>
    <row r="157" spans="1:1" x14ac:dyDescent="0.45">
      <c r="A157" s="3"/>
    </row>
    <row r="158" spans="1:1" x14ac:dyDescent="0.45">
      <c r="A158" s="3"/>
    </row>
    <row r="159" spans="1:1" x14ac:dyDescent="0.45">
      <c r="A159" s="3"/>
    </row>
    <row r="160" spans="1:1" x14ac:dyDescent="0.45">
      <c r="A160" s="3"/>
    </row>
    <row r="161" spans="1:1" x14ac:dyDescent="0.45">
      <c r="A161" s="3"/>
    </row>
    <row r="162" spans="1:1" x14ac:dyDescent="0.45">
      <c r="A162" s="3"/>
    </row>
    <row r="163" spans="1:1" x14ac:dyDescent="0.45">
      <c r="A163" s="3"/>
    </row>
    <row r="164" spans="1:1" x14ac:dyDescent="0.45">
      <c r="A164" s="3"/>
    </row>
    <row r="165" spans="1:1" x14ac:dyDescent="0.45">
      <c r="A165" s="3"/>
    </row>
    <row r="166" spans="1:1" x14ac:dyDescent="0.45">
      <c r="A166" s="3"/>
    </row>
    <row r="167" spans="1:1" x14ac:dyDescent="0.45">
      <c r="A167" s="3"/>
    </row>
    <row r="168" spans="1:1" x14ac:dyDescent="0.45">
      <c r="A168" s="3"/>
    </row>
    <row r="169" spans="1:1" x14ac:dyDescent="0.45">
      <c r="A169" s="3"/>
    </row>
    <row r="170" spans="1:1" x14ac:dyDescent="0.45">
      <c r="A170" s="3"/>
    </row>
    <row r="171" spans="1:1" x14ac:dyDescent="0.45">
      <c r="A171" s="3"/>
    </row>
    <row r="172" spans="1:1" x14ac:dyDescent="0.45">
      <c r="A172" s="3"/>
    </row>
    <row r="173" spans="1:1" x14ac:dyDescent="0.45">
      <c r="A173" s="3"/>
    </row>
    <row r="174" spans="1:1" x14ac:dyDescent="0.45">
      <c r="A174" s="3"/>
    </row>
    <row r="175" spans="1:1" x14ac:dyDescent="0.45">
      <c r="A175" s="3"/>
    </row>
    <row r="176" spans="1:1" x14ac:dyDescent="0.45">
      <c r="A176" s="3"/>
    </row>
    <row r="177" spans="1:1" x14ac:dyDescent="0.45">
      <c r="A177" s="3"/>
    </row>
    <row r="178" spans="1:1" x14ac:dyDescent="0.45">
      <c r="A178" s="3"/>
    </row>
    <row r="179" spans="1:1" x14ac:dyDescent="0.45">
      <c r="A179" s="3"/>
    </row>
    <row r="180" spans="1:1" x14ac:dyDescent="0.45">
      <c r="A180" s="3"/>
    </row>
    <row r="181" spans="1:1" x14ac:dyDescent="0.45">
      <c r="A181" s="3"/>
    </row>
    <row r="182" spans="1:1" x14ac:dyDescent="0.45">
      <c r="A182" s="3"/>
    </row>
    <row r="183" spans="1:1" x14ac:dyDescent="0.45">
      <c r="A183" s="3"/>
    </row>
    <row r="184" spans="1:1" x14ac:dyDescent="0.45">
      <c r="A184" s="3"/>
    </row>
    <row r="185" spans="1:1" x14ac:dyDescent="0.45">
      <c r="A185" s="3"/>
    </row>
    <row r="186" spans="1:1" x14ac:dyDescent="0.45">
      <c r="A186" s="3"/>
    </row>
    <row r="187" spans="1:1" x14ac:dyDescent="0.45">
      <c r="A187" s="3"/>
    </row>
    <row r="188" spans="1:1" x14ac:dyDescent="0.45">
      <c r="A188" s="3"/>
    </row>
    <row r="189" spans="1:1" x14ac:dyDescent="0.45">
      <c r="A189" s="3"/>
    </row>
    <row r="190" spans="1:1" x14ac:dyDescent="0.45">
      <c r="A190" s="3"/>
    </row>
    <row r="191" spans="1:1" x14ac:dyDescent="0.45">
      <c r="A191" s="3"/>
    </row>
    <row r="192" spans="1:1" x14ac:dyDescent="0.45">
      <c r="A192" s="3"/>
    </row>
    <row r="193" spans="1:1" x14ac:dyDescent="0.45">
      <c r="A193" s="3"/>
    </row>
    <row r="194" spans="1:1" x14ac:dyDescent="0.45">
      <c r="A194" s="3"/>
    </row>
    <row r="195" spans="1:1" x14ac:dyDescent="0.45">
      <c r="A195" s="3"/>
    </row>
    <row r="196" spans="1:1" x14ac:dyDescent="0.45">
      <c r="A196" s="3"/>
    </row>
    <row r="197" spans="1:1" x14ac:dyDescent="0.45">
      <c r="A197" s="3"/>
    </row>
    <row r="198" spans="1:1" x14ac:dyDescent="0.45">
      <c r="A198" s="3"/>
    </row>
    <row r="199" spans="1:1" x14ac:dyDescent="0.45">
      <c r="A199" s="3"/>
    </row>
    <row r="200" spans="1:1" x14ac:dyDescent="0.45">
      <c r="A200" s="3"/>
    </row>
    <row r="201" spans="1:1" x14ac:dyDescent="0.45">
      <c r="A201" s="3"/>
    </row>
    <row r="202" spans="1:1" x14ac:dyDescent="0.45">
      <c r="A202" s="3"/>
    </row>
    <row r="203" spans="1:1" x14ac:dyDescent="0.45">
      <c r="A203" s="3"/>
    </row>
    <row r="204" spans="1:1" x14ac:dyDescent="0.45">
      <c r="A204" s="3"/>
    </row>
    <row r="205" spans="1:1" x14ac:dyDescent="0.45">
      <c r="A205" s="3"/>
    </row>
    <row r="206" spans="1:1" x14ac:dyDescent="0.45">
      <c r="A206" s="3"/>
    </row>
    <row r="207" spans="1:1" x14ac:dyDescent="0.45">
      <c r="A207" s="3"/>
    </row>
    <row r="208" spans="1:1" x14ac:dyDescent="0.45">
      <c r="A208" s="3"/>
    </row>
    <row r="209" spans="1:1" x14ac:dyDescent="0.45">
      <c r="A209" s="3"/>
    </row>
    <row r="210" spans="1:1" x14ac:dyDescent="0.45">
      <c r="A210" s="3"/>
    </row>
    <row r="211" spans="1:1" x14ac:dyDescent="0.45">
      <c r="A211" s="3"/>
    </row>
    <row r="212" spans="1:1" x14ac:dyDescent="0.45">
      <c r="A212" s="3"/>
    </row>
    <row r="213" spans="1:1" x14ac:dyDescent="0.45">
      <c r="A213" s="3"/>
    </row>
    <row r="214" spans="1:1" x14ac:dyDescent="0.45">
      <c r="A214" s="3"/>
    </row>
    <row r="215" spans="1:1" x14ac:dyDescent="0.45">
      <c r="A215" s="3"/>
    </row>
    <row r="216" spans="1:1" x14ac:dyDescent="0.45">
      <c r="A216" s="3"/>
    </row>
    <row r="217" spans="1:1" x14ac:dyDescent="0.45">
      <c r="A217" s="3"/>
    </row>
    <row r="218" spans="1:1" x14ac:dyDescent="0.45">
      <c r="A218" s="3"/>
    </row>
    <row r="219" spans="1:1" x14ac:dyDescent="0.45">
      <c r="A219" s="3"/>
    </row>
    <row r="220" spans="1:1" x14ac:dyDescent="0.45">
      <c r="A220" s="3"/>
    </row>
    <row r="221" spans="1:1" x14ac:dyDescent="0.45">
      <c r="A221" s="3"/>
    </row>
    <row r="222" spans="1:1" x14ac:dyDescent="0.45">
      <c r="A222" s="3"/>
    </row>
    <row r="223" spans="1:1" x14ac:dyDescent="0.45">
      <c r="A223" s="3"/>
    </row>
    <row r="224" spans="1:1" x14ac:dyDescent="0.45">
      <c r="A224" s="3"/>
    </row>
    <row r="225" spans="1:1" x14ac:dyDescent="0.45">
      <c r="A225" s="3"/>
    </row>
    <row r="226" spans="1:1" x14ac:dyDescent="0.45">
      <c r="A226" s="3"/>
    </row>
    <row r="227" spans="1:1" x14ac:dyDescent="0.45">
      <c r="A227" s="3"/>
    </row>
    <row r="228" spans="1:1" x14ac:dyDescent="0.45">
      <c r="A228" s="3"/>
    </row>
    <row r="229" spans="1:1" x14ac:dyDescent="0.45">
      <c r="A229" s="3"/>
    </row>
    <row r="230" spans="1:1" x14ac:dyDescent="0.45">
      <c r="A230" s="3"/>
    </row>
    <row r="231" spans="1:1" x14ac:dyDescent="0.45">
      <c r="A231" s="3"/>
    </row>
    <row r="232" spans="1:1" x14ac:dyDescent="0.45">
      <c r="A232" s="3"/>
    </row>
    <row r="233" spans="1:1" x14ac:dyDescent="0.45">
      <c r="A233" s="3"/>
    </row>
    <row r="234" spans="1:1" x14ac:dyDescent="0.45">
      <c r="A234" s="3"/>
    </row>
    <row r="235" spans="1:1" x14ac:dyDescent="0.45">
      <c r="A235" s="3"/>
    </row>
    <row r="236" spans="1:1" x14ac:dyDescent="0.45">
      <c r="A236" s="3"/>
    </row>
    <row r="237" spans="1:1" x14ac:dyDescent="0.45">
      <c r="A237" s="3"/>
    </row>
    <row r="238" spans="1:1" x14ac:dyDescent="0.45">
      <c r="A238" s="3"/>
    </row>
    <row r="239" spans="1:1" x14ac:dyDescent="0.45">
      <c r="A239" s="3"/>
    </row>
    <row r="240" spans="1:1" x14ac:dyDescent="0.45">
      <c r="A240" s="3"/>
    </row>
    <row r="241" spans="1:1" x14ac:dyDescent="0.45">
      <c r="A241" s="3"/>
    </row>
    <row r="242" spans="1:1" x14ac:dyDescent="0.45">
      <c r="A242" s="3"/>
    </row>
    <row r="243" spans="1:1" x14ac:dyDescent="0.45">
      <c r="A243" s="3"/>
    </row>
    <row r="244" spans="1:1" x14ac:dyDescent="0.45">
      <c r="A244" s="3"/>
    </row>
    <row r="245" spans="1:1" x14ac:dyDescent="0.45">
      <c r="A245" s="3"/>
    </row>
    <row r="246" spans="1:1" x14ac:dyDescent="0.45">
      <c r="A246" s="3"/>
    </row>
    <row r="247" spans="1:1" x14ac:dyDescent="0.45">
      <c r="A247" s="3"/>
    </row>
    <row r="248" spans="1:1" x14ac:dyDescent="0.45">
      <c r="A248" s="3"/>
    </row>
    <row r="249" spans="1:1" x14ac:dyDescent="0.45">
      <c r="A249" s="3"/>
    </row>
    <row r="250" spans="1:1" x14ac:dyDescent="0.45">
      <c r="A250" s="3"/>
    </row>
    <row r="251" spans="1:1" x14ac:dyDescent="0.45">
      <c r="A251" s="3"/>
    </row>
    <row r="252" spans="1:1" x14ac:dyDescent="0.45">
      <c r="A252" s="3"/>
    </row>
    <row r="253" spans="1:1" x14ac:dyDescent="0.45">
      <c r="A253" s="3"/>
    </row>
    <row r="254" spans="1:1" x14ac:dyDescent="0.45">
      <c r="A254" s="3"/>
    </row>
    <row r="255" spans="1:1" x14ac:dyDescent="0.45">
      <c r="A255" s="3"/>
    </row>
    <row r="256" spans="1:1" x14ac:dyDescent="0.45">
      <c r="A256" s="3"/>
    </row>
    <row r="257" spans="1:1" x14ac:dyDescent="0.45">
      <c r="A257" s="3"/>
    </row>
    <row r="258" spans="1:1" x14ac:dyDescent="0.45">
      <c r="A258" s="3"/>
    </row>
    <row r="259" spans="1:1" x14ac:dyDescent="0.45">
      <c r="A259" s="3"/>
    </row>
    <row r="260" spans="1:1" x14ac:dyDescent="0.45">
      <c r="A260" s="3"/>
    </row>
    <row r="261" spans="1:1" x14ac:dyDescent="0.45">
      <c r="A261" s="3"/>
    </row>
    <row r="262" spans="1:1" x14ac:dyDescent="0.45">
      <c r="A262" s="3"/>
    </row>
    <row r="263" spans="1:1" x14ac:dyDescent="0.45">
      <c r="A263" s="3"/>
    </row>
    <row r="264" spans="1:1" x14ac:dyDescent="0.45">
      <c r="A264" s="3"/>
    </row>
    <row r="265" spans="1:1" x14ac:dyDescent="0.45">
      <c r="A265" s="3"/>
    </row>
    <row r="266" spans="1:1" x14ac:dyDescent="0.45">
      <c r="A266" s="3"/>
    </row>
    <row r="267" spans="1:1" x14ac:dyDescent="0.45">
      <c r="A267" s="3"/>
    </row>
    <row r="268" spans="1:1" x14ac:dyDescent="0.45">
      <c r="A268" s="3"/>
    </row>
    <row r="269" spans="1:1" x14ac:dyDescent="0.45">
      <c r="A269" s="3"/>
    </row>
    <row r="270" spans="1:1" x14ac:dyDescent="0.45">
      <c r="A270" s="3"/>
    </row>
    <row r="271" spans="1:1" x14ac:dyDescent="0.45">
      <c r="A271" s="3"/>
    </row>
    <row r="272" spans="1:1" x14ac:dyDescent="0.45">
      <c r="A272" s="3"/>
    </row>
    <row r="273" spans="1:1" x14ac:dyDescent="0.45">
      <c r="A273" s="3"/>
    </row>
    <row r="274" spans="1:1" x14ac:dyDescent="0.45">
      <c r="A274" s="3"/>
    </row>
    <row r="275" spans="1:1" x14ac:dyDescent="0.45">
      <c r="A275" s="3"/>
    </row>
    <row r="276" spans="1:1" x14ac:dyDescent="0.45">
      <c r="A276" s="3"/>
    </row>
    <row r="277" spans="1:1" x14ac:dyDescent="0.45">
      <c r="A277" s="3"/>
    </row>
    <row r="278" spans="1:1" x14ac:dyDescent="0.45">
      <c r="A278" s="3"/>
    </row>
    <row r="279" spans="1:1" x14ac:dyDescent="0.45">
      <c r="A279" s="3"/>
    </row>
    <row r="280" spans="1:1" x14ac:dyDescent="0.45">
      <c r="A280" s="3"/>
    </row>
    <row r="281" spans="1:1" x14ac:dyDescent="0.45">
      <c r="A281" s="3"/>
    </row>
    <row r="282" spans="1:1" x14ac:dyDescent="0.45">
      <c r="A282" s="3"/>
    </row>
    <row r="283" spans="1:1" x14ac:dyDescent="0.45">
      <c r="A283" s="3"/>
    </row>
    <row r="284" spans="1:1" x14ac:dyDescent="0.45">
      <c r="A284" s="3"/>
    </row>
    <row r="285" spans="1:1" x14ac:dyDescent="0.45">
      <c r="A285" s="3"/>
    </row>
    <row r="286" spans="1:1" x14ac:dyDescent="0.45">
      <c r="A286" s="3"/>
    </row>
    <row r="287" spans="1:1" x14ac:dyDescent="0.45">
      <c r="A287" s="3"/>
    </row>
    <row r="288" spans="1:1" x14ac:dyDescent="0.45">
      <c r="A288" s="3"/>
    </row>
    <row r="289" spans="1:1" x14ac:dyDescent="0.45">
      <c r="A289" s="3"/>
    </row>
    <row r="290" spans="1:1" x14ac:dyDescent="0.45">
      <c r="A290" s="3"/>
    </row>
    <row r="291" spans="1:1" x14ac:dyDescent="0.45">
      <c r="A291" s="3"/>
    </row>
    <row r="292" spans="1:1" x14ac:dyDescent="0.45">
      <c r="A292" s="3"/>
    </row>
    <row r="293" spans="1:1" x14ac:dyDescent="0.45">
      <c r="A293" s="3"/>
    </row>
    <row r="294" spans="1:1" x14ac:dyDescent="0.45">
      <c r="A294" s="3"/>
    </row>
    <row r="295" spans="1:1" x14ac:dyDescent="0.45">
      <c r="A295" s="3"/>
    </row>
    <row r="296" spans="1:1" x14ac:dyDescent="0.45">
      <c r="A296" s="3"/>
    </row>
    <row r="297" spans="1:1" x14ac:dyDescent="0.45">
      <c r="A297" s="3"/>
    </row>
    <row r="298" spans="1:1" x14ac:dyDescent="0.45">
      <c r="A298" s="3"/>
    </row>
    <row r="299" spans="1:1" x14ac:dyDescent="0.45">
      <c r="A299" s="3"/>
    </row>
    <row r="300" spans="1:1" x14ac:dyDescent="0.45">
      <c r="A300" s="3"/>
    </row>
    <row r="301" spans="1:1" x14ac:dyDescent="0.45">
      <c r="A301" s="3"/>
    </row>
    <row r="302" spans="1:1" x14ac:dyDescent="0.45">
      <c r="A302" s="3"/>
    </row>
    <row r="303" spans="1:1" x14ac:dyDescent="0.45">
      <c r="A303" s="3"/>
    </row>
    <row r="304" spans="1:1" x14ac:dyDescent="0.45">
      <c r="A304" s="3"/>
    </row>
    <row r="305" spans="1:1" x14ac:dyDescent="0.45">
      <c r="A305" s="3"/>
    </row>
    <row r="306" spans="1:1" x14ac:dyDescent="0.45">
      <c r="A306" s="3"/>
    </row>
    <row r="307" spans="1:1" x14ac:dyDescent="0.45">
      <c r="A307" s="3"/>
    </row>
    <row r="308" spans="1:1" x14ac:dyDescent="0.45">
      <c r="A308" s="3"/>
    </row>
    <row r="309" spans="1:1" x14ac:dyDescent="0.45">
      <c r="A309" s="3"/>
    </row>
    <row r="310" spans="1:1" x14ac:dyDescent="0.45">
      <c r="A310" s="3"/>
    </row>
    <row r="311" spans="1:1" x14ac:dyDescent="0.45">
      <c r="A311" s="3"/>
    </row>
    <row r="312" spans="1:1" x14ac:dyDescent="0.45">
      <c r="A312" s="3"/>
    </row>
    <row r="313" spans="1:1" x14ac:dyDescent="0.45">
      <c r="A313" s="3"/>
    </row>
    <row r="314" spans="1:1" x14ac:dyDescent="0.45">
      <c r="A314" s="3"/>
    </row>
    <row r="315" spans="1:1" x14ac:dyDescent="0.45">
      <c r="A315" s="3"/>
    </row>
    <row r="316" spans="1:1" x14ac:dyDescent="0.45">
      <c r="A316" s="3"/>
    </row>
    <row r="317" spans="1:1" x14ac:dyDescent="0.45">
      <c r="A317" s="3"/>
    </row>
    <row r="318" spans="1:1" x14ac:dyDescent="0.45">
      <c r="A318" s="3"/>
    </row>
    <row r="319" spans="1:1" x14ac:dyDescent="0.45">
      <c r="A319" s="3"/>
    </row>
    <row r="320" spans="1:1" x14ac:dyDescent="0.45">
      <c r="A320" s="3"/>
    </row>
    <row r="321" spans="1:1" x14ac:dyDescent="0.45">
      <c r="A321" s="3"/>
    </row>
    <row r="322" spans="1:1" x14ac:dyDescent="0.45">
      <c r="A322" s="3"/>
    </row>
    <row r="323" spans="1:1" x14ac:dyDescent="0.45">
      <c r="A323" s="3"/>
    </row>
    <row r="324" spans="1:1" x14ac:dyDescent="0.45">
      <c r="A324" s="3"/>
    </row>
    <row r="325" spans="1:1" x14ac:dyDescent="0.45">
      <c r="A325" s="3"/>
    </row>
    <row r="326" spans="1:1" x14ac:dyDescent="0.45">
      <c r="A326" s="3"/>
    </row>
    <row r="327" spans="1:1" x14ac:dyDescent="0.45">
      <c r="A327" s="3"/>
    </row>
    <row r="328" spans="1:1" x14ac:dyDescent="0.45">
      <c r="A328" s="3"/>
    </row>
    <row r="329" spans="1:1" x14ac:dyDescent="0.45">
      <c r="A329" s="3"/>
    </row>
    <row r="330" spans="1:1" x14ac:dyDescent="0.45">
      <c r="A330" s="3"/>
    </row>
    <row r="331" spans="1:1" x14ac:dyDescent="0.45">
      <c r="A331" s="3"/>
    </row>
    <row r="332" spans="1:1" x14ac:dyDescent="0.45">
      <c r="A332" s="3"/>
    </row>
    <row r="333" spans="1:1" x14ac:dyDescent="0.45">
      <c r="A333" s="3"/>
    </row>
    <row r="334" spans="1:1" x14ac:dyDescent="0.45">
      <c r="A334" s="3"/>
    </row>
    <row r="335" spans="1:1" x14ac:dyDescent="0.45">
      <c r="A335" s="3"/>
    </row>
    <row r="336" spans="1:1" x14ac:dyDescent="0.45">
      <c r="A336" s="3"/>
    </row>
    <row r="337" spans="1:1" x14ac:dyDescent="0.45">
      <c r="A337" s="3"/>
    </row>
    <row r="338" spans="1:1" x14ac:dyDescent="0.45">
      <c r="A338" s="3"/>
    </row>
    <row r="339" spans="1:1" x14ac:dyDescent="0.45">
      <c r="A339" s="3"/>
    </row>
    <row r="340" spans="1:1" x14ac:dyDescent="0.45">
      <c r="A340" s="3"/>
    </row>
    <row r="341" spans="1:1" x14ac:dyDescent="0.45">
      <c r="A341" s="3"/>
    </row>
    <row r="342" spans="1:1" x14ac:dyDescent="0.45">
      <c r="A342" s="3"/>
    </row>
    <row r="343" spans="1:1" x14ac:dyDescent="0.45">
      <c r="A343" s="3"/>
    </row>
    <row r="344" spans="1:1" x14ac:dyDescent="0.45">
      <c r="A344" s="3"/>
    </row>
    <row r="345" spans="1:1" x14ac:dyDescent="0.45">
      <c r="A345" s="3"/>
    </row>
    <row r="346" spans="1:1" x14ac:dyDescent="0.45">
      <c r="A346" s="3"/>
    </row>
    <row r="347" spans="1:1" x14ac:dyDescent="0.45">
      <c r="A347" s="3"/>
    </row>
    <row r="348" spans="1:1" x14ac:dyDescent="0.45">
      <c r="A348" s="3"/>
    </row>
    <row r="349" spans="1:1" x14ac:dyDescent="0.45">
      <c r="A349" s="3"/>
    </row>
    <row r="350" spans="1:1" x14ac:dyDescent="0.45">
      <c r="A350" s="3"/>
    </row>
    <row r="351" spans="1:1" x14ac:dyDescent="0.45">
      <c r="A351" s="3"/>
    </row>
    <row r="352" spans="1:1" x14ac:dyDescent="0.45">
      <c r="A352" s="3"/>
    </row>
    <row r="353" spans="1:1" x14ac:dyDescent="0.45">
      <c r="A353" s="3"/>
    </row>
    <row r="354" spans="1:1" x14ac:dyDescent="0.45">
      <c r="A354" s="3"/>
    </row>
    <row r="355" spans="1:1" x14ac:dyDescent="0.45">
      <c r="A355" s="3"/>
    </row>
    <row r="356" spans="1:1" x14ac:dyDescent="0.45">
      <c r="A356" s="3"/>
    </row>
    <row r="357" spans="1:1" x14ac:dyDescent="0.45">
      <c r="A357" s="3"/>
    </row>
    <row r="358" spans="1:1" x14ac:dyDescent="0.45">
      <c r="A358" s="3"/>
    </row>
    <row r="359" spans="1:1" x14ac:dyDescent="0.45">
      <c r="A359" s="3"/>
    </row>
    <row r="360" spans="1:1" x14ac:dyDescent="0.45">
      <c r="A360" s="3"/>
    </row>
    <row r="361" spans="1:1" x14ac:dyDescent="0.45">
      <c r="A361" s="3"/>
    </row>
    <row r="362" spans="1:1" x14ac:dyDescent="0.45">
      <c r="A362" s="3"/>
    </row>
    <row r="363" spans="1:1" x14ac:dyDescent="0.45">
      <c r="A363" s="3"/>
    </row>
    <row r="364" spans="1:1" x14ac:dyDescent="0.45">
      <c r="A364" s="3"/>
    </row>
    <row r="365" spans="1:1" x14ac:dyDescent="0.45">
      <c r="A36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6" t="s">
        <v>31</v>
      </c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</row>
    <row r="2" spans="1:12" x14ac:dyDescent="0.45">
      <c r="A2" s="6">
        <v>0</v>
      </c>
      <c r="B2" s="1">
        <v>5.5555555555555556E-4</v>
      </c>
      <c r="C2" s="1">
        <v>5.5555555555555558E-5</v>
      </c>
      <c r="D2" s="1">
        <v>5.5555555555555556E-4</v>
      </c>
      <c r="E2" s="1">
        <v>5.5555555555555558E-5</v>
      </c>
      <c r="F2" s="1">
        <v>5.5555555555555556E-4</v>
      </c>
      <c r="G2" s="3"/>
    </row>
    <row r="3" spans="1:12" x14ac:dyDescent="0.45">
      <c r="A3" s="6">
        <v>3600000</v>
      </c>
      <c r="B3" s="1">
        <v>5.5555555555555558E-5</v>
      </c>
      <c r="C3" s="1">
        <v>5.5555555555555558E-6</v>
      </c>
      <c r="D3" s="1">
        <v>5.5555555555555558E-5</v>
      </c>
      <c r="E3" s="1">
        <v>5.5555555555555558E-6</v>
      </c>
      <c r="F3" s="1">
        <v>5.5555555555555558E-5</v>
      </c>
      <c r="G3" s="3"/>
      <c r="H3" s="1"/>
      <c r="I3" s="1"/>
      <c r="J3" s="1"/>
      <c r="K3" s="1"/>
      <c r="L3" s="1"/>
    </row>
    <row r="4" spans="1:12" x14ac:dyDescent="0.45">
      <c r="A4" s="6">
        <v>400000000</v>
      </c>
      <c r="B4" s="1">
        <v>5.5555555555555558E-5</v>
      </c>
      <c r="C4" s="1">
        <v>5.5555555555555558E-6</v>
      </c>
      <c r="D4" s="1">
        <v>5.5555555555555558E-5</v>
      </c>
      <c r="E4" s="1">
        <v>5.5555555555555558E-6</v>
      </c>
      <c r="F4" s="1">
        <v>5.5555555555555558E-5</v>
      </c>
      <c r="G4" s="3"/>
    </row>
    <row r="5" spans="1:12" x14ac:dyDescent="0.45">
      <c r="B5" s="1"/>
      <c r="C5" s="1"/>
      <c r="D5" s="1"/>
      <c r="E5" s="1"/>
      <c r="F5" s="1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3"/>
      <c r="D7" s="3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J17" sqref="J17"/>
    </sheetView>
  </sheetViews>
  <sheetFormatPr baseColWidth="10" defaultColWidth="9.06640625" defaultRowHeight="14.25" x14ac:dyDescent="0.45"/>
  <cols>
    <col min="2" max="2" width="10.73046875" bestFit="1" customWidth="1"/>
  </cols>
  <sheetData>
    <row r="1" spans="1:8" x14ac:dyDescent="0.4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45">
      <c r="A2" s="2" t="s">
        <v>44</v>
      </c>
      <c r="B2">
        <v>100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45">
      <c r="A3" s="2" t="s">
        <v>48</v>
      </c>
      <c r="B3" s="1">
        <v>9.9999999999999995E-7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45">
      <c r="A4" s="2" t="s">
        <v>50</v>
      </c>
      <c r="B4">
        <v>10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45">
      <c r="A5" s="2" t="s">
        <v>52</v>
      </c>
      <c r="B5" s="1">
        <v>9.9999999999999995E-7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45">
      <c r="A6" s="2" t="s">
        <v>54</v>
      </c>
      <c r="B6">
        <v>10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45">
      <c r="A7" s="2" t="s">
        <v>56</v>
      </c>
      <c r="B7">
        <v>10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45">
      <c r="A8" s="2" t="s">
        <v>57</v>
      </c>
      <c r="B8" s="1">
        <v>9.9999999999999995E-8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45">
      <c r="A9" s="2" t="s">
        <v>58</v>
      </c>
      <c r="B9">
        <v>1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45">
      <c r="A10" s="2" t="s">
        <v>59</v>
      </c>
      <c r="B10" s="1">
        <v>9.9999999999999995E-8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45">
      <c r="A11" s="2" t="s">
        <v>60</v>
      </c>
      <c r="B11">
        <v>1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4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4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4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4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4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45">
      <c r="A17" s="2" t="s">
        <v>67</v>
      </c>
      <c r="B17" s="1">
        <v>1E-4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45">
      <c r="A18" s="2" t="s">
        <v>68</v>
      </c>
      <c r="B18" s="1">
        <v>1E-4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45">
      <c r="A19" s="2" t="s">
        <v>69</v>
      </c>
      <c r="B19" s="1">
        <v>1E-4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45">
      <c r="A20" s="2" t="s">
        <v>70</v>
      </c>
      <c r="B20" s="1">
        <v>1E-4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45">
      <c r="A21" s="2" t="s">
        <v>71</v>
      </c>
      <c r="B21" s="1">
        <v>1E-4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45">
      <c r="A22" s="2" t="s">
        <v>32</v>
      </c>
      <c r="B22" s="1">
        <v>5.5555555555555558E-5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45">
      <c r="A23" s="2" t="s">
        <v>33</v>
      </c>
      <c r="B23" s="1">
        <v>5.5555555555555558E-6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45">
      <c r="A24" s="2" t="s">
        <v>34</v>
      </c>
      <c r="B24" s="1">
        <v>5.5555555555555558E-5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45">
      <c r="A25" s="2" t="s">
        <v>35</v>
      </c>
      <c r="B25" s="1">
        <v>5.5555555555555558E-6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45">
      <c r="A26" s="2" t="s">
        <v>36</v>
      </c>
      <c r="B26" s="1">
        <v>5.5555555555555558E-5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4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4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4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4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4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  <row r="32" spans="1:8" x14ac:dyDescent="0.45">
      <c r="A32" s="7" t="s">
        <v>326</v>
      </c>
      <c r="B32" s="1">
        <v>0</v>
      </c>
      <c r="C32">
        <v>3.1154231364886891E-4</v>
      </c>
      <c r="D32">
        <v>3.807739389041731E-4</v>
      </c>
      <c r="E32" t="s">
        <v>72</v>
      </c>
      <c r="F32" t="s">
        <v>62</v>
      </c>
      <c r="G32">
        <v>0</v>
      </c>
      <c r="H32" t="s">
        <v>327</v>
      </c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C3" sqref="C3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45">
      <c r="A2" t="s">
        <v>329</v>
      </c>
      <c r="B2" t="s">
        <v>83</v>
      </c>
      <c r="C2">
        <v>1</v>
      </c>
      <c r="D2">
        <v>225</v>
      </c>
      <c r="E2">
        <v>300</v>
      </c>
    </row>
    <row r="3" spans="1:5" x14ac:dyDescent="0.45">
      <c r="A3" t="s">
        <v>330</v>
      </c>
      <c r="B3" t="s">
        <v>83</v>
      </c>
      <c r="C3">
        <v>4</v>
      </c>
      <c r="D3">
        <v>225</v>
      </c>
      <c r="E3">
        <v>300</v>
      </c>
    </row>
    <row r="4" spans="1:5" x14ac:dyDescent="0.45">
      <c r="A4" t="s">
        <v>331</v>
      </c>
      <c r="B4" t="s">
        <v>83</v>
      </c>
      <c r="C4">
        <v>7</v>
      </c>
      <c r="D4">
        <v>225</v>
      </c>
      <c r="E4">
        <v>300</v>
      </c>
    </row>
    <row r="5" spans="1:5" x14ac:dyDescent="0.45">
      <c r="A5" t="s">
        <v>332</v>
      </c>
      <c r="B5" t="s">
        <v>83</v>
      </c>
      <c r="C5">
        <v>10</v>
      </c>
      <c r="D5">
        <v>225</v>
      </c>
      <c r="E5">
        <v>300</v>
      </c>
    </row>
    <row r="6" spans="1:5" x14ac:dyDescent="0.45">
      <c r="A6" t="s">
        <v>333</v>
      </c>
      <c r="B6" t="s">
        <v>83</v>
      </c>
      <c r="C6">
        <v>13</v>
      </c>
      <c r="D6">
        <v>225</v>
      </c>
      <c r="E6">
        <v>300</v>
      </c>
    </row>
    <row r="7" spans="1:5" x14ac:dyDescent="0.45">
      <c r="A7" t="s">
        <v>334</v>
      </c>
      <c r="B7" t="s">
        <v>335</v>
      </c>
      <c r="C7">
        <v>7</v>
      </c>
      <c r="D7">
        <v>225</v>
      </c>
      <c r="E7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8"/>
  <sheetViews>
    <sheetView workbookViewId="0">
      <selection activeCell="K7" sqref="K7"/>
    </sheetView>
  </sheetViews>
  <sheetFormatPr baseColWidth="10" defaultColWidth="9.06640625" defaultRowHeight="14.25" x14ac:dyDescent="0.45"/>
  <cols>
    <col min="2" max="2" width="9.73046875" bestFit="1" customWidth="1"/>
  </cols>
  <sheetData>
    <row r="1" spans="1:6" x14ac:dyDescent="0.45">
      <c r="A1" s="5" t="s">
        <v>84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85</v>
      </c>
    </row>
    <row r="2" spans="1:6" x14ac:dyDescent="0.45">
      <c r="A2" t="s">
        <v>86</v>
      </c>
      <c r="B2">
        <v>0</v>
      </c>
      <c r="C2">
        <v>7</v>
      </c>
      <c r="D2">
        <v>224</v>
      </c>
      <c r="E2">
        <v>299</v>
      </c>
      <c r="F2">
        <v>0</v>
      </c>
    </row>
    <row r="3" spans="1:6" x14ac:dyDescent="0.45">
      <c r="A3" t="s">
        <v>86</v>
      </c>
      <c r="B3" s="6">
        <v>3600000</v>
      </c>
      <c r="C3">
        <v>7</v>
      </c>
      <c r="D3">
        <v>224</v>
      </c>
      <c r="E3">
        <v>299</v>
      </c>
      <c r="F3">
        <v>0</v>
      </c>
    </row>
    <row r="4" spans="1:6" x14ac:dyDescent="0.45">
      <c r="A4" t="s">
        <v>86</v>
      </c>
      <c r="B4">
        <v>400000000</v>
      </c>
      <c r="C4">
        <v>7</v>
      </c>
      <c r="D4">
        <v>224</v>
      </c>
      <c r="E4">
        <v>299</v>
      </c>
      <c r="F4">
        <v>0</v>
      </c>
    </row>
    <row r="5" spans="1:6" x14ac:dyDescent="0.45">
      <c r="A5" t="s">
        <v>87</v>
      </c>
      <c r="B5">
        <v>0</v>
      </c>
      <c r="C5">
        <v>7</v>
      </c>
      <c r="D5">
        <v>224</v>
      </c>
      <c r="E5">
        <v>300</v>
      </c>
      <c r="F5">
        <v>0</v>
      </c>
    </row>
    <row r="6" spans="1:6" x14ac:dyDescent="0.45">
      <c r="A6" t="s">
        <v>87</v>
      </c>
      <c r="B6" s="6">
        <v>3600000</v>
      </c>
      <c r="C6">
        <v>7</v>
      </c>
      <c r="D6">
        <v>224</v>
      </c>
      <c r="E6">
        <v>300</v>
      </c>
      <c r="F6">
        <v>0</v>
      </c>
    </row>
    <row r="7" spans="1:6" x14ac:dyDescent="0.45">
      <c r="A7" t="s">
        <v>87</v>
      </c>
      <c r="B7">
        <v>400000000</v>
      </c>
      <c r="C7">
        <v>7</v>
      </c>
      <c r="D7">
        <v>224</v>
      </c>
      <c r="E7">
        <v>300</v>
      </c>
      <c r="F7">
        <v>0</v>
      </c>
    </row>
    <row r="8" spans="1:6" x14ac:dyDescent="0.45">
      <c r="A8" t="s">
        <v>88</v>
      </c>
      <c r="B8">
        <v>0</v>
      </c>
      <c r="C8">
        <v>7</v>
      </c>
      <c r="D8">
        <v>224</v>
      </c>
      <c r="E8">
        <v>301</v>
      </c>
      <c r="F8">
        <v>0</v>
      </c>
    </row>
    <row r="9" spans="1:6" x14ac:dyDescent="0.45">
      <c r="A9" t="s">
        <v>88</v>
      </c>
      <c r="B9" s="6">
        <v>3600000</v>
      </c>
      <c r="C9">
        <v>7</v>
      </c>
      <c r="D9">
        <v>224</v>
      </c>
      <c r="E9">
        <v>301</v>
      </c>
      <c r="F9">
        <v>0</v>
      </c>
    </row>
    <row r="10" spans="1:6" x14ac:dyDescent="0.45">
      <c r="A10" t="s">
        <v>88</v>
      </c>
      <c r="B10">
        <v>400000000</v>
      </c>
      <c r="C10">
        <v>7</v>
      </c>
      <c r="D10">
        <v>224</v>
      </c>
      <c r="E10">
        <v>301</v>
      </c>
      <c r="F10">
        <v>0</v>
      </c>
    </row>
    <row r="11" spans="1:6" x14ac:dyDescent="0.45">
      <c r="A11" t="s">
        <v>89</v>
      </c>
      <c r="B11">
        <v>0</v>
      </c>
      <c r="C11">
        <v>7</v>
      </c>
      <c r="D11">
        <v>225</v>
      </c>
      <c r="E11">
        <v>299</v>
      </c>
      <c r="F11">
        <v>0</v>
      </c>
    </row>
    <row r="12" spans="1:6" x14ac:dyDescent="0.45">
      <c r="A12" t="s">
        <v>89</v>
      </c>
      <c r="B12" s="6">
        <v>3600000</v>
      </c>
      <c r="C12">
        <v>7</v>
      </c>
      <c r="D12">
        <v>225</v>
      </c>
      <c r="E12">
        <v>299</v>
      </c>
      <c r="F12">
        <v>0</v>
      </c>
    </row>
    <row r="13" spans="1:6" x14ac:dyDescent="0.45">
      <c r="A13" t="s">
        <v>89</v>
      </c>
      <c r="B13">
        <v>400000000</v>
      </c>
      <c r="C13">
        <v>7</v>
      </c>
      <c r="D13">
        <v>225</v>
      </c>
      <c r="E13">
        <v>299</v>
      </c>
      <c r="F13">
        <v>0</v>
      </c>
    </row>
    <row r="14" spans="1:6" x14ac:dyDescent="0.45">
      <c r="A14" t="s">
        <v>90</v>
      </c>
      <c r="B14">
        <v>0</v>
      </c>
      <c r="C14">
        <v>7</v>
      </c>
      <c r="D14">
        <v>225</v>
      </c>
      <c r="E14">
        <v>300</v>
      </c>
      <c r="F14">
        <v>0</v>
      </c>
    </row>
    <row r="15" spans="1:6" x14ac:dyDescent="0.45">
      <c r="A15" t="s">
        <v>90</v>
      </c>
      <c r="B15" s="6">
        <v>3600000</v>
      </c>
      <c r="C15">
        <v>7</v>
      </c>
      <c r="D15">
        <v>225</v>
      </c>
      <c r="E15">
        <v>300</v>
      </c>
      <c r="F15">
        <v>0</v>
      </c>
    </row>
    <row r="16" spans="1:6" x14ac:dyDescent="0.45">
      <c r="A16" t="s">
        <v>90</v>
      </c>
      <c r="B16">
        <v>400000000</v>
      </c>
      <c r="C16">
        <v>7</v>
      </c>
      <c r="D16">
        <v>225</v>
      </c>
      <c r="E16">
        <v>300</v>
      </c>
      <c r="F16">
        <v>0</v>
      </c>
    </row>
    <row r="17" spans="1:6" x14ac:dyDescent="0.45">
      <c r="A17" t="s">
        <v>123</v>
      </c>
      <c r="B17">
        <v>0</v>
      </c>
      <c r="C17">
        <v>7</v>
      </c>
      <c r="D17">
        <v>225</v>
      </c>
      <c r="E17">
        <v>301</v>
      </c>
      <c r="F17">
        <v>0</v>
      </c>
    </row>
    <row r="18" spans="1:6" x14ac:dyDescent="0.45">
      <c r="A18" t="s">
        <v>123</v>
      </c>
      <c r="B18" s="6">
        <v>3600000</v>
      </c>
      <c r="C18">
        <v>7</v>
      </c>
      <c r="D18">
        <v>225</v>
      </c>
      <c r="E18">
        <v>301</v>
      </c>
      <c r="F18">
        <v>0</v>
      </c>
    </row>
    <row r="19" spans="1:6" x14ac:dyDescent="0.45">
      <c r="A19" t="s">
        <v>123</v>
      </c>
      <c r="B19">
        <v>400000000</v>
      </c>
      <c r="C19">
        <v>7</v>
      </c>
      <c r="D19">
        <v>225</v>
      </c>
      <c r="E19">
        <v>301</v>
      </c>
      <c r="F19">
        <v>0</v>
      </c>
    </row>
    <row r="20" spans="1:6" x14ac:dyDescent="0.45">
      <c r="A20" t="s">
        <v>336</v>
      </c>
      <c r="B20">
        <v>0</v>
      </c>
      <c r="C20">
        <v>7</v>
      </c>
      <c r="D20">
        <v>226</v>
      </c>
      <c r="E20">
        <v>299</v>
      </c>
      <c r="F20">
        <v>0</v>
      </c>
    </row>
    <row r="21" spans="1:6" x14ac:dyDescent="0.45">
      <c r="A21" t="s">
        <v>336</v>
      </c>
      <c r="B21" s="6">
        <v>3600000</v>
      </c>
      <c r="C21">
        <v>7</v>
      </c>
      <c r="D21">
        <v>226</v>
      </c>
      <c r="E21">
        <v>299</v>
      </c>
      <c r="F21">
        <v>0</v>
      </c>
    </row>
    <row r="22" spans="1:6" x14ac:dyDescent="0.45">
      <c r="A22" t="s">
        <v>336</v>
      </c>
      <c r="B22">
        <v>400000000</v>
      </c>
      <c r="C22">
        <v>7</v>
      </c>
      <c r="D22">
        <v>226</v>
      </c>
      <c r="E22">
        <v>299</v>
      </c>
      <c r="F22">
        <v>0</v>
      </c>
    </row>
    <row r="23" spans="1:6" x14ac:dyDescent="0.45">
      <c r="A23" t="s">
        <v>337</v>
      </c>
      <c r="B23">
        <v>0</v>
      </c>
      <c r="C23">
        <v>7</v>
      </c>
      <c r="D23">
        <v>226</v>
      </c>
      <c r="E23">
        <v>300</v>
      </c>
      <c r="F23">
        <v>0</v>
      </c>
    </row>
    <row r="24" spans="1:6" x14ac:dyDescent="0.45">
      <c r="A24" t="s">
        <v>337</v>
      </c>
      <c r="B24" s="6">
        <v>3600000</v>
      </c>
      <c r="C24">
        <v>7</v>
      </c>
      <c r="D24">
        <v>226</v>
      </c>
      <c r="E24">
        <v>300</v>
      </c>
      <c r="F24">
        <v>0</v>
      </c>
    </row>
    <row r="25" spans="1:6" x14ac:dyDescent="0.45">
      <c r="A25" t="s">
        <v>337</v>
      </c>
      <c r="B25">
        <v>400000000</v>
      </c>
      <c r="C25">
        <v>7</v>
      </c>
      <c r="D25">
        <v>226</v>
      </c>
      <c r="E25">
        <v>300</v>
      </c>
      <c r="F25">
        <v>0</v>
      </c>
    </row>
    <row r="26" spans="1:6" x14ac:dyDescent="0.45">
      <c r="A26" t="s">
        <v>338</v>
      </c>
      <c r="B26">
        <v>0</v>
      </c>
      <c r="C26">
        <v>7</v>
      </c>
      <c r="D26">
        <v>226</v>
      </c>
      <c r="E26">
        <v>301</v>
      </c>
      <c r="F26">
        <v>0</v>
      </c>
    </row>
    <row r="27" spans="1:6" x14ac:dyDescent="0.45">
      <c r="A27" t="s">
        <v>338</v>
      </c>
      <c r="B27" s="6">
        <v>3600000</v>
      </c>
      <c r="C27">
        <v>7</v>
      </c>
      <c r="D27">
        <v>226</v>
      </c>
      <c r="E27">
        <v>301</v>
      </c>
      <c r="F27">
        <v>0</v>
      </c>
    </row>
    <row r="28" spans="1:6" x14ac:dyDescent="0.45">
      <c r="A28" t="s">
        <v>338</v>
      </c>
      <c r="B28">
        <v>400000000</v>
      </c>
      <c r="C28">
        <v>7</v>
      </c>
      <c r="D28">
        <v>226</v>
      </c>
      <c r="E28">
        <v>301</v>
      </c>
      <c r="F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0"/>
  <sheetViews>
    <sheetView workbookViewId="0">
      <selection activeCell="H15" sqref="H15"/>
    </sheetView>
  </sheetViews>
  <sheetFormatPr baseColWidth="10" defaultRowHeight="14.25" x14ac:dyDescent="0.45"/>
  <sheetData>
    <row r="1" spans="1:10" x14ac:dyDescent="0.45">
      <c r="A1" t="s">
        <v>84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45">
      <c r="A2" t="s">
        <v>86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45">
      <c r="A3" t="s">
        <v>87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45">
      <c r="A4" t="s">
        <v>88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45">
      <c r="A5" t="s">
        <v>89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45">
      <c r="A6" t="s">
        <v>90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  <row r="7" spans="1:10" x14ac:dyDescent="0.45">
      <c r="A7" t="s">
        <v>123</v>
      </c>
      <c r="B7">
        <v>0</v>
      </c>
      <c r="C7">
        <f t="shared" ref="C7:C10" si="0">D7/2</f>
        <v>-1</v>
      </c>
      <c r="D7">
        <v>-2</v>
      </c>
      <c r="E7">
        <v>-4</v>
      </c>
      <c r="F7">
        <v>-6</v>
      </c>
      <c r="G7">
        <v>-8</v>
      </c>
      <c r="H7">
        <v>-10</v>
      </c>
      <c r="I7">
        <v>-20</v>
      </c>
      <c r="J7">
        <v>-30</v>
      </c>
    </row>
    <row r="8" spans="1:10" x14ac:dyDescent="0.45">
      <c r="A8" t="s">
        <v>336</v>
      </c>
      <c r="B8">
        <v>0</v>
      </c>
      <c r="C8">
        <f t="shared" si="0"/>
        <v>-1</v>
      </c>
      <c r="D8">
        <v>-2</v>
      </c>
      <c r="E8">
        <v>-4</v>
      </c>
      <c r="F8">
        <v>-6</v>
      </c>
      <c r="G8">
        <v>-8</v>
      </c>
      <c r="H8">
        <v>-10</v>
      </c>
      <c r="I8">
        <v>-20</v>
      </c>
      <c r="J8">
        <v>-30</v>
      </c>
    </row>
    <row r="9" spans="1:10" x14ac:dyDescent="0.45">
      <c r="A9" t="s">
        <v>337</v>
      </c>
      <c r="B9">
        <v>0</v>
      </c>
      <c r="C9">
        <f t="shared" si="0"/>
        <v>-1</v>
      </c>
      <c r="D9">
        <v>-2</v>
      </c>
      <c r="E9">
        <v>-4</v>
      </c>
      <c r="F9">
        <v>-6</v>
      </c>
      <c r="G9">
        <v>-8</v>
      </c>
      <c r="H9">
        <v>-10</v>
      </c>
      <c r="I9">
        <v>-20</v>
      </c>
      <c r="J9">
        <v>-30</v>
      </c>
    </row>
    <row r="10" spans="1:10" x14ac:dyDescent="0.45">
      <c r="A10" t="s">
        <v>338</v>
      </c>
      <c r="B10">
        <v>0</v>
      </c>
      <c r="C10">
        <f t="shared" si="0"/>
        <v>-1</v>
      </c>
      <c r="D10">
        <v>-2</v>
      </c>
      <c r="E10">
        <v>-4</v>
      </c>
      <c r="F10">
        <v>-6</v>
      </c>
      <c r="G10">
        <v>-8</v>
      </c>
      <c r="H10">
        <v>-10</v>
      </c>
      <c r="I10">
        <v>-20</v>
      </c>
      <c r="J10">
        <v>-30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workbookViewId="0">
      <selection activeCell="E9" sqref="E9"/>
    </sheetView>
  </sheetViews>
  <sheetFormatPr baseColWidth="10" defaultRowHeight="14.25" x14ac:dyDescent="0.45"/>
  <sheetData>
    <row r="1" spans="1:11" x14ac:dyDescent="0.45">
      <c r="A1" t="s">
        <v>84</v>
      </c>
      <c r="B1" t="s">
        <v>31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45">
      <c r="A2" t="s">
        <v>86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45">
      <c r="A3" t="s">
        <v>86</v>
      </c>
      <c r="B3" s="6">
        <v>3600000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45">
      <c r="A4" t="s">
        <v>86</v>
      </c>
      <c r="B4">
        <v>400000000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45">
      <c r="A5" t="s">
        <v>87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45">
      <c r="A6" t="s">
        <v>87</v>
      </c>
      <c r="B6" s="6">
        <v>3600000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45">
      <c r="A7" t="s">
        <v>87</v>
      </c>
      <c r="B7">
        <v>400000000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4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45">
      <c r="A9" t="s">
        <v>88</v>
      </c>
      <c r="B9" s="6">
        <v>3600000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45">
      <c r="A10" t="s">
        <v>88</v>
      </c>
      <c r="B10">
        <v>400000000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45">
      <c r="A11" t="s">
        <v>89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45">
      <c r="A12" t="s">
        <v>89</v>
      </c>
      <c r="B12" s="6">
        <v>3600000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45">
      <c r="A13" t="s">
        <v>89</v>
      </c>
      <c r="B13">
        <v>400000000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4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45">
      <c r="A15" t="s">
        <v>90</v>
      </c>
      <c r="B15" s="6">
        <v>3600000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45">
      <c r="A16" t="s">
        <v>90</v>
      </c>
      <c r="B16">
        <v>400000000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  <row r="17" spans="1:11" x14ac:dyDescent="0.45">
      <c r="A17" t="s">
        <v>123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45">
      <c r="A18" t="s">
        <v>123</v>
      </c>
      <c r="B18" s="6">
        <v>3600000</v>
      </c>
      <c r="C18">
        <v>0</v>
      </c>
      <c r="D18">
        <v>-1</v>
      </c>
      <c r="E18">
        <v>-2</v>
      </c>
      <c r="F18">
        <v>-4</v>
      </c>
      <c r="G18">
        <v>-6</v>
      </c>
      <c r="H18">
        <v>-8</v>
      </c>
      <c r="I18">
        <v>-10</v>
      </c>
      <c r="J18">
        <v>-20</v>
      </c>
      <c r="K18">
        <v>-30</v>
      </c>
    </row>
    <row r="19" spans="1:11" x14ac:dyDescent="0.45">
      <c r="A19" t="s">
        <v>123</v>
      </c>
      <c r="B19">
        <v>400000000</v>
      </c>
      <c r="C19">
        <v>0</v>
      </c>
      <c r="D19">
        <v>-1</v>
      </c>
      <c r="E19">
        <v>-2</v>
      </c>
      <c r="F19">
        <v>-4</v>
      </c>
      <c r="G19">
        <v>-6</v>
      </c>
      <c r="H19">
        <v>-8</v>
      </c>
      <c r="I19">
        <v>-10</v>
      </c>
      <c r="J19">
        <v>-20</v>
      </c>
      <c r="K19">
        <v>-30</v>
      </c>
    </row>
    <row r="20" spans="1:11" x14ac:dyDescent="0.45">
      <c r="A20" t="s">
        <v>336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45">
      <c r="A21" t="s">
        <v>336</v>
      </c>
      <c r="B21" s="6">
        <v>3600000</v>
      </c>
      <c r="C21">
        <v>0</v>
      </c>
      <c r="D21">
        <v>-1</v>
      </c>
      <c r="E21">
        <v>-2</v>
      </c>
      <c r="F21">
        <v>-4</v>
      </c>
      <c r="G21">
        <v>-6</v>
      </c>
      <c r="H21">
        <v>-8</v>
      </c>
      <c r="I21">
        <v>-10</v>
      </c>
      <c r="J21">
        <v>-20</v>
      </c>
      <c r="K21">
        <v>-30</v>
      </c>
    </row>
    <row r="22" spans="1:11" x14ac:dyDescent="0.45">
      <c r="A22" t="s">
        <v>336</v>
      </c>
      <c r="B22">
        <v>400000000</v>
      </c>
      <c r="C22">
        <v>0</v>
      </c>
      <c r="D22">
        <v>-1</v>
      </c>
      <c r="E22">
        <v>-2</v>
      </c>
      <c r="F22">
        <v>-4</v>
      </c>
      <c r="G22">
        <v>-6</v>
      </c>
      <c r="H22">
        <v>-8</v>
      </c>
      <c r="I22">
        <v>-10</v>
      </c>
      <c r="J22">
        <v>-20</v>
      </c>
      <c r="K22">
        <v>-30</v>
      </c>
    </row>
    <row r="23" spans="1:11" x14ac:dyDescent="0.45">
      <c r="A23" t="s">
        <v>337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45">
      <c r="A24" t="s">
        <v>337</v>
      </c>
      <c r="B24" s="6">
        <v>3600000</v>
      </c>
      <c r="C24">
        <v>0</v>
      </c>
      <c r="D24">
        <v>-1</v>
      </c>
      <c r="E24">
        <v>-2</v>
      </c>
      <c r="F24">
        <v>-4</v>
      </c>
      <c r="G24">
        <v>-6</v>
      </c>
      <c r="H24">
        <v>-8</v>
      </c>
      <c r="I24">
        <v>-10</v>
      </c>
      <c r="J24">
        <v>-20</v>
      </c>
      <c r="K24">
        <v>-30</v>
      </c>
    </row>
    <row r="25" spans="1:11" x14ac:dyDescent="0.45">
      <c r="A25" t="s">
        <v>337</v>
      </c>
      <c r="B25">
        <v>400000000</v>
      </c>
      <c r="C25">
        <v>0</v>
      </c>
      <c r="D25">
        <v>-1</v>
      </c>
      <c r="E25">
        <v>-2</v>
      </c>
      <c r="F25">
        <v>-4</v>
      </c>
      <c r="G25">
        <v>-6</v>
      </c>
      <c r="H25">
        <v>-8</v>
      </c>
      <c r="I25">
        <v>-10</v>
      </c>
      <c r="J25">
        <v>-20</v>
      </c>
      <c r="K25">
        <v>-30</v>
      </c>
    </row>
    <row r="26" spans="1:11" x14ac:dyDescent="0.45">
      <c r="A26" t="s">
        <v>338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45">
      <c r="A27" t="s">
        <v>338</v>
      </c>
      <c r="B27" s="6">
        <v>3600000</v>
      </c>
      <c r="C27">
        <v>0</v>
      </c>
      <c r="D27">
        <v>-1</v>
      </c>
      <c r="E27">
        <v>-2</v>
      </c>
      <c r="F27">
        <v>-4</v>
      </c>
      <c r="G27">
        <v>-6</v>
      </c>
      <c r="H27">
        <v>-8</v>
      </c>
      <c r="I27">
        <v>-10</v>
      </c>
      <c r="J27">
        <v>-20</v>
      </c>
      <c r="K27">
        <v>-30</v>
      </c>
    </row>
    <row r="28" spans="1:11" x14ac:dyDescent="0.45">
      <c r="A28" t="s">
        <v>338</v>
      </c>
      <c r="B28">
        <v>400000000</v>
      </c>
      <c r="C28">
        <v>0</v>
      </c>
      <c r="D28">
        <v>-1</v>
      </c>
      <c r="E28">
        <v>-2</v>
      </c>
      <c r="F28">
        <v>-4</v>
      </c>
      <c r="G28">
        <v>-6</v>
      </c>
      <c r="H28">
        <v>-8</v>
      </c>
      <c r="I28">
        <v>-10</v>
      </c>
      <c r="J28">
        <v>-20</v>
      </c>
      <c r="K28">
        <v>-30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25" x14ac:dyDescent="0.45"/>
  <sheetData>
    <row r="1" spans="1:6" x14ac:dyDescent="0.45">
      <c r="A1" t="s">
        <v>37</v>
      </c>
      <c r="B1" t="s">
        <v>100</v>
      </c>
      <c r="C1" t="s">
        <v>101</v>
      </c>
      <c r="D1" t="s">
        <v>102</v>
      </c>
      <c r="E1" t="s">
        <v>103</v>
      </c>
    </row>
    <row r="2" spans="1:6" x14ac:dyDescent="0.4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4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4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4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topLeftCell="A11" workbookViewId="0">
      <selection activeCell="K25" sqref="K25"/>
    </sheetView>
  </sheetViews>
  <sheetFormatPr baseColWidth="10" defaultRowHeight="14.25" x14ac:dyDescent="0.45"/>
  <cols>
    <col min="1" max="1" width="15.46484375" bestFit="1" customWidth="1"/>
  </cols>
  <sheetData>
    <row r="1" spans="1:37" x14ac:dyDescent="0.45">
      <c r="A1" t="s">
        <v>104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86</v>
      </c>
      <c r="S1">
        <v>0</v>
      </c>
      <c r="U1" t="s">
        <v>104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86</v>
      </c>
      <c r="AK1">
        <v>0</v>
      </c>
    </row>
    <row r="2" spans="1:37" x14ac:dyDescent="0.45">
      <c r="A2" t="s">
        <v>105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86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86</v>
      </c>
      <c r="AK2">
        <v>27000</v>
      </c>
    </row>
    <row r="3" spans="1:37" x14ac:dyDescent="0.45">
      <c r="A3" t="s">
        <v>106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86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107</v>
      </c>
      <c r="AJ3" t="s">
        <v>86</v>
      </c>
      <c r="AK3">
        <v>20000000</v>
      </c>
    </row>
    <row r="4" spans="1:37" x14ac:dyDescent="0.45">
      <c r="A4" t="s">
        <v>108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107</v>
      </c>
      <c r="R4" t="s">
        <v>87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109</v>
      </c>
      <c r="AJ4" t="s">
        <v>87</v>
      </c>
      <c r="AK4">
        <v>0</v>
      </c>
    </row>
    <row r="5" spans="1:37" x14ac:dyDescent="0.45">
      <c r="A5" t="s">
        <v>110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109</v>
      </c>
      <c r="R5" t="s">
        <v>87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111</v>
      </c>
      <c r="AJ5" t="s">
        <v>87</v>
      </c>
      <c r="AK5">
        <v>27000</v>
      </c>
    </row>
    <row r="6" spans="1:37" x14ac:dyDescent="0.45">
      <c r="A6" t="s">
        <v>112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111</v>
      </c>
      <c r="R6" t="s">
        <v>87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87</v>
      </c>
      <c r="AK6">
        <v>20000000</v>
      </c>
    </row>
    <row r="7" spans="1:37" x14ac:dyDescent="0.45">
      <c r="A7" t="s">
        <v>113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88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88</v>
      </c>
      <c r="AK7">
        <v>0</v>
      </c>
    </row>
    <row r="8" spans="1:37" x14ac:dyDescent="0.45">
      <c r="A8" t="s">
        <v>114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88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88</v>
      </c>
      <c r="AK8">
        <v>27000</v>
      </c>
    </row>
    <row r="9" spans="1:37" x14ac:dyDescent="0.45">
      <c r="A9" t="s">
        <v>115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88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88</v>
      </c>
      <c r="AK9">
        <v>20000000</v>
      </c>
    </row>
    <row r="10" spans="1:37" x14ac:dyDescent="0.45">
      <c r="A10" t="s">
        <v>116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89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89</v>
      </c>
      <c r="AK10">
        <v>0</v>
      </c>
    </row>
    <row r="11" spans="1:37" x14ac:dyDescent="0.45">
      <c r="A11" t="s">
        <v>117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89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89</v>
      </c>
      <c r="AK11">
        <v>27000</v>
      </c>
    </row>
    <row r="12" spans="1:37" x14ac:dyDescent="0.45">
      <c r="A12" t="s">
        <v>118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89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89</v>
      </c>
      <c r="AK12">
        <v>20000000</v>
      </c>
    </row>
    <row r="13" spans="1:37" x14ac:dyDescent="0.45">
      <c r="A13" t="s">
        <v>119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90</v>
      </c>
      <c r="AK13">
        <v>0</v>
      </c>
    </row>
    <row r="14" spans="1:37" x14ac:dyDescent="0.45">
      <c r="A14" t="s">
        <v>120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90</v>
      </c>
      <c r="AK14">
        <v>27000</v>
      </c>
    </row>
    <row r="15" spans="1:37" x14ac:dyDescent="0.45">
      <c r="A15" t="s">
        <v>121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90</v>
      </c>
      <c r="AK15">
        <v>20000000</v>
      </c>
    </row>
    <row r="16" spans="1:37" x14ac:dyDescent="0.45">
      <c r="A16" t="s">
        <v>122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123</v>
      </c>
      <c r="AK16">
        <v>0</v>
      </c>
    </row>
    <row r="17" spans="1:37" x14ac:dyDescent="0.45">
      <c r="A17" t="s">
        <v>124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123</v>
      </c>
      <c r="AK17">
        <v>27000</v>
      </c>
    </row>
    <row r="18" spans="1:37" x14ac:dyDescent="0.45">
      <c r="A18" t="s">
        <v>125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322</v>
      </c>
      <c r="R18" t="s">
        <v>123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123</v>
      </c>
      <c r="AK18">
        <v>20000000</v>
      </c>
    </row>
    <row r="19" spans="1:37" x14ac:dyDescent="0.45">
      <c r="A19" t="s">
        <v>126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127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s="6" t="s">
        <v>31</v>
      </c>
      <c r="L20" s="6" t="s">
        <v>32</v>
      </c>
      <c r="M20" s="6" t="s">
        <v>33</v>
      </c>
      <c r="N20" s="6" t="s">
        <v>34</v>
      </c>
      <c r="O20" s="6" t="s">
        <v>35</v>
      </c>
      <c r="P20" s="6" t="s">
        <v>36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128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 s="6">
        <v>0</v>
      </c>
      <c r="L21" s="1">
        <v>3.0000000000000003E-4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129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 s="6">
        <v>3600000</v>
      </c>
      <c r="L22" s="1">
        <v>1.5E-5</v>
      </c>
      <c r="M22" s="1">
        <v>1.4999999999999999E-7</v>
      </c>
      <c r="N22" s="1">
        <v>1.4999999999999999E-5</v>
      </c>
      <c r="O22" s="1">
        <v>1.4999999999999999E-7</v>
      </c>
      <c r="P22" s="1">
        <v>1.4999999999999999E-5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130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 s="6">
        <v>400000000</v>
      </c>
      <c r="L23" s="1">
        <v>1.4999999999999999E-5</v>
      </c>
      <c r="M23" s="1">
        <v>1.4999999999999999E-7</v>
      </c>
      <c r="N23" s="1">
        <v>1.4999999999999999E-5</v>
      </c>
      <c r="O23" s="1">
        <v>1.4999999999999999E-7</v>
      </c>
      <c r="P23" s="1">
        <v>1.4999999999999999E-5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131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132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K25" t="s">
        <v>24</v>
      </c>
      <c r="L25" t="s">
        <v>25</v>
      </c>
      <c r="M25" t="s">
        <v>26</v>
      </c>
      <c r="N25" t="s">
        <v>27</v>
      </c>
      <c r="O25" t="s">
        <v>28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133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29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134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320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135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321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136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323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137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324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138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328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139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45">
      <c r="A33" t="s">
        <v>140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45">
      <c r="A34" t="s">
        <v>141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45">
      <c r="A35" t="s">
        <v>142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45">
      <c r="A36" t="s">
        <v>143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45">
      <c r="A37" t="s">
        <v>144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45">
      <c r="A38" t="s">
        <v>145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45">
      <c r="A39" t="s">
        <v>146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45">
      <c r="A40" t="s">
        <v>147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45">
      <c r="A41" t="s">
        <v>148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45">
      <c r="A42" t="s">
        <v>149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45">
      <c r="A43" t="s">
        <v>150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45">
      <c r="A44" t="s">
        <v>151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45">
      <c r="A45" t="s">
        <v>152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45">
      <c r="A46" t="s">
        <v>153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45">
      <c r="A47" t="s">
        <v>154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45">
      <c r="A48" t="s">
        <v>155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45">
      <c r="A49" t="s">
        <v>156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45">
      <c r="A50" t="s">
        <v>157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45">
      <c r="A51" t="s">
        <v>158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45">
      <c r="A52" t="s">
        <v>159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45">
      <c r="A53" t="s">
        <v>160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45">
      <c r="A54" t="s">
        <v>161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45">
      <c r="A55" t="s">
        <v>162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45">
      <c r="A56" t="s">
        <v>163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45">
      <c r="A57" t="s">
        <v>164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45">
      <c r="A58" t="s">
        <v>165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45">
      <c r="A59" t="s">
        <v>166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45">
      <c r="A60" t="s">
        <v>167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45">
      <c r="A61" t="s">
        <v>168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45">
      <c r="A62" t="s">
        <v>169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45">
      <c r="A63" t="s">
        <v>170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45">
      <c r="A64" t="s">
        <v>171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172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173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174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175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176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177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178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179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180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181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182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183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184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185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186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187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188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189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190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191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192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193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194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195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196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197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198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199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200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201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202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203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204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205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206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207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208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209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210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211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212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213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214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215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216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217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218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219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220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221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222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223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224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225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226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227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228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229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230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231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232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233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234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235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236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237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238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239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240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241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242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243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244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245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246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247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248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249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250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251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252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253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254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255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256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257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258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259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260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261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262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45">
      <c r="A156" t="s">
        <v>263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45">
      <c r="A157" t="s">
        <v>264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45">
      <c r="A158" t="s">
        <v>265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45">
      <c r="A159" t="s">
        <v>266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45">
      <c r="A160" t="s">
        <v>267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45">
      <c r="A161" t="s">
        <v>268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45">
      <c r="A162" t="s">
        <v>269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45">
      <c r="A163" t="s">
        <v>270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45">
      <c r="A164" t="s">
        <v>271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45">
      <c r="A165" t="s">
        <v>272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45">
      <c r="A166" t="s">
        <v>273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45">
      <c r="A167" t="s">
        <v>274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45">
      <c r="A168" t="s">
        <v>275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45">
      <c r="A169" t="s">
        <v>276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45">
      <c r="A170" t="s">
        <v>277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45">
      <c r="A171" t="s">
        <v>278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45">
      <c r="A172" t="s">
        <v>279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45">
      <c r="A173" t="s">
        <v>280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45">
      <c r="A174" t="s">
        <v>281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45">
      <c r="A175" t="s">
        <v>282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45">
      <c r="A176" t="s">
        <v>283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45">
      <c r="A177" t="s">
        <v>284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45">
      <c r="A178" t="s">
        <v>285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45">
      <c r="A179" t="s">
        <v>286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45">
      <c r="A180" t="s">
        <v>287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45">
      <c r="A181" t="s">
        <v>288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45">
      <c r="A182" t="s">
        <v>289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45">
      <c r="A183" t="s">
        <v>290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45">
      <c r="A184" t="s">
        <v>291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45">
      <c r="A185" t="s">
        <v>292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45">
      <c r="A186" t="s">
        <v>293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45">
      <c r="A187" t="s">
        <v>294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45">
      <c r="A188" t="s">
        <v>295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45">
      <c r="A189" t="s">
        <v>296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45">
      <c r="A190" t="s">
        <v>297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45">
      <c r="A191" t="s">
        <v>298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45">
      <c r="A192" t="s">
        <v>299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45">
      <c r="A193" t="s">
        <v>300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45">
      <c r="A194" t="s">
        <v>301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45">
      <c r="A195" t="s">
        <v>302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45">
      <c r="A196" t="s">
        <v>303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45">
      <c r="A197" t="s">
        <v>304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45">
      <c r="A198" t="s">
        <v>305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45">
      <c r="A199" t="s">
        <v>306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45">
      <c r="A200" t="s">
        <v>307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45">
      <c r="A201" t="s">
        <v>308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45">
      <c r="A202" t="s">
        <v>309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45">
      <c r="A203" t="s">
        <v>310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45">
      <c r="A204" t="s">
        <v>311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45">
      <c r="A205" t="s">
        <v>312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45">
      <c r="A206" t="s">
        <v>313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45">
      <c r="A207" t="s">
        <v>314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45">
      <c r="A208" t="s">
        <v>315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45">
      <c r="A209" t="s">
        <v>316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45">
      <c r="A210" t="s">
        <v>317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45">
      <c r="A211" t="s">
        <v>318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45">
      <c r="A363" t="s">
        <v>319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2025-10-03T14:34:48Z</dcterms:modified>
</cp:coreProperties>
</file>